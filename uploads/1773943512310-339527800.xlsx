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tus" sheetId="1" r:id="rId4"/>
    <sheet state="visible" name="Disparo" sheetId="2" r:id="rId5"/>
    <sheet state="visible" name="Controle disparo" sheetId="3" r:id="rId6"/>
    <sheet state="visible" name="Clientes" sheetId="4" r:id="rId7"/>
    <sheet state="visible" name="Responsavel Pelo Disparo" sheetId="5" r:id="rId8"/>
    <sheet state="visible" name="Números BKP" sheetId="6" r:id="rId9"/>
    <sheet state="visible" name="Cliente Pacote" sheetId="7" r:id="rId10"/>
    <sheet state="visible" name="Fechamento Dos Disparos" sheetId="8" r:id="rId11"/>
  </sheets>
  <definedNames>
    <definedName hidden="1" localSheetId="1" name="_xlnm._FilterDatabase">Disparo!$A$1:$J$1662</definedName>
    <definedName hidden="1" localSheetId="3" name="_xlnm._FilterDatabase">Clientes!$A$1:$A$145</definedName>
  </definedNames>
  <calcPr/>
  <extLst>
    <ext uri="GoogleSheetsCustomDataVersion2">
      <go:sheetsCustomData xmlns:go="http://customooxmlschemas.google.com/" r:id="rId12" roundtripDataChecksum="iRSUfsUuxSYAxE6jOJhW/2FLgqofJESHCxFsoZCaSc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289">
      <text>
        <t xml:space="preserve">======
ID#AAAB3i2iVOk
Ricardo Willer    (2026-03-18 12:29:18)
Foi pago 20 mil leads, e disparado 26 mil leads referente ao saldo dos disparos anteriores</t>
      </text>
    </comment>
  </commentList>
  <extLst>
    <ext uri="GoogleSheetsCustomDataVersion2">
      <go:sheetsCustomData xmlns:go="http://customooxmlschemas.google.com/" r:id="rId1" roundtripDataSignature="AMtx7mj570Xd8KMZfcCZtWYfewHODq87uA=="/>
    </ext>
  </extLst>
</comments>
</file>

<file path=xl/sharedStrings.xml><?xml version="1.0" encoding="utf-8"?>
<sst xmlns="http://schemas.openxmlformats.org/spreadsheetml/2006/main" count="13259" uniqueCount="3064">
  <si>
    <t>Status</t>
  </si>
  <si>
    <t>Disparado</t>
  </si>
  <si>
    <t>Em Andamento</t>
  </si>
  <si>
    <t>Agendado</t>
  </si>
  <si>
    <t>-</t>
  </si>
  <si>
    <t>Cliente</t>
  </si>
  <si>
    <t>Horario 
do Disparo</t>
  </si>
  <si>
    <t>Nº do Disparo</t>
  </si>
  <si>
    <t>ID Waba</t>
  </si>
  <si>
    <t>Data
 do Disparo</t>
  </si>
  <si>
    <t>Responsável 
do Disparo</t>
  </si>
  <si>
    <t>Quantidade 
de Lead</t>
  </si>
  <si>
    <t>Entregue</t>
  </si>
  <si>
    <t>Saldo</t>
  </si>
  <si>
    <t>Fillipe Felix</t>
  </si>
  <si>
    <t>19:00</t>
  </si>
  <si>
    <t>(11) 95213-1062</t>
  </si>
  <si>
    <t xml:space="preserve">Italo </t>
  </si>
  <si>
    <t>78.858</t>
  </si>
  <si>
    <t>20:00</t>
  </si>
  <si>
    <t>(75) 92893-5067</t>
  </si>
  <si>
    <t>10.000</t>
  </si>
  <si>
    <t>20:15</t>
  </si>
  <si>
    <t>(11) 95213-1067</t>
  </si>
  <si>
    <t>Fome de Pedreiro</t>
  </si>
  <si>
    <t>21:30</t>
  </si>
  <si>
    <t>Thales</t>
  </si>
  <si>
    <t>22.915</t>
  </si>
  <si>
    <t>BancoC6_Bank</t>
  </si>
  <si>
    <t>9:00</t>
  </si>
  <si>
    <t>(11) 95213-0959</t>
  </si>
  <si>
    <t>12:00</t>
  </si>
  <si>
    <t>(11) 95213-1077</t>
  </si>
  <si>
    <t>58.410</t>
  </si>
  <si>
    <t>18:00</t>
  </si>
  <si>
    <t>49.034</t>
  </si>
  <si>
    <t>Fê Alves</t>
  </si>
  <si>
    <t>12:30</t>
  </si>
  <si>
    <t>(48) 93618-0046</t>
  </si>
  <si>
    <t>23.123</t>
  </si>
  <si>
    <t>Ação do Guerreiro</t>
  </si>
  <si>
    <t>(71) 92748-0004</t>
  </si>
  <si>
    <t>41.553</t>
  </si>
  <si>
    <t>Botulaser - Brasília</t>
  </si>
  <si>
    <t>10:30</t>
  </si>
  <si>
    <t>53.312</t>
  </si>
  <si>
    <t>Dr.Gabriela</t>
  </si>
  <si>
    <t>(11) 95213-0954</t>
  </si>
  <si>
    <t>3.548</t>
  </si>
  <si>
    <t>09:00</t>
  </si>
  <si>
    <t>(11) 93618-8453</t>
  </si>
  <si>
    <t>14.999</t>
  </si>
  <si>
    <t>(61) 93618-0842</t>
  </si>
  <si>
    <t>43.369</t>
  </si>
  <si>
    <t>Botulaser - Goiânia</t>
  </si>
  <si>
    <t>09:20</t>
  </si>
  <si>
    <t>(62) 94263-0028</t>
  </si>
  <si>
    <t>11.600</t>
  </si>
  <si>
    <t>Face Doctor DF Plaza</t>
  </si>
  <si>
    <t>11:34</t>
  </si>
  <si>
    <t>(61) 93618-0851</t>
  </si>
  <si>
    <t>Consultorio Dr.Allan</t>
  </si>
  <si>
    <t>12:15</t>
  </si>
  <si>
    <t>(84) 93618-0019</t>
  </si>
  <si>
    <t>26.221</t>
  </si>
  <si>
    <t xml:space="preserve">B'Laser Clínica </t>
  </si>
  <si>
    <t>10:25</t>
  </si>
  <si>
    <t>(81) 93618-0063</t>
  </si>
  <si>
    <t>37.086</t>
  </si>
  <si>
    <t>Avanço Soluções Financeiras</t>
  </si>
  <si>
    <t>08:23</t>
  </si>
  <si>
    <t>(11) 97752-1533</t>
  </si>
  <si>
    <t>15.000</t>
  </si>
  <si>
    <t>Jr. Premiações</t>
  </si>
  <si>
    <t>(71) 9738-6282</t>
  </si>
  <si>
    <t>(11) 977522820</t>
  </si>
  <si>
    <t>10.480</t>
  </si>
  <si>
    <t>UP Consult</t>
  </si>
  <si>
    <t>(11) 95109-3059</t>
  </si>
  <si>
    <t>37.510</t>
  </si>
  <si>
    <t>Vitta Odonto</t>
  </si>
  <si>
    <t>09:30</t>
  </si>
  <si>
    <t>(84) 93618-0021</t>
  </si>
  <si>
    <t>11/25/2025</t>
  </si>
  <si>
    <t>Vivassa</t>
  </si>
  <si>
    <t>10:00</t>
  </si>
  <si>
    <t>(84) 98754-1972</t>
  </si>
  <si>
    <t>Clínica Florescer - Dra Maiara Ribeiro</t>
  </si>
  <si>
    <t>11:00</t>
  </si>
  <si>
    <t>(79) 92675-0002</t>
  </si>
  <si>
    <t>Rhema</t>
  </si>
  <si>
    <t>13:00</t>
  </si>
  <si>
    <t>(43) 99160-1527</t>
  </si>
  <si>
    <t>13.209</t>
  </si>
  <si>
    <t>14:48</t>
  </si>
  <si>
    <t>15.126</t>
  </si>
  <si>
    <t>(75) 99817-5091</t>
  </si>
  <si>
    <t>56.960</t>
  </si>
  <si>
    <t>18:30</t>
  </si>
  <si>
    <t>Ricardo</t>
  </si>
  <si>
    <t>18.294</t>
  </si>
  <si>
    <t>Gigante</t>
  </si>
  <si>
    <t>(75) 98805-7522</t>
  </si>
  <si>
    <t>68.060</t>
  </si>
  <si>
    <t>15:54</t>
  </si>
  <si>
    <t>13.391</t>
  </si>
  <si>
    <t>(11) 97742-3476</t>
  </si>
  <si>
    <t>Sem Parar</t>
  </si>
  <si>
    <t>(21) 99775-7204</t>
  </si>
  <si>
    <t>Riachuelo</t>
  </si>
  <si>
    <t>20.000</t>
  </si>
  <si>
    <t>TRC Bradesco</t>
  </si>
  <si>
    <t>11/27/2025</t>
  </si>
  <si>
    <t>(61) 99022-3082</t>
  </si>
  <si>
    <t>33.112</t>
  </si>
  <si>
    <t>Vick Alves</t>
  </si>
  <si>
    <t>(31) 99710-8820</t>
  </si>
  <si>
    <t>80.000</t>
  </si>
  <si>
    <t>(31) 97128-5812</t>
  </si>
  <si>
    <t>Familia De Prêmios</t>
  </si>
  <si>
    <t>13:22</t>
  </si>
  <si>
    <t>(92) 94687-5122</t>
  </si>
  <si>
    <t>Italo / Thales</t>
  </si>
  <si>
    <t>157.281</t>
  </si>
  <si>
    <t>Pedro</t>
  </si>
  <si>
    <t>14:00</t>
  </si>
  <si>
    <t>(11) 93262-3830</t>
  </si>
  <si>
    <t>63.400</t>
  </si>
  <si>
    <t>15:02</t>
  </si>
  <si>
    <t>(31) 99766-7094</t>
  </si>
  <si>
    <t>86.133</t>
  </si>
  <si>
    <t>(31) 97261-9649</t>
  </si>
  <si>
    <t>Junin RD</t>
  </si>
  <si>
    <t>(32) 99849-1449</t>
  </si>
  <si>
    <t>12.631</t>
  </si>
  <si>
    <t>Alisson Silva</t>
  </si>
  <si>
    <t>(71) 9675-8215</t>
  </si>
  <si>
    <t>19.430</t>
  </si>
  <si>
    <t>(11) 97742-4871</t>
  </si>
  <si>
    <t>B'laser - Carpina/Goiana</t>
  </si>
  <si>
    <t>19:30</t>
  </si>
  <si>
    <t>(81) 98571-6549</t>
  </si>
  <si>
    <t>13.252</t>
  </si>
  <si>
    <t>Jean Brito</t>
  </si>
  <si>
    <t>08:30</t>
  </si>
  <si>
    <t xml:space="preserve">(61) 9 </t>
  </si>
  <si>
    <t>11/28/2025</t>
  </si>
  <si>
    <t>10.385</t>
  </si>
  <si>
    <t>Vem de CAP - Tiago</t>
  </si>
  <si>
    <t>(77) 99103-1188</t>
  </si>
  <si>
    <t>Taynã</t>
  </si>
  <si>
    <t>(47) 99667-4211</t>
  </si>
  <si>
    <t>Botulaser - Curitiba</t>
  </si>
  <si>
    <t>10:40</t>
  </si>
  <si>
    <t>(41) 93618-0897</t>
  </si>
  <si>
    <t>(11) 95194-5081</t>
  </si>
  <si>
    <t>49.700</t>
  </si>
  <si>
    <t>Gregore</t>
  </si>
  <si>
    <t>(11) 95213-4565</t>
  </si>
  <si>
    <t>6.000</t>
  </si>
  <si>
    <t>Jeferson - Prime</t>
  </si>
  <si>
    <t>15:00</t>
  </si>
  <si>
    <t>(11) 95213-4571</t>
  </si>
  <si>
    <t>(75) 92893-0002</t>
  </si>
  <si>
    <t>19.663</t>
  </si>
  <si>
    <t>(71) 92748-0004</t>
  </si>
  <si>
    <t>15.441</t>
  </si>
  <si>
    <t xml:space="preserve">Bruno Peixe na lente </t>
  </si>
  <si>
    <t>(22) 92548-0034</t>
  </si>
  <si>
    <t>16.639</t>
  </si>
  <si>
    <t>Jadson - Rennan Jimmy</t>
  </si>
  <si>
    <t xml:space="preserve"> (11) 95213-1331</t>
  </si>
  <si>
    <t>11/29/2025</t>
  </si>
  <si>
    <t>37.499</t>
  </si>
  <si>
    <t>(31) 93618-5487</t>
  </si>
  <si>
    <t>53.500</t>
  </si>
  <si>
    <t>(31) 93618-5490</t>
  </si>
  <si>
    <t>12:18</t>
  </si>
  <si>
    <t>(32) 93618-0212</t>
  </si>
  <si>
    <t>12.632</t>
  </si>
  <si>
    <t>Apt. The Garden</t>
  </si>
  <si>
    <t>13:30</t>
  </si>
  <si>
    <t>(11) 95213-1606</t>
  </si>
  <si>
    <t>52.871</t>
  </si>
  <si>
    <t>Léo Avent</t>
  </si>
  <si>
    <t>15:30</t>
  </si>
  <si>
    <t>(15) 93618-1357</t>
  </si>
  <si>
    <t>13.473</t>
  </si>
  <si>
    <t>Cássio Tales</t>
  </si>
  <si>
    <t>17:59</t>
  </si>
  <si>
    <t>(31) 93618-5493</t>
  </si>
  <si>
    <t>5.908</t>
  </si>
  <si>
    <t>11/30/2025</t>
  </si>
  <si>
    <t>4.012</t>
  </si>
  <si>
    <t>Baú do Milhão</t>
  </si>
  <si>
    <t>18:25</t>
  </si>
  <si>
    <t>(81) 93618-0075</t>
  </si>
  <si>
    <t>29.986</t>
  </si>
  <si>
    <t>19:20</t>
  </si>
  <si>
    <t>22:00</t>
  </si>
  <si>
    <t>21:05</t>
  </si>
  <si>
    <t>(31) 936185496 / (31) 936185497</t>
  </si>
  <si>
    <t>100.000</t>
  </si>
  <si>
    <t>14.998</t>
  </si>
  <si>
    <t>(43) 96725-5362</t>
  </si>
  <si>
    <t>11.907</t>
  </si>
  <si>
    <t>Totem Cred Soluções Financeiras</t>
  </si>
  <si>
    <t xml:space="preserve"> (11) 95213-1968</t>
  </si>
  <si>
    <t>5.000</t>
  </si>
  <si>
    <t>(11) 95213-1944</t>
  </si>
  <si>
    <t>BP Promotora</t>
  </si>
  <si>
    <t>(11)95213-2850</t>
  </si>
  <si>
    <t>(71) 92748-0023</t>
  </si>
  <si>
    <t>20.826</t>
  </si>
  <si>
    <t>Kelber</t>
  </si>
  <si>
    <t>(11) 92212-6628</t>
  </si>
  <si>
    <t>Hudema Premios</t>
  </si>
  <si>
    <t>(45) 93618-0037</t>
  </si>
  <si>
    <t>27.839</t>
  </si>
  <si>
    <t>(31) 93618-0994 / (31) 93618-0995 / (31)93618-0997 / (31) 93618-1012 / (31) 93618-1016 / (31) 93618-1015</t>
  </si>
  <si>
    <t>Italo / Thales / Ricardo</t>
  </si>
  <si>
    <t>512.000</t>
  </si>
  <si>
    <t>(75) 98805 - 7530</t>
  </si>
  <si>
    <t>12.551</t>
  </si>
  <si>
    <t>Rafael Brt_projects</t>
  </si>
  <si>
    <t>(61) 93618-0929</t>
  </si>
  <si>
    <t>(11) 95213 - 2927</t>
  </si>
  <si>
    <t>(48) 93618 - 0191</t>
  </si>
  <si>
    <t>Alcinei - Duducar</t>
  </si>
  <si>
    <t>(31) 9 3618 - 1018</t>
  </si>
  <si>
    <t>Euro</t>
  </si>
  <si>
    <t>(11) 95213-2940</t>
  </si>
  <si>
    <t>12.450</t>
  </si>
  <si>
    <t>Istefanno -Jojo_victor</t>
  </si>
  <si>
    <t>(21) 92367-0428</t>
  </si>
  <si>
    <t>(11) 95213 - 2929</t>
  </si>
  <si>
    <t>78.000</t>
  </si>
  <si>
    <t>17:00</t>
  </si>
  <si>
    <t>(75) 92893 - 0003</t>
  </si>
  <si>
    <t>70.002</t>
  </si>
  <si>
    <t>(71) 92748 - 0025</t>
  </si>
  <si>
    <t>50.557</t>
  </si>
  <si>
    <t>(11) 95213-3056</t>
  </si>
  <si>
    <t>Caio Dluxa premiações</t>
  </si>
  <si>
    <t>(77) 92000-7176</t>
  </si>
  <si>
    <t>18:09</t>
  </si>
  <si>
    <t>(31) 9650-2735</t>
  </si>
  <si>
    <t>70.331</t>
  </si>
  <si>
    <t>20:30</t>
  </si>
  <si>
    <t>(31) 93618-1021</t>
  </si>
  <si>
    <t>69.663</t>
  </si>
  <si>
    <t>Shelby Cars</t>
  </si>
  <si>
    <t>(11) 95213-3057</t>
  </si>
  <si>
    <t>(11) 9 5213 - 3099</t>
  </si>
  <si>
    <t>KR Promotora</t>
  </si>
  <si>
    <t xml:space="preserve">(11) 95213-3101 </t>
  </si>
  <si>
    <t>(11) 95213-3225</t>
  </si>
  <si>
    <t xml:space="preserve"> (81) 93618-0104</t>
  </si>
  <si>
    <t>(11) 95213-3229</t>
  </si>
  <si>
    <t>Play Bet</t>
  </si>
  <si>
    <t>11:30</t>
  </si>
  <si>
    <t>(11) 95213-3253</t>
  </si>
  <si>
    <t>(31) 93618-1037</t>
  </si>
  <si>
    <t>Mc Junior PK</t>
  </si>
  <si>
    <t>(31) 95347-5231</t>
  </si>
  <si>
    <t xml:space="preserve"> (47) 93618-0096</t>
  </si>
  <si>
    <t>Apt. Sestriere Mooca - Thiago Vargas</t>
  </si>
  <si>
    <t>(11) 95213-3375</t>
  </si>
  <si>
    <t>Apt.  Alta Floresta</t>
  </si>
  <si>
    <t>(11) 95213-3376</t>
  </si>
  <si>
    <t>Apt. Caixa</t>
  </si>
  <si>
    <t>(11) 95213-3365</t>
  </si>
  <si>
    <t>50.000</t>
  </si>
  <si>
    <t>(32) 93618-0216</t>
  </si>
  <si>
    <t>(71) 92748-0027</t>
  </si>
  <si>
    <t>14.000</t>
  </si>
  <si>
    <t>MC Games</t>
  </si>
  <si>
    <t>(11) 95213-3436</t>
  </si>
  <si>
    <t>40.000</t>
  </si>
  <si>
    <t>Marcelo Freitas</t>
  </si>
  <si>
    <t>(31) 953475113</t>
  </si>
  <si>
    <t xml:space="preserve"> (11) 95213-3430</t>
  </si>
  <si>
    <t>58.968</t>
  </si>
  <si>
    <t>Jessica</t>
  </si>
  <si>
    <t>18:50</t>
  </si>
  <si>
    <t>(47) 93618-0117</t>
  </si>
  <si>
    <t>(47) 93618-0125</t>
  </si>
  <si>
    <t>Gabriel</t>
  </si>
  <si>
    <t>Gonzaga</t>
  </si>
  <si>
    <t>(47) 93618-0119</t>
  </si>
  <si>
    <t>29.468</t>
  </si>
  <si>
    <t>(31) 95347-5586</t>
  </si>
  <si>
    <t>6.329</t>
  </si>
  <si>
    <t>12:45</t>
  </si>
  <si>
    <t>(11) 92193-8752</t>
  </si>
  <si>
    <t>Jet’s Brazil</t>
  </si>
  <si>
    <t>(12) 92000-8315</t>
  </si>
  <si>
    <t>Barone</t>
  </si>
  <si>
    <t>(11) 95213-3236</t>
  </si>
  <si>
    <t>75.000</t>
  </si>
  <si>
    <t>(11) 95213-3217</t>
  </si>
  <si>
    <t>(71) 92748-0029</t>
  </si>
  <si>
    <t>66.133</t>
  </si>
  <si>
    <t>(71) 92748-0030</t>
  </si>
  <si>
    <t>(71) 92748-0031</t>
  </si>
  <si>
    <t>Dyoleno</t>
  </si>
  <si>
    <t>(27) 92834-0093</t>
  </si>
  <si>
    <t>15.576</t>
  </si>
  <si>
    <t>(77) 92000-7121</t>
  </si>
  <si>
    <t>(11) 95213-3621</t>
  </si>
  <si>
    <t>(11) 95213-3620</t>
  </si>
  <si>
    <t>Murilo</t>
  </si>
  <si>
    <t>(15) 92002-6710</t>
  </si>
  <si>
    <t>(47) 93618-0144</t>
  </si>
  <si>
    <t>40.002</t>
  </si>
  <si>
    <t>(47) 93618-0146</t>
  </si>
  <si>
    <t>7.003</t>
  </si>
  <si>
    <t>(11) 95213-3644</t>
  </si>
  <si>
    <t>(47) 93618-0147</t>
  </si>
  <si>
    <t>3.504</t>
  </si>
  <si>
    <t>16:22</t>
  </si>
  <si>
    <t>(47) 93618-0148</t>
  </si>
  <si>
    <t>42.456</t>
  </si>
  <si>
    <t>17:30</t>
  </si>
  <si>
    <t>(31) 99759-2572</t>
  </si>
  <si>
    <t>13.958</t>
  </si>
  <si>
    <t>(11) 95213-3668</t>
  </si>
  <si>
    <t>(11) 95213-3665</t>
  </si>
  <si>
    <t>Jose Otavio - Poka Zooi</t>
  </si>
  <si>
    <t>(73) 92457-0012</t>
  </si>
  <si>
    <t>9.623</t>
  </si>
  <si>
    <t>Mateus Santos</t>
  </si>
  <si>
    <t>(75) 92893-0005</t>
  </si>
  <si>
    <t>(47) 93618-0152</t>
  </si>
  <si>
    <t>11.184</t>
  </si>
  <si>
    <t>(11) 92203-4701</t>
  </si>
  <si>
    <t>11.000</t>
  </si>
  <si>
    <t>(11) 95213-3829</t>
  </si>
  <si>
    <t>11.612</t>
  </si>
  <si>
    <t>(31) 99722-9554</t>
  </si>
  <si>
    <t>All win - Davi Couto</t>
  </si>
  <si>
    <t>(31) 97165-3373</t>
  </si>
  <si>
    <t>8.784</t>
  </si>
  <si>
    <t>All win - Victor Tips Place</t>
  </si>
  <si>
    <t>(21) 92367-0470</t>
  </si>
  <si>
    <t>10.627</t>
  </si>
  <si>
    <t>(11) 95213-3842</t>
  </si>
  <si>
    <t>´14.119</t>
  </si>
  <si>
    <t>(71) 92748-0038</t>
  </si>
  <si>
    <t xml:space="preserve"> (31) 9506-2340</t>
  </si>
  <si>
    <t>19:25</t>
  </si>
  <si>
    <t>(11) 95213-3967</t>
  </si>
  <si>
    <t>Inter</t>
  </si>
  <si>
    <t>(11) 95213-3987</t>
  </si>
  <si>
    <t>(11) 95213-4035</t>
  </si>
  <si>
    <t>70.000</t>
  </si>
  <si>
    <t>(11) 95213-4038</t>
  </si>
  <si>
    <t>60.000</t>
  </si>
  <si>
    <t>(11) 95213-4046</t>
  </si>
  <si>
    <t>(11) 95213-4048</t>
  </si>
  <si>
    <t xml:space="preserve"> (11) 95213-4014</t>
  </si>
  <si>
    <t>Itau6665</t>
  </si>
  <si>
    <t>Itau3002</t>
  </si>
  <si>
    <t>Recovery</t>
  </si>
  <si>
    <t>REC</t>
  </si>
  <si>
    <t>(11) 95213-4128</t>
  </si>
  <si>
    <t>99Pay</t>
  </si>
  <si>
    <t>(11) 95213-4130</t>
  </si>
  <si>
    <t>BMG</t>
  </si>
  <si>
    <t>Bradesco</t>
  </si>
  <si>
    <t>Digio</t>
  </si>
  <si>
    <t>Divzero</t>
  </si>
  <si>
    <t>Estacio</t>
  </si>
  <si>
    <t>Renner</t>
  </si>
  <si>
    <t>TRC. Riachuelo</t>
  </si>
  <si>
    <t>Will Bank</t>
  </si>
  <si>
    <t>(43) 93618-0048</t>
  </si>
  <si>
    <t>2.384</t>
  </si>
  <si>
    <t>MC Games - Safadão</t>
  </si>
  <si>
    <t>(11) 95213-4033</t>
  </si>
  <si>
    <t>69.998</t>
  </si>
  <si>
    <t>MC Games - Nathanzinho</t>
  </si>
  <si>
    <t>(11) 95213-4034</t>
  </si>
  <si>
    <t>(45) 93618-0067</t>
  </si>
  <si>
    <t>36.240</t>
  </si>
  <si>
    <t>Diparado</t>
  </si>
  <si>
    <t>Mercado Pago</t>
  </si>
  <si>
    <t xml:space="preserve">(11) 95213-4237
</t>
  </si>
  <si>
    <t>16:48</t>
  </si>
  <si>
    <t>(11) 95213-4255</t>
  </si>
  <si>
    <t>33.042</t>
  </si>
  <si>
    <t>Apto Vila Matilde</t>
  </si>
  <si>
    <t>(11) 95213-4247</t>
  </si>
  <si>
    <t>19.976</t>
  </si>
  <si>
    <t>MC Gui</t>
  </si>
  <si>
    <t>(11) 95213-4262</t>
  </si>
  <si>
    <t>MC Guime</t>
  </si>
  <si>
    <t>(11) 95213-4260</t>
  </si>
  <si>
    <t>19:50</t>
  </si>
  <si>
    <t>(31) 95347-0011</t>
  </si>
  <si>
    <t>(31) 95347-0012</t>
  </si>
  <si>
    <t>(47) 93618-0173</t>
  </si>
  <si>
    <t>(11) 95213-4283</t>
  </si>
  <si>
    <t>(31) 95347-0013</t>
  </si>
  <si>
    <t>Rabica</t>
  </si>
  <si>
    <t>(71) 92748-0040</t>
  </si>
  <si>
    <t>8.884</t>
  </si>
  <si>
    <t>Felipe Rocha</t>
  </si>
  <si>
    <t>(11) 95213-4296</t>
  </si>
  <si>
    <t>13/13/2025</t>
  </si>
  <si>
    <t>2.394</t>
  </si>
  <si>
    <t>(31) 95347-0020</t>
  </si>
  <si>
    <t>Everton cell</t>
  </si>
  <si>
    <t>(81) 93618-0137</t>
  </si>
  <si>
    <t>11.290</t>
  </si>
  <si>
    <t>(75) 98810-4092</t>
  </si>
  <si>
    <t>(32) 9881-3217</t>
  </si>
  <si>
    <t>12.205</t>
  </si>
  <si>
    <t>(71) 92748-0041</t>
  </si>
  <si>
    <t>25.455</t>
  </si>
  <si>
    <t>Jhony</t>
  </si>
  <si>
    <t>(61) 94756-0033</t>
  </si>
  <si>
    <t>14:17</t>
  </si>
  <si>
    <t>(71) 92748-0043</t>
  </si>
  <si>
    <t>Pig Realiza</t>
  </si>
  <si>
    <t>16:17</t>
  </si>
  <si>
    <t>(71) 98251-7000</t>
  </si>
  <si>
    <t>73.231</t>
  </si>
  <si>
    <t>16:38</t>
  </si>
  <si>
    <t>16.755</t>
  </si>
  <si>
    <t>16:49</t>
  </si>
  <si>
    <t>9.376</t>
  </si>
  <si>
    <t>Casal casca de Bala</t>
  </si>
  <si>
    <t>16:55</t>
  </si>
  <si>
    <t>(71) 92748-0044</t>
  </si>
  <si>
    <t>11.119</t>
  </si>
  <si>
    <t>Hiper Cap - Carrinho</t>
  </si>
  <si>
    <t>17:40</t>
  </si>
  <si>
    <t>(11) 95213-4329</t>
  </si>
  <si>
    <t>12.009</t>
  </si>
  <si>
    <t>Hiper Cap - Ganhadores</t>
  </si>
  <si>
    <t>(47) 93618-0174</t>
  </si>
  <si>
    <t>29.748</t>
  </si>
  <si>
    <t>(31) 95347-0024</t>
  </si>
  <si>
    <t>44.000</t>
  </si>
  <si>
    <t>Hiper Cap - Litoral</t>
  </si>
  <si>
    <t>Brothers JR</t>
  </si>
  <si>
    <t>(31) 95347-0027</t>
  </si>
  <si>
    <t>53.815</t>
  </si>
  <si>
    <t>14:24</t>
  </si>
  <si>
    <t>(71) 92748-0046</t>
  </si>
  <si>
    <t>25.453</t>
  </si>
  <si>
    <t>(31) 95347-0028</t>
  </si>
  <si>
    <t>Tharley</t>
  </si>
  <si>
    <t>19:35</t>
  </si>
  <si>
    <t xml:space="preserve"> (38) 93618-0028</t>
  </si>
  <si>
    <t>(11) 95213-4369</t>
  </si>
  <si>
    <t>(11) 95213-4403</t>
  </si>
  <si>
    <t xml:space="preserve"> (38) 93618-0042</t>
  </si>
  <si>
    <t>12.342</t>
  </si>
  <si>
    <t>Itau WO</t>
  </si>
  <si>
    <t>13:05</t>
  </si>
  <si>
    <t>(11) 95213-4422</t>
  </si>
  <si>
    <t>17.000</t>
  </si>
  <si>
    <t>12/15/2025</t>
  </si>
  <si>
    <t>15:15</t>
  </si>
  <si>
    <t>(71) 92748-5453</t>
  </si>
  <si>
    <t>25.454</t>
  </si>
  <si>
    <t>(11) 99774-5806</t>
  </si>
  <si>
    <t>Guilherme Imperador</t>
  </si>
  <si>
    <t>(31) 95347-0032</t>
  </si>
  <si>
    <t>24.011</t>
  </si>
  <si>
    <t>(31) 95347-0037</t>
  </si>
  <si>
    <t>(11) 95213-5364</t>
  </si>
  <si>
    <t>(11) 9</t>
  </si>
  <si>
    <t>TRC Digio</t>
  </si>
  <si>
    <t>14:21</t>
  </si>
  <si>
    <t>11 95213-1740</t>
  </si>
  <si>
    <t>TRC Divzero</t>
  </si>
  <si>
    <t>TRC Next</t>
  </si>
  <si>
    <t>TRC Renner</t>
  </si>
  <si>
    <t>(11) 95213-5214</t>
  </si>
  <si>
    <t>(11) 95213-4732</t>
  </si>
  <si>
    <t>(11) 95213-2527</t>
  </si>
  <si>
    <t>13.000</t>
  </si>
  <si>
    <t>(81) 93618-0142</t>
  </si>
  <si>
    <t>15.429</t>
  </si>
  <si>
    <t>(12) 93618-9962</t>
  </si>
  <si>
    <t>12.626</t>
  </si>
  <si>
    <t>Correa</t>
  </si>
  <si>
    <t>(71) 92748-5459</t>
  </si>
  <si>
    <t>(71) 92748-5462</t>
  </si>
  <si>
    <t>28.321</t>
  </si>
  <si>
    <t>(31) 95347-0044</t>
  </si>
  <si>
    <t>13.346</t>
  </si>
  <si>
    <t>(31) 95347-0042</t>
  </si>
  <si>
    <t>83.066</t>
  </si>
  <si>
    <t>(31) 95347-0045</t>
  </si>
  <si>
    <t>(31) 95347-0046</t>
  </si>
  <si>
    <t>(31) 95347-0047</t>
  </si>
  <si>
    <t>Greg Ferreira</t>
  </si>
  <si>
    <t>(31)95347-0051</t>
  </si>
  <si>
    <t>12/16/2025</t>
  </si>
  <si>
    <t>Luis</t>
  </si>
  <si>
    <t>25.000</t>
  </si>
  <si>
    <t>(71) 983490131</t>
  </si>
  <si>
    <t>(31) 95347-0053</t>
  </si>
  <si>
    <t>thales</t>
  </si>
  <si>
    <t>(11) 95213-8450</t>
  </si>
  <si>
    <t>Congresso MED</t>
  </si>
  <si>
    <t>(11) 95213-9822</t>
  </si>
  <si>
    <t>Int Riachuelo</t>
  </si>
  <si>
    <t>(11) 95213-9267</t>
  </si>
  <si>
    <t>30.000</t>
  </si>
  <si>
    <t>(11) 95213-1583</t>
  </si>
  <si>
    <t>Matriz</t>
  </si>
  <si>
    <t>Mercado Pago BC</t>
  </si>
  <si>
    <t>Mercado Pago BP</t>
  </si>
  <si>
    <t>19.000</t>
  </si>
  <si>
    <t>(31) 95347-0056</t>
  </si>
  <si>
    <t>71.000</t>
  </si>
  <si>
    <t xml:space="preserve">(31) 95347-0054
</t>
  </si>
  <si>
    <t>(11) 95213-6257</t>
  </si>
  <si>
    <t>12/17/2025</t>
  </si>
  <si>
    <t>Avançar Soluções</t>
  </si>
  <si>
    <t>(31) 95347-0062</t>
  </si>
  <si>
    <t>(31) 95347-0059</t>
  </si>
  <si>
    <t>39.415</t>
  </si>
  <si>
    <t>16:30</t>
  </si>
  <si>
    <t>(71) 9624-6433</t>
  </si>
  <si>
    <t>16:00</t>
  </si>
  <si>
    <t>Vinicius</t>
  </si>
  <si>
    <t>(21) 92367-5202</t>
  </si>
  <si>
    <t>11.459</t>
  </si>
  <si>
    <t>Sorte Mais</t>
  </si>
  <si>
    <t>(98) 94692-0030</t>
  </si>
  <si>
    <t>12.637</t>
  </si>
  <si>
    <t>(11) 97217-9623</t>
  </si>
  <si>
    <t>(11) 91155-6844</t>
  </si>
  <si>
    <t>MT CAP</t>
  </si>
  <si>
    <t>(65) 93618-1038</t>
  </si>
  <si>
    <t>(75) 98810-8897</t>
  </si>
  <si>
    <t>19.124</t>
  </si>
  <si>
    <t>Ferro Shop</t>
  </si>
  <si>
    <t>(43) 99181-2314</t>
  </si>
  <si>
    <t>(11) 91571-1180</t>
  </si>
  <si>
    <t>Samuel</t>
  </si>
  <si>
    <t>20:43</t>
  </si>
  <si>
    <t>(74) 92384-0308</t>
  </si>
  <si>
    <t>10.000,00</t>
  </si>
  <si>
    <t>243</t>
  </si>
  <si>
    <t>Sincero</t>
  </si>
  <si>
    <t>21:40</t>
  </si>
  <si>
    <t>(21) 92367-5388</t>
  </si>
  <si>
    <t>346</t>
  </si>
  <si>
    <t>Fiote de sorte</t>
  </si>
  <si>
    <t>21:20</t>
  </si>
  <si>
    <t>(21) 92367-5475</t>
  </si>
  <si>
    <t>965</t>
  </si>
  <si>
    <t>Click premiado</t>
  </si>
  <si>
    <t>21:25</t>
  </si>
  <si>
    <t>(21) 92367-5680</t>
  </si>
  <si>
    <t>2;087</t>
  </si>
  <si>
    <t>21:10</t>
  </si>
  <si>
    <t xml:space="preserve"> (71) 9984-4926</t>
  </si>
  <si>
    <t>25.120</t>
  </si>
  <si>
    <t>(11) 95213-6035</t>
  </si>
  <si>
    <t>11:36</t>
  </si>
  <si>
    <t>(11) 95213-2476</t>
  </si>
  <si>
    <t>TRC Will Bank</t>
  </si>
  <si>
    <t>INT Recov</t>
  </si>
  <si>
    <t>11:18</t>
  </si>
  <si>
    <t>(11) 95213-1254</t>
  </si>
  <si>
    <t>10000</t>
  </si>
  <si>
    <t>TRC Quinto Andar</t>
  </si>
  <si>
    <t>itau4442</t>
  </si>
  <si>
    <t>12/18/2025</t>
  </si>
  <si>
    <t>TAPAJÓS DE PRÊMIOS</t>
  </si>
  <si>
    <t>12:40</t>
  </si>
  <si>
    <t>(93) 93618-2003</t>
  </si>
  <si>
    <t>18.900</t>
  </si>
  <si>
    <t>(71) 92748-5036</t>
  </si>
  <si>
    <t>(71) 92748-0039</t>
  </si>
  <si>
    <t>Pan</t>
  </si>
  <si>
    <t>13:15</t>
  </si>
  <si>
    <t>(11) 95213-0275</t>
  </si>
  <si>
    <t>Itau pj</t>
  </si>
  <si>
    <t>TRC Losango</t>
  </si>
  <si>
    <t>14:09</t>
  </si>
  <si>
    <t>(11) 95213-0367</t>
  </si>
  <si>
    <t>12.000</t>
  </si>
  <si>
    <t>Lucas Martins</t>
  </si>
  <si>
    <t>(38) 93618-0059</t>
  </si>
  <si>
    <t>(31) 95347-0136</t>
  </si>
  <si>
    <t>(74) 92384-0443</t>
  </si>
  <si>
    <t>José Otavio</t>
  </si>
  <si>
    <t>(43) 93618-0079</t>
  </si>
  <si>
    <t>TR_242</t>
  </si>
  <si>
    <t>21:55</t>
  </si>
  <si>
    <t>(77) 92169-0043</t>
  </si>
  <si>
    <t>(77) 92169-0044</t>
  </si>
  <si>
    <t>(77) 92169-0014</t>
  </si>
  <si>
    <t>(77) 92169-0015</t>
  </si>
  <si>
    <t>10:53</t>
  </si>
  <si>
    <t>(11) 95213-4359</t>
  </si>
  <si>
    <t>Itau 2845</t>
  </si>
  <si>
    <t>TRC Caixa</t>
  </si>
  <si>
    <t>(11) 95213-4423</t>
  </si>
  <si>
    <t>TRC Casas Baia</t>
  </si>
  <si>
    <t>RB Inter</t>
  </si>
  <si>
    <t>(11) 95213-2072</t>
  </si>
  <si>
    <t>18.000</t>
  </si>
  <si>
    <t>(65) 93618-1041</t>
  </si>
  <si>
    <t>15.002</t>
  </si>
  <si>
    <t>(71) 92748-5173</t>
  </si>
  <si>
    <t>Italo (Vidinha)</t>
  </si>
  <si>
    <t>33.453</t>
  </si>
  <si>
    <t>(31) 95347-0145</t>
  </si>
  <si>
    <t>12.652,0</t>
  </si>
  <si>
    <t>14:30</t>
  </si>
  <si>
    <t xml:space="preserve"> (43) 93618-0083</t>
  </si>
  <si>
    <t>(71) 92748-0081</t>
  </si>
  <si>
    <t>17:50</t>
  </si>
  <si>
    <t>(61) 94756-5546</t>
  </si>
  <si>
    <t>33.449</t>
  </si>
  <si>
    <t>Fort CAP</t>
  </si>
  <si>
    <t>(85) 8578-8598</t>
  </si>
  <si>
    <t>(71) 92748-0033</t>
  </si>
  <si>
    <t>28.556</t>
  </si>
  <si>
    <t>(12) 95369-0016</t>
  </si>
  <si>
    <t>30.341</t>
  </si>
  <si>
    <t>(74) 92384-0582</t>
  </si>
  <si>
    <t>9.514</t>
  </si>
  <si>
    <t>Junior Trips</t>
  </si>
  <si>
    <t xml:space="preserve"> (31) 95347-0154</t>
  </si>
  <si>
    <t>(45) 93618-0102</t>
  </si>
  <si>
    <t>36.241</t>
  </si>
  <si>
    <t>(75) 92893-0015</t>
  </si>
  <si>
    <t>17.751</t>
  </si>
  <si>
    <t>(93) 93618-2004</t>
  </si>
  <si>
    <t>15.385</t>
  </si>
  <si>
    <t>17:39</t>
  </si>
  <si>
    <t>(32) 95619-0431</t>
  </si>
  <si>
    <t>13.627</t>
  </si>
  <si>
    <t>(12) 95369-0082</t>
  </si>
  <si>
    <t>(71) 93300-3647</t>
  </si>
  <si>
    <t>(11) 95213-4611</t>
  </si>
  <si>
    <t>Vitinho</t>
  </si>
  <si>
    <t>(55) 92481-0038</t>
  </si>
  <si>
    <t>8.144</t>
  </si>
  <si>
    <t>(12) 95369-0099</t>
  </si>
  <si>
    <t>90.000</t>
  </si>
  <si>
    <t>(71) 93300-3591</t>
  </si>
  <si>
    <t>23.037</t>
  </si>
  <si>
    <t>(31) 95347-0162</t>
  </si>
  <si>
    <t>12/21/2025</t>
  </si>
  <si>
    <t>(31) 95347-0163</t>
  </si>
  <si>
    <t>(31) 95347-0164</t>
  </si>
  <si>
    <t>(71) 96647570</t>
  </si>
  <si>
    <t>25.201</t>
  </si>
  <si>
    <t>20:17</t>
  </si>
  <si>
    <t>20:44</t>
  </si>
  <si>
    <t>(38) 93618-0064</t>
  </si>
  <si>
    <t>ricardo</t>
  </si>
  <si>
    <t>Valdeir Gonçalves</t>
  </si>
  <si>
    <t>(12) 95369-0148</t>
  </si>
  <si>
    <t>(12) 95369-0139</t>
  </si>
  <si>
    <t>RB 3010</t>
  </si>
  <si>
    <t>(71) 933003532</t>
  </si>
  <si>
    <t>43.808</t>
  </si>
  <si>
    <t>(71) 933003570</t>
  </si>
  <si>
    <t>Ferro Shop - Jose Otavio</t>
  </si>
  <si>
    <t>(43) 6725-2065</t>
  </si>
  <si>
    <t>11.254</t>
  </si>
  <si>
    <t>Tubarão Prêmios</t>
  </si>
  <si>
    <t>(67) 93618-0042</t>
  </si>
  <si>
    <t>Pedrinho Oficial</t>
  </si>
  <si>
    <t>(11) 94181-4816</t>
  </si>
  <si>
    <t>Anezio - Equipe AVB</t>
  </si>
  <si>
    <t>(31) 93618-5405</t>
  </si>
  <si>
    <t>João SS Prêmios</t>
  </si>
  <si>
    <t>17:35</t>
  </si>
  <si>
    <t>(47) 93618-0228</t>
  </si>
  <si>
    <t xml:space="preserve"> (47) 93618-0230</t>
  </si>
  <si>
    <t>35.000</t>
  </si>
  <si>
    <t>(71) 99730-3583</t>
  </si>
  <si>
    <t>Ronaldo Arantes</t>
  </si>
  <si>
    <t>(31) 95347-0169</t>
  </si>
  <si>
    <t>Antônio Jd Premiações</t>
  </si>
  <si>
    <t>(33) 93618-0029</t>
  </si>
  <si>
    <t>(55) 92481-0003</t>
  </si>
  <si>
    <t>Douglas Mg</t>
  </si>
  <si>
    <t>(82) 93618-0029</t>
  </si>
  <si>
    <t>RB 2847</t>
  </si>
  <si>
    <t>(11) 95213-1178</t>
  </si>
  <si>
    <t>RB 3002</t>
  </si>
  <si>
    <t>Cancelou</t>
  </si>
  <si>
    <t>(11) 95213-2915</t>
  </si>
  <si>
    <t>12/23/2025</t>
  </si>
  <si>
    <t>71 92748-5456 / 71 92748-0010</t>
  </si>
  <si>
    <t>Mandar Relatório</t>
  </si>
  <si>
    <t>Careca</t>
  </si>
  <si>
    <t>(64) 93618-0038</t>
  </si>
  <si>
    <t>12.500</t>
  </si>
  <si>
    <t>Cristiano Polimentos</t>
  </si>
  <si>
    <t>(17) 95693-2724</t>
  </si>
  <si>
    <t>(82) 93618-0162</t>
  </si>
  <si>
    <t>22.182</t>
  </si>
  <si>
    <t>(55) 92481-5008</t>
  </si>
  <si>
    <t>20.253</t>
  </si>
  <si>
    <t>(71) 92748-0019</t>
  </si>
  <si>
    <t>23.036</t>
  </si>
  <si>
    <t>Jose Otavio - PG Prêmios</t>
  </si>
  <si>
    <t>(51) 92634-0046</t>
  </si>
  <si>
    <t>11.476</t>
  </si>
  <si>
    <t>Gabriel Premios</t>
  </si>
  <si>
    <t>18:15</t>
  </si>
  <si>
    <t>(19) 93620-0641</t>
  </si>
  <si>
    <t>(71) 92748-0075</t>
  </si>
  <si>
    <t>(82) 93618-0205</t>
  </si>
  <si>
    <t>12.263</t>
  </si>
  <si>
    <t>(31) 95347-0177</t>
  </si>
  <si>
    <t xml:space="preserve"> (31) 95347-5310</t>
  </si>
  <si>
    <t>38.637</t>
  </si>
  <si>
    <t>20:36</t>
  </si>
  <si>
    <t>(43) 93618-0092</t>
  </si>
  <si>
    <t>Carlos Bigode</t>
  </si>
  <si>
    <t>(11) 95213-4670</t>
  </si>
  <si>
    <t>12/24/2025</t>
  </si>
  <si>
    <t>23.007</t>
  </si>
  <si>
    <t>João Santiago - PROJEKTA</t>
  </si>
  <si>
    <t>(47) 93618-0239</t>
  </si>
  <si>
    <t>13.875</t>
  </si>
  <si>
    <t>Premiações NV</t>
  </si>
  <si>
    <t>55 12 95369-6051</t>
  </si>
  <si>
    <t>11.104</t>
  </si>
  <si>
    <t>Wesley Alves</t>
  </si>
  <si>
    <t>(19) 95871-0434</t>
  </si>
  <si>
    <t>Pedro Moraes</t>
  </si>
  <si>
    <t>(64) 93618-0039</t>
  </si>
  <si>
    <t>11.422</t>
  </si>
  <si>
    <t>Flavinho</t>
  </si>
  <si>
    <t>(19) 95871-0435</t>
  </si>
  <si>
    <t>(31) 95347-0191</t>
  </si>
  <si>
    <t>59.999</t>
  </si>
  <si>
    <t>Romario Premiações</t>
  </si>
  <si>
    <t>(79) 92675-0007</t>
  </si>
  <si>
    <t>8.710</t>
  </si>
  <si>
    <t>23.000</t>
  </si>
  <si>
    <t>JP Da Sorte</t>
  </si>
  <si>
    <t>(19) 95871-0448</t>
  </si>
  <si>
    <t>15.177</t>
  </si>
  <si>
    <t>Vitinho Prêmios</t>
  </si>
  <si>
    <t>(31) 93618-5477</t>
  </si>
  <si>
    <t>Wesley Macedo</t>
  </si>
  <si>
    <t>(21) 92367-0593</t>
  </si>
  <si>
    <t>36.642</t>
  </si>
  <si>
    <t>Pedrin Miranda</t>
  </si>
  <si>
    <t xml:space="preserve"> (12) 95369-0166</t>
  </si>
  <si>
    <t>(71) 92748-0018</t>
  </si>
  <si>
    <t>(81) 95168-5168</t>
  </si>
  <si>
    <t>13.008</t>
  </si>
  <si>
    <t>(75) 92893-0021</t>
  </si>
  <si>
    <t>(71) 92748-007</t>
  </si>
  <si>
    <t>26.083</t>
  </si>
  <si>
    <t>Jean Do Grau</t>
  </si>
  <si>
    <t>(11) 95213-4740</t>
  </si>
  <si>
    <t>5.463</t>
  </si>
  <si>
    <t>19:13</t>
  </si>
  <si>
    <t>Boy Demais</t>
  </si>
  <si>
    <t>(31) 95347-0197</t>
  </si>
  <si>
    <t>18:20</t>
  </si>
  <si>
    <t xml:space="preserve"> (71) 8349-0131</t>
  </si>
  <si>
    <t>18.308</t>
  </si>
  <si>
    <t>Brotherrs das Trips</t>
  </si>
  <si>
    <t>(31) 95347-0066</t>
  </si>
  <si>
    <t>12/25/2025</t>
  </si>
  <si>
    <t>39.115</t>
  </si>
  <si>
    <t>11:12</t>
  </si>
  <si>
    <t>(71) 92748-0110</t>
  </si>
  <si>
    <t>22.052</t>
  </si>
  <si>
    <t>11:29</t>
  </si>
  <si>
    <t>(71) 92748-0103</t>
  </si>
  <si>
    <t xml:space="preserve"> (98) 94692-5138</t>
  </si>
  <si>
    <t>19.051</t>
  </si>
  <si>
    <t>Proeste</t>
  </si>
  <si>
    <t xml:space="preserve"> (45) 6948-5185</t>
  </si>
  <si>
    <t>(65) 93618-0918</t>
  </si>
  <si>
    <t>29.997</t>
  </si>
  <si>
    <t>Amapa</t>
  </si>
  <si>
    <t>14:38</t>
  </si>
  <si>
    <t>(96) 93618-0704</t>
  </si>
  <si>
    <t>12.885</t>
  </si>
  <si>
    <t>(93) 93618-2006</t>
  </si>
  <si>
    <t>15.891</t>
  </si>
  <si>
    <t>Minas Cap_ Norte</t>
  </si>
  <si>
    <t>14:42</t>
  </si>
  <si>
    <t>(38) 93618-0016</t>
  </si>
  <si>
    <t>10.289</t>
  </si>
  <si>
    <t>14:29</t>
  </si>
  <si>
    <t>(31) 95347-0207/(31) 95347-0206</t>
  </si>
  <si>
    <t>179.800</t>
  </si>
  <si>
    <t>07:30</t>
  </si>
  <si>
    <t>(31) 95347-5353</t>
  </si>
  <si>
    <t>102.620</t>
  </si>
  <si>
    <t>Ag Premiações</t>
  </si>
  <si>
    <t>Está Pausada essa demanda</t>
  </si>
  <si>
    <t>(75) 92893-0019</t>
  </si>
  <si>
    <t>12/26/2025</t>
  </si>
  <si>
    <t>(31) 95347-0216</t>
  </si>
  <si>
    <t>51.000</t>
  </si>
  <si>
    <t xml:space="preserve"> (71) 92748-0124</t>
  </si>
  <si>
    <t>22.053</t>
  </si>
  <si>
    <t>Atendimento Cobranças</t>
  </si>
  <si>
    <t xml:space="preserve"> (11) 95213-5471</t>
  </si>
  <si>
    <t>(71) 92748-0257</t>
  </si>
  <si>
    <t>24.921</t>
  </si>
  <si>
    <t xml:space="preserve"> (85) 93618-1245</t>
  </si>
  <si>
    <t>10.100</t>
  </si>
  <si>
    <t>(71) 92748-0099</t>
  </si>
  <si>
    <t>(65) 93618-0919</t>
  </si>
  <si>
    <t>19.660</t>
  </si>
  <si>
    <t xml:space="preserve"> (19) 95871-0450</t>
  </si>
  <si>
    <t>Mancha Moura</t>
  </si>
  <si>
    <t xml:space="preserve"> (19) 95871-0465</t>
  </si>
  <si>
    <t>(19) 95871-0467</t>
  </si>
  <si>
    <t xml:space="preserve"> (19) 95871-0483</t>
  </si>
  <si>
    <t>(19) 95871-0485</t>
  </si>
  <si>
    <t>18:39</t>
  </si>
  <si>
    <t>(19) 95871-0487</t>
  </si>
  <si>
    <t>Aguardando informação do Horario</t>
  </si>
  <si>
    <t>(31) 95347-0212</t>
  </si>
  <si>
    <t>59.771</t>
  </si>
  <si>
    <t>Vicente</t>
  </si>
  <si>
    <t>20:25</t>
  </si>
  <si>
    <t>(51) 92634-0092</t>
  </si>
  <si>
    <t>38.089</t>
  </si>
  <si>
    <t>Poeta dos caminhoneiros</t>
  </si>
  <si>
    <t>(77) 92169-0011</t>
  </si>
  <si>
    <t>21.134</t>
  </si>
  <si>
    <t>(82) 8101-6925</t>
  </si>
  <si>
    <t>(21) 92367-0603</t>
  </si>
  <si>
    <t>21:46</t>
  </si>
  <si>
    <t>(31) 95347-0225</t>
  </si>
  <si>
    <t xml:space="preserve"> (31) 95347-0215</t>
  </si>
  <si>
    <t>31 95347-0230</t>
  </si>
  <si>
    <t>31 95347-0231</t>
  </si>
  <si>
    <t>(31) 95347-0226</t>
  </si>
  <si>
    <t>28.746</t>
  </si>
  <si>
    <t>Raphael Portes</t>
  </si>
  <si>
    <t>31 95347-0232</t>
  </si>
  <si>
    <t>10.469</t>
  </si>
  <si>
    <t>Flavio Caça Rato</t>
  </si>
  <si>
    <t>09:40</t>
  </si>
  <si>
    <t>(11) 95213-8040</t>
  </si>
  <si>
    <t>45.380</t>
  </si>
  <si>
    <t>Original Vinicius</t>
  </si>
  <si>
    <t>(21) 92367-0604</t>
  </si>
  <si>
    <t>11.223</t>
  </si>
  <si>
    <t>(71) 92748-0274</t>
  </si>
  <si>
    <t>12/27/2025</t>
  </si>
  <si>
    <t>(19) 95871-0496</t>
  </si>
  <si>
    <t>?</t>
  </si>
  <si>
    <t>12/27/25</t>
  </si>
  <si>
    <t>Tudo pronto, só esperar o OK do Boy</t>
  </si>
  <si>
    <t>(31) 95347-0229</t>
  </si>
  <si>
    <t>49.333</t>
  </si>
  <si>
    <t>(31) 95347-0228</t>
  </si>
  <si>
    <t>(31) 95347-0233</t>
  </si>
  <si>
    <t xml:space="preserve">(31) 95347-0234 </t>
  </si>
  <si>
    <t>(31) 95347-0236</t>
  </si>
  <si>
    <t>(31) 95347-0235</t>
  </si>
  <si>
    <t>(93) 93618-2007</t>
  </si>
  <si>
    <t>15.792</t>
  </si>
  <si>
    <t>(96) 93618-0706</t>
  </si>
  <si>
    <t>22.898</t>
  </si>
  <si>
    <t>Caju Cap</t>
  </si>
  <si>
    <t>(79) 92675-0008</t>
  </si>
  <si>
    <t>21.841</t>
  </si>
  <si>
    <t>Portal da Sorte</t>
  </si>
  <si>
    <t>12:29</t>
  </si>
  <si>
    <t>(99) 94581-5075</t>
  </si>
  <si>
    <t>Robenwood_premios</t>
  </si>
  <si>
    <t>(31) 95347-0227</t>
  </si>
  <si>
    <t>Dupla da Sorte</t>
  </si>
  <si>
    <t xml:space="preserve"> (43) 93618-0073</t>
  </si>
  <si>
    <t>11.650</t>
  </si>
  <si>
    <t>(19) 95871-0502</t>
  </si>
  <si>
    <t>(19) 95871-0503</t>
  </si>
  <si>
    <t>(71) 92748-0312</t>
  </si>
  <si>
    <t>(45) 6948-5107</t>
  </si>
  <si>
    <t xml:space="preserve"> (61) 94756-0047</t>
  </si>
  <si>
    <t>Só vai disparar depois que pagar</t>
  </si>
  <si>
    <t>17:25</t>
  </si>
  <si>
    <t>(38) 95634-5460</t>
  </si>
  <si>
    <t xml:space="preserve"> (31) 95347-0239</t>
  </si>
  <si>
    <t>falta tp</t>
  </si>
  <si>
    <t>(31) 95347-0240</t>
  </si>
  <si>
    <t>(31) 93618-5499</t>
  </si>
  <si>
    <t>(31) 93618-5501</t>
  </si>
  <si>
    <t>(31) 93618-5502</t>
  </si>
  <si>
    <t>Antonio Scherer</t>
  </si>
  <si>
    <t>(51) 92634-0079</t>
  </si>
  <si>
    <t>14.667</t>
  </si>
  <si>
    <t>(44) 6591-5100</t>
  </si>
  <si>
    <t>10.864</t>
  </si>
  <si>
    <t>Zé comercio</t>
  </si>
  <si>
    <t xml:space="preserve"> (11) 95213-5819</t>
  </si>
  <si>
    <t>(71) 92748-0326</t>
  </si>
  <si>
    <t>German037</t>
  </si>
  <si>
    <t>(37) 93618-0052</t>
  </si>
  <si>
    <t>Lukinha011</t>
  </si>
  <si>
    <t>(11) 95213-6101</t>
  </si>
  <si>
    <t>26.304</t>
  </si>
  <si>
    <t>(55) 92481-5413</t>
  </si>
  <si>
    <t>12:33</t>
  </si>
  <si>
    <t>(31) 95347-0238</t>
  </si>
  <si>
    <t>47.831</t>
  </si>
  <si>
    <t>(19) 95871-0516</t>
  </si>
  <si>
    <t>(19) 95871-0518</t>
  </si>
  <si>
    <t>mandar Relatório</t>
  </si>
  <si>
    <t>(43) 92001-1958</t>
  </si>
  <si>
    <t>42.412</t>
  </si>
  <si>
    <t>(71) 92748-0304</t>
  </si>
  <si>
    <t>(11) 95213-6460</t>
  </si>
  <si>
    <t>16.779</t>
  </si>
  <si>
    <t>41.426</t>
  </si>
  <si>
    <t>(11) 95213-2306</t>
  </si>
  <si>
    <t>BP Honda</t>
  </si>
  <si>
    <t>(75) 92893-5023</t>
  </si>
  <si>
    <t>Rare - Pedrinho</t>
  </si>
  <si>
    <t>Remarcado pro dia 30/12</t>
  </si>
  <si>
    <t>(19) 95871-0549</t>
  </si>
  <si>
    <t>11.200</t>
  </si>
  <si>
    <t>(19) 95871-0552</t>
  </si>
  <si>
    <t>18:06</t>
  </si>
  <si>
    <t>(71) 92748-5023</t>
  </si>
  <si>
    <t>31.147</t>
  </si>
  <si>
    <t>Gustavo Fagundes</t>
  </si>
  <si>
    <t>(11) 95213-7095</t>
  </si>
  <si>
    <t>(11) 95213-1094</t>
  </si>
  <si>
    <t>Maykon Santos</t>
  </si>
  <si>
    <t>(11) 95213-6588</t>
  </si>
  <si>
    <t>37.924</t>
  </si>
  <si>
    <t>(31) 93618-5517</t>
  </si>
  <si>
    <t>41.536</t>
  </si>
  <si>
    <t>(31) 93618-5518</t>
  </si>
  <si>
    <t>19:33</t>
  </si>
  <si>
    <t>(19) 95871-0539</t>
  </si>
  <si>
    <t>Erika - Luva</t>
  </si>
  <si>
    <t>(11) 95213-6610</t>
  </si>
  <si>
    <t>(31) 93618-5520</t>
  </si>
  <si>
    <t>61.828</t>
  </si>
  <si>
    <t>(11) 95213-6624</t>
  </si>
  <si>
    <t>(71) 92748-0378</t>
  </si>
  <si>
    <t>(15) 93618-1353</t>
  </si>
  <si>
    <t>22817</t>
  </si>
  <si>
    <t>(75) 992893-0008</t>
  </si>
  <si>
    <t>(12) 95369-6294</t>
  </si>
  <si>
    <t>Serrano Racing</t>
  </si>
  <si>
    <t>(11) 95213-6653</t>
  </si>
  <si>
    <t>24.994</t>
  </si>
  <si>
    <t>(19) 95871-0565</t>
  </si>
  <si>
    <t>(19) 95871-0566</t>
  </si>
  <si>
    <t>51.333</t>
  </si>
  <si>
    <t>(19) 95871-0568</t>
  </si>
  <si>
    <t xml:space="preserve"> (19) 95871-0569</t>
  </si>
  <si>
    <t>(19) 95871-0573</t>
  </si>
  <si>
    <t>(19) 95871-0583</t>
  </si>
  <si>
    <t>(19) 95871-0585</t>
  </si>
  <si>
    <t>Pitbull do Grau</t>
  </si>
  <si>
    <t xml:space="preserve"> (11) 95213-6606</t>
  </si>
  <si>
    <t>29.654</t>
  </si>
  <si>
    <t>(11) 95213-6660</t>
  </si>
  <si>
    <t>62.000</t>
  </si>
  <si>
    <t>(11) 95213-6658</t>
  </si>
  <si>
    <t>(31) 95347-0192</t>
  </si>
  <si>
    <t>34.572</t>
  </si>
  <si>
    <t>(71) 92748-0418</t>
  </si>
  <si>
    <t>33.709</t>
  </si>
  <si>
    <t>09:01</t>
  </si>
  <si>
    <t>(15) 93618-1190</t>
  </si>
  <si>
    <t>22.906</t>
  </si>
  <si>
    <t>???</t>
  </si>
  <si>
    <t>(19) 95871-0599</t>
  </si>
  <si>
    <t>18:13</t>
  </si>
  <si>
    <t>(98) 94692-5141</t>
  </si>
  <si>
    <t>19.098</t>
  </si>
  <si>
    <t>(93) 93618-2009</t>
  </si>
  <si>
    <t>7.224</t>
  </si>
  <si>
    <t xml:space="preserve"> (45) 6948-5240</t>
  </si>
  <si>
    <t>12.001</t>
  </si>
  <si>
    <t>(96) 93618-0701</t>
  </si>
  <si>
    <t>9.991</t>
  </si>
  <si>
    <t>(65) 93618-0921</t>
  </si>
  <si>
    <t>(43) 93300-8512</t>
  </si>
  <si>
    <t>42.499</t>
  </si>
  <si>
    <t>(31) 95347-0189</t>
  </si>
  <si>
    <t>14.551</t>
  </si>
  <si>
    <t>(19) 95871-0639</t>
  </si>
  <si>
    <t>37.271</t>
  </si>
  <si>
    <t>(19) 958710614</t>
  </si>
  <si>
    <t>(55) 92481-0039</t>
  </si>
  <si>
    <t>9.993</t>
  </si>
  <si>
    <t>Samuel Premiações</t>
  </si>
  <si>
    <t>15:20</t>
  </si>
  <si>
    <t>(74) 92384-3533</t>
  </si>
  <si>
    <t>(71) 92748-0391</t>
  </si>
  <si>
    <t>59.417</t>
  </si>
  <si>
    <t>(11) 95213-6719</t>
  </si>
  <si>
    <t>39.009</t>
  </si>
  <si>
    <t>08:00</t>
  </si>
  <si>
    <t>(71) 92000-1416</t>
  </si>
  <si>
    <t>49.999</t>
  </si>
  <si>
    <t>Promotor Carlos bigode</t>
  </si>
  <si>
    <t>12:50</t>
  </si>
  <si>
    <t>(11) 95213-6741</t>
  </si>
  <si>
    <t>44.052</t>
  </si>
  <si>
    <t>10:13</t>
  </si>
  <si>
    <t>(15) 93618-1294</t>
  </si>
  <si>
    <t>87.191</t>
  </si>
  <si>
    <t>22.051</t>
  </si>
  <si>
    <t>14.462</t>
  </si>
  <si>
    <t>13.337</t>
  </si>
  <si>
    <t>26.033</t>
  </si>
  <si>
    <t>19:15</t>
  </si>
  <si>
    <t>46.136</t>
  </si>
  <si>
    <t>(74) 92384-5494</t>
  </si>
  <si>
    <t>Marcela da Lyds</t>
  </si>
  <si>
    <t>(11) 95213-6797</t>
  </si>
  <si>
    <t>Serrano</t>
  </si>
  <si>
    <t>(11) 95213-6798</t>
  </si>
  <si>
    <t>25.010</t>
  </si>
  <si>
    <t>10:50</t>
  </si>
  <si>
    <t>(74) 92384-5312</t>
  </si>
  <si>
    <t>11:20</t>
  </si>
  <si>
    <t>(31) 93618-5531</t>
  </si>
  <si>
    <t>38.647</t>
  </si>
  <si>
    <t>(64) 93618-0029</t>
  </si>
  <si>
    <t>(38) 93618-0017</t>
  </si>
  <si>
    <t>10.298</t>
  </si>
  <si>
    <t>(45) 6948-5116</t>
  </si>
  <si>
    <t>41.565</t>
  </si>
  <si>
    <t>18:10</t>
  </si>
  <si>
    <t>(71) 9663-7202</t>
  </si>
  <si>
    <t>35.268</t>
  </si>
  <si>
    <t>(75) 9973-6761</t>
  </si>
  <si>
    <t>(51) 92634-0411</t>
  </si>
  <si>
    <t>14.424</t>
  </si>
  <si>
    <t>(11) 95213-6816</t>
  </si>
  <si>
    <t xml:space="preserve"> (19) 95871-0463</t>
  </si>
  <si>
    <t>Cancelado</t>
  </si>
  <si>
    <t>(31) 93618-5537</t>
  </si>
  <si>
    <t>11.270</t>
  </si>
  <si>
    <t>(11) 95213-6843</t>
  </si>
  <si>
    <t>Weber Barcos &amp; Cia</t>
  </si>
  <si>
    <t>(94) 93618-2015</t>
  </si>
  <si>
    <t>20.778</t>
  </si>
  <si>
    <t>13:02</t>
  </si>
  <si>
    <t>(55) 92481-0041</t>
  </si>
  <si>
    <t>12:52</t>
  </si>
  <si>
    <t>(11) 95213-6847</t>
  </si>
  <si>
    <t>(11) 95213-6900</t>
  </si>
  <si>
    <t>12.985</t>
  </si>
  <si>
    <t>Esbórnia Carnaval BH</t>
  </si>
  <si>
    <t>(31) 93618-5542</t>
  </si>
  <si>
    <t>22.414</t>
  </si>
  <si>
    <t>(75) 92893-0157</t>
  </si>
  <si>
    <t>Denner Galvão</t>
  </si>
  <si>
    <t>(37) 93618-0057</t>
  </si>
  <si>
    <t>11.631</t>
  </si>
  <si>
    <t>12:21</t>
  </si>
  <si>
    <t>(71) 92748-0449</t>
  </si>
  <si>
    <t>33.037</t>
  </si>
  <si>
    <t>13:20</t>
  </si>
  <si>
    <t>(71) 92748-0453</t>
  </si>
  <si>
    <t>(75) 92893-0195</t>
  </si>
  <si>
    <t>49.475</t>
  </si>
  <si>
    <t>Investidor de Verdade</t>
  </si>
  <si>
    <t>(11) 95213-6905</t>
  </si>
  <si>
    <t>82.000</t>
  </si>
  <si>
    <t>30.536</t>
  </si>
  <si>
    <t>(11) 95213-7011</t>
  </si>
  <si>
    <t>Casas Bahia</t>
  </si>
  <si>
    <t>Next</t>
  </si>
  <si>
    <t>(11) 95213-7007</t>
  </si>
  <si>
    <t>10:05</t>
  </si>
  <si>
    <t>(71) 92748-0456</t>
  </si>
  <si>
    <t>37.723</t>
  </si>
  <si>
    <t>Jr.Digital</t>
  </si>
  <si>
    <t>(31) 93618-5557</t>
  </si>
  <si>
    <t>43.802</t>
  </si>
  <si>
    <t>(11) 95213-7018</t>
  </si>
  <si>
    <t>13.469</t>
  </si>
  <si>
    <t>(43) 93300-7168</t>
  </si>
  <si>
    <t>42.500</t>
  </si>
  <si>
    <t>(55) 92481-0043</t>
  </si>
  <si>
    <t>14:10</t>
  </si>
  <si>
    <t>33.036</t>
  </si>
  <si>
    <t>Karlyane</t>
  </si>
  <si>
    <t>(27) 92834-0108</t>
  </si>
  <si>
    <t>10.147</t>
  </si>
  <si>
    <t>(81) 95168-0006</t>
  </si>
  <si>
    <t>59.067</t>
  </si>
  <si>
    <t>Joao SS</t>
  </si>
  <si>
    <t>(47) 6427-5358</t>
  </si>
  <si>
    <t>(19) 93620-0590</t>
  </si>
  <si>
    <t>15.216</t>
  </si>
  <si>
    <t xml:space="preserve"> (11) 95213-7069</t>
  </si>
  <si>
    <t>41.000</t>
  </si>
  <si>
    <t>(11) 95213-7070</t>
  </si>
  <si>
    <t>Gabrielzao</t>
  </si>
  <si>
    <t>(11) 95213-7107</t>
  </si>
  <si>
    <t>16.497</t>
  </si>
  <si>
    <t>(11) 95213-6359</t>
  </si>
  <si>
    <t>22.042</t>
  </si>
  <si>
    <t>RB 2845</t>
  </si>
  <si>
    <t xml:space="preserve"> (11) 95213-7055</t>
  </si>
  <si>
    <t>8.547</t>
  </si>
  <si>
    <t>8.933</t>
  </si>
  <si>
    <t>(11) 95213-1700</t>
  </si>
  <si>
    <t>RB3002</t>
  </si>
  <si>
    <t>(19) 95871-7079</t>
  </si>
  <si>
    <t xml:space="preserve">10.481 </t>
  </si>
  <si>
    <t>Play Bet - Natanzinho</t>
  </si>
  <si>
    <t>(81) 95168-0037</t>
  </si>
  <si>
    <t>29.994</t>
  </si>
  <si>
    <t>17.171</t>
  </si>
  <si>
    <t>Gincana de Prêmios</t>
  </si>
  <si>
    <t>(11) 95213-7143</t>
  </si>
  <si>
    <t>10.107</t>
  </si>
  <si>
    <t>8.673</t>
  </si>
  <si>
    <t xml:space="preserve"> ‎(33) 93618-0019</t>
  </si>
  <si>
    <t>Augusto</t>
  </si>
  <si>
    <t>8.700</t>
  </si>
  <si>
    <t>9.915</t>
  </si>
  <si>
    <t>13.275</t>
  </si>
  <si>
    <t>(98) 94692-5059</t>
  </si>
  <si>
    <t>13.917</t>
  </si>
  <si>
    <t>Mandar relatório</t>
  </si>
  <si>
    <t xml:space="preserve"> (96) 93618-0708</t>
  </si>
  <si>
    <t>Otavio</t>
  </si>
  <si>
    <t>10.629</t>
  </si>
  <si>
    <t>13:40</t>
  </si>
  <si>
    <t>12.826</t>
  </si>
  <si>
    <t>10.584</t>
  </si>
  <si>
    <t>Disparos pilhado</t>
  </si>
  <si>
    <t>(81) 95168-0069</t>
  </si>
  <si>
    <t xml:space="preserve"> (31) 93618-5560</t>
  </si>
  <si>
    <t>25.450</t>
  </si>
  <si>
    <t>22.848</t>
  </si>
  <si>
    <t>(71) 92748-0454</t>
  </si>
  <si>
    <t>29.863</t>
  </si>
  <si>
    <t>27.982</t>
  </si>
  <si>
    <t>(11) 95213-7219</t>
  </si>
  <si>
    <t>39.774</t>
  </si>
  <si>
    <t>(11) 95213-7227</t>
  </si>
  <si>
    <t>36.315</t>
  </si>
  <si>
    <t>(11) 95213-7262</t>
  </si>
  <si>
    <t>10.520</t>
  </si>
  <si>
    <t>Ailos</t>
  </si>
  <si>
    <t>11:10</t>
  </si>
  <si>
    <t>(11) 95213-7269</t>
  </si>
  <si>
    <t>6.662</t>
  </si>
  <si>
    <t>BO REC</t>
  </si>
  <si>
    <t>7.539</t>
  </si>
  <si>
    <t>BP CB</t>
  </si>
  <si>
    <t>5.515</t>
  </si>
  <si>
    <t>6.540</t>
  </si>
  <si>
    <t>5.518</t>
  </si>
  <si>
    <t>(11) 95213-7261</t>
  </si>
  <si>
    <t>6.494</t>
  </si>
  <si>
    <t>3.871</t>
  </si>
  <si>
    <t>RB3010</t>
  </si>
  <si>
    <t>7.153</t>
  </si>
  <si>
    <t>RB3026</t>
  </si>
  <si>
    <t>8.688</t>
  </si>
  <si>
    <t>RB6665</t>
  </si>
  <si>
    <t>8.934</t>
  </si>
  <si>
    <t>(17) 95693-0114</t>
  </si>
  <si>
    <t>11.060</t>
  </si>
  <si>
    <t>10.310</t>
  </si>
  <si>
    <t>(67) 93618-0051</t>
  </si>
  <si>
    <t>8.293</t>
  </si>
  <si>
    <t xml:space="preserve">09:42  </t>
  </si>
  <si>
    <t>(71) 92748-0457</t>
  </si>
  <si>
    <t>27.052</t>
  </si>
  <si>
    <t>7.471</t>
  </si>
  <si>
    <t>(45) 6948-0144</t>
  </si>
  <si>
    <t>11.532</t>
  </si>
  <si>
    <t>(98) 94692-5108</t>
  </si>
  <si>
    <t>Lucas</t>
  </si>
  <si>
    <t>Romário Mt</t>
  </si>
  <si>
    <t>(79) 92675-0051</t>
  </si>
  <si>
    <t>8.745</t>
  </si>
  <si>
    <t>7.591</t>
  </si>
  <si>
    <t>(11) 95213-7964</t>
  </si>
  <si>
    <t>9.613</t>
  </si>
  <si>
    <t>(11) 95213-7384</t>
  </si>
  <si>
    <t>7.802</t>
  </si>
  <si>
    <t>7.715</t>
  </si>
  <si>
    <t>9.464</t>
  </si>
  <si>
    <t>8.157</t>
  </si>
  <si>
    <t>Grupo Barcelos</t>
  </si>
  <si>
    <t>(31) 93618-5619</t>
  </si>
  <si>
    <t xml:space="preserve"> (11) 92203-4701</t>
  </si>
  <si>
    <t>19.837</t>
  </si>
  <si>
    <t>(15) 93618-1213</t>
  </si>
  <si>
    <t>40.847</t>
  </si>
  <si>
    <t>(45) 6948-0143</t>
  </si>
  <si>
    <t>22.467</t>
  </si>
  <si>
    <t>4.364</t>
  </si>
  <si>
    <t>(15) 93618-1408</t>
  </si>
  <si>
    <t>(31) 93618-5620</t>
  </si>
  <si>
    <t>8.209</t>
  </si>
  <si>
    <t>25.528</t>
  </si>
  <si>
    <t>9.680</t>
  </si>
  <si>
    <t>(71) 92748-0473</t>
  </si>
  <si>
    <t>32.830</t>
  </si>
  <si>
    <t>10.345</t>
  </si>
  <si>
    <t>8.442</t>
  </si>
  <si>
    <t>9.562</t>
  </si>
  <si>
    <t>OAB Santa Catarina</t>
  </si>
  <si>
    <t>(48) 93618-0418</t>
  </si>
  <si>
    <t>(71) 92748-0461</t>
  </si>
  <si>
    <t>27.324</t>
  </si>
  <si>
    <t>Dra Sophia</t>
  </si>
  <si>
    <t>20:40</t>
  </si>
  <si>
    <t>(11) 93618-8535</t>
  </si>
  <si>
    <t>12.833</t>
  </si>
  <si>
    <t>Jean do Grau</t>
  </si>
  <si>
    <t>(11) 93618-8546</t>
  </si>
  <si>
    <t>5.104</t>
  </si>
  <si>
    <t>22:20</t>
  </si>
  <si>
    <t>10.399</t>
  </si>
  <si>
    <t>8.221</t>
  </si>
  <si>
    <t>(71) 92000-1534</t>
  </si>
  <si>
    <t>29.131</t>
  </si>
  <si>
    <t>(11) 95213-0562</t>
  </si>
  <si>
    <t>8.432</t>
  </si>
  <si>
    <t>Linx</t>
  </si>
  <si>
    <t>Tenda</t>
  </si>
  <si>
    <t>PixBichoBR</t>
  </si>
  <si>
    <t>(11) 95213-5072</t>
  </si>
  <si>
    <t>12:20</t>
  </si>
  <si>
    <t>(11) 95213-0577</t>
  </si>
  <si>
    <t>9.300</t>
  </si>
  <si>
    <t xml:space="preserve"> (11) 95213-0582</t>
  </si>
  <si>
    <t>19.897</t>
  </si>
  <si>
    <t>promotor flavio caça rato</t>
  </si>
  <si>
    <t>13:53</t>
  </si>
  <si>
    <t>(11) 95213-0588</t>
  </si>
  <si>
    <t>14:40</t>
  </si>
  <si>
    <t xml:space="preserve"> (71) 92748-0038</t>
  </si>
  <si>
    <t>27.964</t>
  </si>
  <si>
    <t>(81) 93618-0048</t>
  </si>
  <si>
    <t>15:35</t>
  </si>
  <si>
    <t>(71) 9730-3583</t>
  </si>
  <si>
    <t>(27) 928340116</t>
  </si>
  <si>
    <t>17:42</t>
  </si>
  <si>
    <t xml:space="preserve"> (98) 94692-5108</t>
  </si>
  <si>
    <t>Alisson e Fanny</t>
  </si>
  <si>
    <t>(71) 92748-0472</t>
  </si>
  <si>
    <t>17.245</t>
  </si>
  <si>
    <t>19:58</t>
  </si>
  <si>
    <t>Wendel Silva</t>
  </si>
  <si>
    <t>18:27</t>
  </si>
  <si>
    <t>(16) 95782-0755</t>
  </si>
  <si>
    <t>(11) 95213-8225</t>
  </si>
  <si>
    <t>9.657</t>
  </si>
  <si>
    <t>(11) 95213-8224</t>
  </si>
  <si>
    <t>Bradesco ML</t>
  </si>
  <si>
    <t>Honda</t>
  </si>
  <si>
    <t>Itau ATV</t>
  </si>
  <si>
    <t>Não precisa mandar o Relatório</t>
  </si>
  <si>
    <t>(11) 95213-0558</t>
  </si>
  <si>
    <t>Correspondente Bancário - Júlio</t>
  </si>
  <si>
    <t>(11) 95213-8266</t>
  </si>
  <si>
    <t>15:36</t>
  </si>
  <si>
    <t>7.124</t>
  </si>
  <si>
    <t>Jorge Filho Multimarcas</t>
  </si>
  <si>
    <t xml:space="preserve"> (64) 93618-0065</t>
  </si>
  <si>
    <t>CANCELOU</t>
  </si>
  <si>
    <t xml:space="preserve"> (55) 92481-0052</t>
  </si>
  <si>
    <t>8.982</t>
  </si>
  <si>
    <t>8.653</t>
  </si>
  <si>
    <t xml:space="preserve"> (71) 92748-0455</t>
  </si>
  <si>
    <t>6.321</t>
  </si>
  <si>
    <t xml:space="preserve"> (11) 95213-8433</t>
  </si>
  <si>
    <t>5.421</t>
  </si>
  <si>
    <t>BP Renner</t>
  </si>
  <si>
    <t>7.322</t>
  </si>
  <si>
    <t>5.678</t>
  </si>
  <si>
    <t>8.478</t>
  </si>
  <si>
    <t>Porto Bank</t>
  </si>
  <si>
    <t>4.654</t>
  </si>
  <si>
    <t>6.489</t>
  </si>
  <si>
    <t>4.976</t>
  </si>
  <si>
    <t>(31) 9757-2142</t>
  </si>
  <si>
    <t>53.620</t>
  </si>
  <si>
    <t>(31) 9552-6267</t>
  </si>
  <si>
    <t>45.663</t>
  </si>
  <si>
    <t>(31) 7134-3754</t>
  </si>
  <si>
    <t>48.696</t>
  </si>
  <si>
    <t>(31) 9860-8327</t>
  </si>
  <si>
    <t>48.242</t>
  </si>
  <si>
    <t>(31) 9941-5596</t>
  </si>
  <si>
    <t>47.097</t>
  </si>
  <si>
    <t>(31) 9782-7900</t>
  </si>
  <si>
    <t>44.331</t>
  </si>
  <si>
    <t>18.975</t>
  </si>
  <si>
    <t xml:space="preserve"> ‎ 81 93618-0166</t>
  </si>
  <si>
    <t>7.434</t>
  </si>
  <si>
    <t>11 95213-8435</t>
  </si>
  <si>
    <t>Avisos Gerais_I9</t>
  </si>
  <si>
    <t>(11) 95213-8481</t>
  </si>
  <si>
    <t>Mandar relatorio</t>
  </si>
  <si>
    <t>Avisos Gerais_Jacom</t>
  </si>
  <si>
    <t>5.963</t>
  </si>
  <si>
    <t>Super Cap</t>
  </si>
  <si>
    <t>(15) 9</t>
  </si>
  <si>
    <t>(65) 993618-0921</t>
  </si>
  <si>
    <t>(47) 6427-5364</t>
  </si>
  <si>
    <t>19:49</t>
  </si>
  <si>
    <t>(31) 95347-0215</t>
  </si>
  <si>
    <t>08:44</t>
  </si>
  <si>
    <t>(31) 95347-0246</t>
  </si>
  <si>
    <t>(31) 95347-0251</t>
  </si>
  <si>
    <t>(31) 95347-0253</t>
  </si>
  <si>
    <t>(31) 95347-0252</t>
  </si>
  <si>
    <t>(31) 95347-0258</t>
  </si>
  <si>
    <t>(31) 95347-0259</t>
  </si>
  <si>
    <t>(31) 95347-0255</t>
  </si>
  <si>
    <t>Remarcou Para Segunda Dia 19/01</t>
  </si>
  <si>
    <t>Victor Custom Car Garage</t>
  </si>
  <si>
    <t>(41) 6347-5045</t>
  </si>
  <si>
    <t>(11) 93620-4240</t>
  </si>
  <si>
    <t>(38) 93618-0075</t>
  </si>
  <si>
    <t>Morallez Gerente Medi</t>
  </si>
  <si>
    <t>11:47</t>
  </si>
  <si>
    <t>(11) 93620-4243</t>
  </si>
  <si>
    <t>Sestriere</t>
  </si>
  <si>
    <t>(11) 93620-4246</t>
  </si>
  <si>
    <t>12:41</t>
  </si>
  <si>
    <t>(31) 95347-0256</t>
  </si>
  <si>
    <t xml:space="preserve"> (31) 95347-0265</t>
  </si>
  <si>
    <t>(93) 93618-2107</t>
  </si>
  <si>
    <t>(96) 93618-0708</t>
  </si>
  <si>
    <t>(27) 92834-0116</t>
  </si>
  <si>
    <t>Ana Luiza</t>
  </si>
  <si>
    <t>Bring</t>
  </si>
  <si>
    <t>Alisson Leite</t>
  </si>
  <si>
    <t>Tyno Premiaçoes</t>
  </si>
  <si>
    <t>10.456</t>
  </si>
  <si>
    <t>Larissa - Suporte Emprega</t>
  </si>
  <si>
    <t>21:00</t>
  </si>
  <si>
    <t>(71) 92748-0478</t>
  </si>
  <si>
    <t>(11) 93620-4242</t>
  </si>
  <si>
    <t>(15) 93618-1158</t>
  </si>
  <si>
    <t>(15) 93618-1441</t>
  </si>
  <si>
    <t>(15) 93618-1162</t>
  </si>
  <si>
    <t>(71) 92748-0050</t>
  </si>
  <si>
    <t>27.000</t>
  </si>
  <si>
    <t>(11) 93620-4326</t>
  </si>
  <si>
    <t>(11) 93620-4333</t>
  </si>
  <si>
    <t>TRC Ailos</t>
  </si>
  <si>
    <t>Aguardando informar se vai disparar hoje ou amanhã</t>
  </si>
  <si>
    <t>13:49</t>
  </si>
  <si>
    <t>(71) 92748-0463</t>
  </si>
  <si>
    <t>Gabriel German</t>
  </si>
  <si>
    <t>(37) 93618-0041</t>
  </si>
  <si>
    <t>Lucas - Elaine Magari</t>
  </si>
  <si>
    <t xml:space="preserve"> (43) 93618-0103</t>
  </si>
  <si>
    <t>Supercred Brasil</t>
  </si>
  <si>
    <t>(32) 9</t>
  </si>
  <si>
    <t>DNR</t>
  </si>
  <si>
    <t>(11) 95213-7600</t>
  </si>
  <si>
    <t>Quinto Andar</t>
  </si>
  <si>
    <t>.7.853</t>
  </si>
  <si>
    <t>RB0234</t>
  </si>
  <si>
    <t>(11) 95213-8556</t>
  </si>
  <si>
    <t>Chescred</t>
  </si>
  <si>
    <t>(75) 92893-0034</t>
  </si>
  <si>
    <t>1.361</t>
  </si>
  <si>
    <t>(55) 92481-0052</t>
  </si>
  <si>
    <t>(11) 95213-8552</t>
  </si>
  <si>
    <t>1.994</t>
  </si>
  <si>
    <t>(11) 95213-8555</t>
  </si>
  <si>
    <t xml:space="preserve"> (48) 93618-0305</t>
  </si>
  <si>
    <t>Dr. Gil Fernandes</t>
  </si>
  <si>
    <t>(75) 92893-0036</t>
  </si>
  <si>
    <t>6.600</t>
  </si>
  <si>
    <t>OAB Amazonas</t>
  </si>
  <si>
    <t>(92) 93618-0231</t>
  </si>
  <si>
    <t>Caravana do mengao</t>
  </si>
  <si>
    <t>(21) 92367-0235</t>
  </si>
  <si>
    <t>(43) 93618-0105</t>
  </si>
  <si>
    <t>46.860</t>
  </si>
  <si>
    <t>(27) 92834-0157</t>
  </si>
  <si>
    <t>(71) 92748-0466</t>
  </si>
  <si>
    <t>(61) 94756-0082</t>
  </si>
  <si>
    <t xml:space="preserve"> (71) 92748-0052</t>
  </si>
  <si>
    <t>(11) 95213-8707</t>
  </si>
  <si>
    <t>Brad PJ</t>
  </si>
  <si>
    <t>(11) 95213-8704</t>
  </si>
  <si>
    <t>Augusto / Ricardo</t>
  </si>
  <si>
    <t>Localiza</t>
  </si>
  <si>
    <t>Lp PJ</t>
  </si>
  <si>
    <t>Sicoob</t>
  </si>
  <si>
    <t>Jet's Brazil</t>
  </si>
  <si>
    <t>(12) 93618-0497</t>
  </si>
  <si>
    <t>(11) 95213-8698</t>
  </si>
  <si>
    <t>(11) 95213-8708</t>
  </si>
  <si>
    <t>28.949</t>
  </si>
  <si>
    <t>800</t>
  </si>
  <si>
    <t>(11) 95213-8771</t>
  </si>
  <si>
    <t>12.873</t>
  </si>
  <si>
    <t>12:23</t>
  </si>
  <si>
    <t>(19) 95871-0803</t>
  </si>
  <si>
    <t>19.640</t>
  </si>
  <si>
    <t>Bruno Vinicius</t>
  </si>
  <si>
    <t>15:37</t>
  </si>
  <si>
    <t>(11) 93618-8533</t>
  </si>
  <si>
    <t>(16) 95782-0723</t>
  </si>
  <si>
    <t>13.659</t>
  </si>
  <si>
    <t>17:23</t>
  </si>
  <si>
    <t>(41) 6347-3659</t>
  </si>
  <si>
    <t>Mc Biel</t>
  </si>
  <si>
    <t xml:space="preserve"> (11) 93620-3579</t>
  </si>
  <si>
    <t>10:41</t>
  </si>
  <si>
    <t>(11) 93620-3716</t>
  </si>
  <si>
    <t>(11) 93620-3682</t>
  </si>
  <si>
    <t>Making</t>
  </si>
  <si>
    <t>Santander Fin</t>
  </si>
  <si>
    <t>Santander Sim</t>
  </si>
  <si>
    <t>(11) 93620-3687</t>
  </si>
  <si>
    <t>(11) 93620-3679</t>
  </si>
  <si>
    <t>1.999</t>
  </si>
  <si>
    <t xml:space="preserve"> (27) 92834-0129</t>
  </si>
  <si>
    <t>(11) 95213-7063</t>
  </si>
  <si>
    <t>(31) 95347-0310</t>
  </si>
  <si>
    <t>(71) 92748-0063</t>
  </si>
  <si>
    <t>Euro Infoprodutos</t>
  </si>
  <si>
    <t>(48) 93618-0434</t>
  </si>
  <si>
    <t>(11) 93620-3892</t>
  </si>
  <si>
    <t>(11) 93620-3875</t>
  </si>
  <si>
    <t>NP Brad</t>
  </si>
  <si>
    <t>NP Itau</t>
  </si>
  <si>
    <t>Np 022</t>
  </si>
  <si>
    <t>Rb Bradesco</t>
  </si>
  <si>
    <t>(11) 93620-3873</t>
  </si>
  <si>
    <t>Ellen Pereira Atendimento Creditalize</t>
  </si>
  <si>
    <t xml:space="preserve"> ‎(11) 93620-3894</t>
  </si>
  <si>
    <t>16:35</t>
  </si>
  <si>
    <t>(71) 92748-0071</t>
  </si>
  <si>
    <t>Lotto 7</t>
  </si>
  <si>
    <t xml:space="preserve"> (31) 95347-0342</t>
  </si>
  <si>
    <t>26.406</t>
  </si>
  <si>
    <t>(45) 93618-0242</t>
  </si>
  <si>
    <t>Sábia LotoGreen - MayconM13</t>
  </si>
  <si>
    <t>‎(11) 93620-3940</t>
  </si>
  <si>
    <t>(55) 92481-0042</t>
  </si>
  <si>
    <t>Jhonny silva</t>
  </si>
  <si>
    <t>(61) 94756-0289</t>
  </si>
  <si>
    <t>(98) 94692-0001</t>
  </si>
  <si>
    <t>(15) 95374-0052</t>
  </si>
  <si>
    <t>18:33</t>
  </si>
  <si>
    <t>(71) 92748-0069</t>
  </si>
  <si>
    <t xml:space="preserve"> (65) 93618-1052</t>
  </si>
  <si>
    <t>Marcelo Freire</t>
  </si>
  <si>
    <t>(31) 95347-0341</t>
  </si>
  <si>
    <t>(11) 93620-3994</t>
  </si>
  <si>
    <t>The Garden - Lucas Chagas</t>
  </si>
  <si>
    <t>(11) 93620-3993</t>
  </si>
  <si>
    <t>Dr. Euro Junior - Marabá</t>
  </si>
  <si>
    <t>(94) 93618-2028</t>
  </si>
  <si>
    <t>Dr. Euro Junio - Manaus</t>
  </si>
  <si>
    <t>(92) 93618-0015</t>
  </si>
  <si>
    <t>30.227</t>
  </si>
  <si>
    <t>Prêmios do Vini</t>
  </si>
  <si>
    <t>(14) 95976-5320</t>
  </si>
  <si>
    <t>11.802</t>
  </si>
  <si>
    <t>(31) 95347-0353</t>
  </si>
  <si>
    <t>(31) 95347-0357</t>
  </si>
  <si>
    <t>13:13</t>
  </si>
  <si>
    <t xml:space="preserve"> (93) 93618-2083</t>
  </si>
  <si>
    <t>14:55</t>
  </si>
  <si>
    <t>(96) 93618-0713</t>
  </si>
  <si>
    <t>12.235</t>
  </si>
  <si>
    <t xml:space="preserve"> (11) 93620-4015</t>
  </si>
  <si>
    <t>13.332</t>
  </si>
  <si>
    <t>46.100</t>
  </si>
  <si>
    <t>15:09</t>
  </si>
  <si>
    <t>(27) 92834-0172</t>
  </si>
  <si>
    <t>15:12</t>
  </si>
  <si>
    <t>(61) 94756-0299</t>
  </si>
  <si>
    <t>Rodrigo_loketa</t>
  </si>
  <si>
    <t>15:17</t>
  </si>
  <si>
    <t>(75) 92893-0040</t>
  </si>
  <si>
    <t>15:58</t>
  </si>
  <si>
    <t>(71) 92748-0474</t>
  </si>
  <si>
    <t>(21) 92367-0658</t>
  </si>
  <si>
    <t>18:04</t>
  </si>
  <si>
    <t>(48) 6136-0368</t>
  </si>
  <si>
    <t>agendado</t>
  </si>
  <si>
    <t>(71) 92748-0067</t>
  </si>
  <si>
    <t>(43) 93618-0118</t>
  </si>
  <si>
    <t>(45) 93618-0267</t>
  </si>
  <si>
    <t>Bradesco Pj</t>
  </si>
  <si>
    <t>(11) 93620-4203</t>
  </si>
  <si>
    <t>FEIRA╠âO</t>
  </si>
  <si>
    <t>ML Brad</t>
  </si>
  <si>
    <t>(11) 93620-4211</t>
  </si>
  <si>
    <t>RB 3070</t>
  </si>
  <si>
    <t>(11) 93620-4198</t>
  </si>
  <si>
    <t>(11) 93620-4433</t>
  </si>
  <si>
    <t>Gabriel Barbosa</t>
  </si>
  <si>
    <t>(71) 92748-0072</t>
  </si>
  <si>
    <t>(11) 93620-4343</t>
  </si>
  <si>
    <t>(11) 93620-4460</t>
  </si>
  <si>
    <t>(32) 93618-0237</t>
  </si>
  <si>
    <t>(11) 93620-8227</t>
  </si>
  <si>
    <t>(11) 93620-8226</t>
  </si>
  <si>
    <t xml:space="preserve"> (11) 93620-8256</t>
  </si>
  <si>
    <t>Athena</t>
  </si>
  <si>
    <t>DIsparado</t>
  </si>
  <si>
    <t>Energia</t>
  </si>
  <si>
    <t>Mercado Pago WO</t>
  </si>
  <si>
    <t>ML Feirão</t>
  </si>
  <si>
    <t>Cancelado até 2° ordem</t>
  </si>
  <si>
    <t>NP Bradesco</t>
  </si>
  <si>
    <t>(11) 93620-8261</t>
  </si>
  <si>
    <t>NP Santander</t>
  </si>
  <si>
    <t>Tatiane Souza</t>
  </si>
  <si>
    <t>(19) 95871-0233</t>
  </si>
  <si>
    <t>Hausmed Aparelhos Auditivos</t>
  </si>
  <si>
    <t>(51) 92634-0278</t>
  </si>
  <si>
    <t>(71) 92748-0082</t>
  </si>
  <si>
    <t>(11) 93620-8251</t>
  </si>
  <si>
    <t xml:space="preserve"> (11) 93620-8249</t>
  </si>
  <si>
    <t>691</t>
  </si>
  <si>
    <t>Dr. Euro Junior - Belém</t>
  </si>
  <si>
    <t>(91) 93618-0408</t>
  </si>
  <si>
    <t>(11) 93620-9170</t>
  </si>
  <si>
    <t>ML Bradesco EAVM</t>
  </si>
  <si>
    <t>ML Honda</t>
  </si>
  <si>
    <t>RB Itau ATV</t>
  </si>
  <si>
    <t xml:space="preserve"> (11) 93620-9148</t>
  </si>
  <si>
    <t>RB Itau PJ</t>
  </si>
  <si>
    <t>RB Itau WO</t>
  </si>
  <si>
    <t>RB Pan</t>
  </si>
  <si>
    <t>TRC Estacio</t>
  </si>
  <si>
    <t xml:space="preserve"> </t>
  </si>
  <si>
    <t>(11) 93620-9283</t>
  </si>
  <si>
    <t>(11) 93620-4340</t>
  </si>
  <si>
    <t>14:36</t>
  </si>
  <si>
    <t>(45) 6948-0129</t>
  </si>
  <si>
    <t>Kevin Silva</t>
  </si>
  <si>
    <t>(31) 95347-0415</t>
  </si>
  <si>
    <t>(92) 93618-0039</t>
  </si>
  <si>
    <t>(71) 92748-0091</t>
  </si>
  <si>
    <t>18:05</t>
  </si>
  <si>
    <t xml:space="preserve"> (71) 92748-0092</t>
  </si>
  <si>
    <t>(31) 95347-0290</t>
  </si>
  <si>
    <t>(11) 95213-4742</t>
  </si>
  <si>
    <t>(11) 95213-4749</t>
  </si>
  <si>
    <t>(73) 92457-0036</t>
  </si>
  <si>
    <t>2.483</t>
  </si>
  <si>
    <t>(11) 95213-4809</t>
  </si>
  <si>
    <t>09:53</t>
  </si>
  <si>
    <t>(11) 95213-4709</t>
  </si>
  <si>
    <t>10:02</t>
  </si>
  <si>
    <t>(11) 95213-4841</t>
  </si>
  <si>
    <t xml:space="preserve"> (11) 95213-4835</t>
  </si>
  <si>
    <t>Bradesco Comercial</t>
  </si>
  <si>
    <t>(11) 95213-4807</t>
  </si>
  <si>
    <t>Int Estacio</t>
  </si>
  <si>
    <t>(11) 95213-4822</t>
  </si>
  <si>
    <t>RB 3002 ATV</t>
  </si>
  <si>
    <t>RB 3002 PF</t>
  </si>
  <si>
    <t>Tribanco</t>
  </si>
  <si>
    <t>18:40</t>
  </si>
  <si>
    <t>(11) 95213-1842</t>
  </si>
  <si>
    <t>VP</t>
  </si>
  <si>
    <t>(11) 95213-4992</t>
  </si>
  <si>
    <t>16:40</t>
  </si>
  <si>
    <t>(11) 95213-4989</t>
  </si>
  <si>
    <t>Credito Trabalhador - C6</t>
  </si>
  <si>
    <t>(11) 95213-4942</t>
  </si>
  <si>
    <t>(11) 95213-4952</t>
  </si>
  <si>
    <t>(11) 95213-4955</t>
  </si>
  <si>
    <t>(11) 95213-4957</t>
  </si>
  <si>
    <t>(11) 95213-5034</t>
  </si>
  <si>
    <t>(11) 93620-3801</t>
  </si>
  <si>
    <t>ML Localiza</t>
  </si>
  <si>
    <t>MT 1767</t>
  </si>
  <si>
    <t>(11) 93620-3802</t>
  </si>
  <si>
    <t xml:space="preserve"> (47) 93618-0092</t>
  </si>
  <si>
    <t>12:03</t>
  </si>
  <si>
    <t>12:46</t>
  </si>
  <si>
    <t>(11) 93620-4352</t>
  </si>
  <si>
    <t>(11) 95213-5174</t>
  </si>
  <si>
    <t>14:20</t>
  </si>
  <si>
    <t>(71) 92748-0102</t>
  </si>
  <si>
    <t>(11) 93620-3905</t>
  </si>
  <si>
    <t>1.171</t>
  </si>
  <si>
    <t>mandar relatório</t>
  </si>
  <si>
    <t>(11) 95213-5218</t>
  </si>
  <si>
    <t>17:33</t>
  </si>
  <si>
    <t>(11) 95213-5254</t>
  </si>
  <si>
    <t>(45) 93618-0168</t>
  </si>
  <si>
    <t>(43) 93618-0113</t>
  </si>
  <si>
    <t>(11) 95213-5326</t>
  </si>
  <si>
    <t>(11) 95213-5307</t>
  </si>
  <si>
    <t>(65) 9647-8177</t>
  </si>
  <si>
    <t>(98) 94692-0019</t>
  </si>
  <si>
    <t>(71) 92748-0109</t>
  </si>
  <si>
    <t>(71) 92748-0105</t>
  </si>
  <si>
    <t>07:55</t>
  </si>
  <si>
    <t>(11) 95213-7656</t>
  </si>
  <si>
    <t>(11) 95213-7647</t>
  </si>
  <si>
    <t>(75) 92893-0064</t>
  </si>
  <si>
    <t>(11) 95213-7655</t>
  </si>
  <si>
    <t>Só disparar</t>
  </si>
  <si>
    <t>Itau Veiculos</t>
  </si>
  <si>
    <t>09:16</t>
  </si>
  <si>
    <t xml:space="preserve"> (11) 95213-7668</t>
  </si>
  <si>
    <t>10:20</t>
  </si>
  <si>
    <t>(11) 95213-7657</t>
  </si>
  <si>
    <t>Promotor Flávio CR7</t>
  </si>
  <si>
    <t>(71) 92748-0108</t>
  </si>
  <si>
    <t>(11) 95213-7711</t>
  </si>
  <si>
    <t>(41) 6347-0510</t>
  </si>
  <si>
    <t>(55) 92481-5723</t>
  </si>
  <si>
    <t xml:space="preserve"> (64) 93618-0086</t>
  </si>
  <si>
    <t>(15) 95374-0287</t>
  </si>
  <si>
    <t>(45) 6948-0146</t>
  </si>
  <si>
    <t>(45) 93618-0045</t>
  </si>
  <si>
    <t xml:space="preserve"> (75) 92893-0062</t>
  </si>
  <si>
    <t>(98) 94692-0002</t>
  </si>
  <si>
    <t>(93) 9247-2338</t>
  </si>
  <si>
    <t xml:space="preserve"> (96) 93618-0801</t>
  </si>
  <si>
    <t>16:32</t>
  </si>
  <si>
    <t>(11) 95213-7742</t>
  </si>
  <si>
    <t xml:space="preserve"> (71) 92748-0106</t>
  </si>
  <si>
    <t>(47) 93618-0047</t>
  </si>
  <si>
    <t>19:05</t>
  </si>
  <si>
    <t>(31) 95347-0452</t>
  </si>
  <si>
    <t>4.829</t>
  </si>
  <si>
    <t>Almeida</t>
  </si>
  <si>
    <t>20:01</t>
  </si>
  <si>
    <t>(11) 95213-7761</t>
  </si>
  <si>
    <t>5.060</t>
  </si>
  <si>
    <t>(45) 9146-3084</t>
  </si>
  <si>
    <t>(71) 9731-0551</t>
  </si>
  <si>
    <t>(55) 9633-6967</t>
  </si>
  <si>
    <t>(75) 92893-0063</t>
  </si>
  <si>
    <t>(11) 93620-4254</t>
  </si>
  <si>
    <t>(11) 95213-7859</t>
  </si>
  <si>
    <t>(11) 95213-7886</t>
  </si>
  <si>
    <t>11 95213-7920</t>
  </si>
  <si>
    <t>(11) 95213-7854</t>
  </si>
  <si>
    <t xml:space="preserve"> (11) 95213-7905</t>
  </si>
  <si>
    <t>(11) 95213-7936</t>
  </si>
  <si>
    <t>(11) 95213-7867</t>
  </si>
  <si>
    <t xml:space="preserve">(11) 95213-7879 </t>
  </si>
  <si>
    <t>(11) 93618-0493</t>
  </si>
  <si>
    <t>Clebinho Prêmios</t>
  </si>
  <si>
    <t>(19) 95871-1108</t>
  </si>
  <si>
    <t>(11) 93618-0746</t>
  </si>
  <si>
    <t>(11) 93618-0738</t>
  </si>
  <si>
    <t>Victor Tips Place</t>
  </si>
  <si>
    <t>(21) 92367-0754</t>
  </si>
  <si>
    <t>(11) 95213-7372</t>
  </si>
  <si>
    <t>Kroton</t>
  </si>
  <si>
    <t xml:space="preserve"> (11) 93618-0761</t>
  </si>
  <si>
    <t>Bruna Marinho</t>
  </si>
  <si>
    <t>(19) 95871-1167</t>
  </si>
  <si>
    <t>(19) 95871-1185</t>
  </si>
  <si>
    <t>(11) 93618-0794</t>
  </si>
  <si>
    <t>(11) 93618-0802</t>
  </si>
  <si>
    <t>(71) 92748-0111</t>
  </si>
  <si>
    <t>(38) 93618-0089</t>
  </si>
  <si>
    <t>(11) 93618-0834</t>
  </si>
  <si>
    <t>(11) 93618-0964</t>
  </si>
  <si>
    <t>(21) 92367-0682</t>
  </si>
  <si>
    <t>lucas</t>
  </si>
  <si>
    <t>Professor Morel Junior</t>
  </si>
  <si>
    <t>(48) 6136-0056</t>
  </si>
  <si>
    <t>(31) 95347-0486</t>
  </si>
  <si>
    <t>(22) 92548-0054</t>
  </si>
  <si>
    <t>Mudinho Prêmios</t>
  </si>
  <si>
    <t>(11) 93618-2303</t>
  </si>
  <si>
    <t>9.427</t>
  </si>
  <si>
    <t xml:space="preserve"> (11) 93618-3088</t>
  </si>
  <si>
    <t>50.720</t>
  </si>
  <si>
    <t>(11) 93618-3200</t>
  </si>
  <si>
    <t>7.391</t>
  </si>
  <si>
    <t>(11) 93618-3404</t>
  </si>
  <si>
    <t>5000</t>
  </si>
  <si>
    <t>disparado</t>
  </si>
  <si>
    <t>(11) 93618-5100</t>
  </si>
  <si>
    <t xml:space="preserve">ML Comerceial PJ </t>
  </si>
  <si>
    <t>(11) 93618-5101</t>
  </si>
  <si>
    <t>ML Lp</t>
  </si>
  <si>
    <t>MT Consiga</t>
  </si>
  <si>
    <t>MT Crefaz</t>
  </si>
  <si>
    <t>7000</t>
  </si>
  <si>
    <t>MT Loft</t>
  </si>
  <si>
    <t>TRC 99 Pay</t>
  </si>
  <si>
    <t>ML Eavm</t>
  </si>
  <si>
    <t>(31) 95347-0505</t>
  </si>
  <si>
    <t>69.596</t>
  </si>
  <si>
    <t xml:space="preserve">Breno Bozzato
</t>
  </si>
  <si>
    <t>(31) 95347-0506</t>
  </si>
  <si>
    <t>30.323</t>
  </si>
  <si>
    <t>(11) 95213‑7678‬</t>
  </si>
  <si>
    <t>(11) 93618-6088</t>
  </si>
  <si>
    <t>9.008</t>
  </si>
  <si>
    <t>(11) 93618-6070</t>
  </si>
  <si>
    <t>1098</t>
  </si>
  <si>
    <t>13:50</t>
  </si>
  <si>
    <t>(11) 93618-6440</t>
  </si>
  <si>
    <t>(11) 93618-7002</t>
  </si>
  <si>
    <t>14:13</t>
  </si>
  <si>
    <t>(79) 92675-0028</t>
  </si>
  <si>
    <t>773</t>
  </si>
  <si>
    <t>(11) 93618-6550</t>
  </si>
  <si>
    <t>1000</t>
  </si>
  <si>
    <t>(11) 93618-7060</t>
  </si>
  <si>
    <t xml:space="preserve">(11) 93618-6505
</t>
  </si>
  <si>
    <t>12.004</t>
  </si>
  <si>
    <t>La Vie Seguros</t>
  </si>
  <si>
    <t>(61) 94756-0400</t>
  </si>
  <si>
    <t>(41) 96347-0547</t>
  </si>
  <si>
    <t>30.481</t>
  </si>
  <si>
    <t>(22) 92548-0060</t>
  </si>
  <si>
    <t>12.242</t>
  </si>
  <si>
    <t>(11) 93618-8101</t>
  </si>
  <si>
    <t>(11) 4766-0070</t>
  </si>
  <si>
    <t>(11) 93618-8090</t>
  </si>
  <si>
    <t>MT Athena</t>
  </si>
  <si>
    <t>(11) 95213-4983</t>
  </si>
  <si>
    <t>(11) 93619-0505</t>
  </si>
  <si>
    <t>(11) 93619-0660</t>
  </si>
  <si>
    <t>(11) 93619-1009</t>
  </si>
  <si>
    <t>(11) 93619-1007</t>
  </si>
  <si>
    <t>(11) 93619-1020</t>
  </si>
  <si>
    <t>(11) 93619-1033</t>
  </si>
  <si>
    <t>Alvo</t>
  </si>
  <si>
    <t>(11) 93619-1066</t>
  </si>
  <si>
    <t>(11) 93619-2004</t>
  </si>
  <si>
    <t xml:space="preserve"> (11) 93619-1101</t>
  </si>
  <si>
    <t>12:10</t>
  </si>
  <si>
    <t>(11) 93619-2000</t>
  </si>
  <si>
    <t>(71) 92748-0129</t>
  </si>
  <si>
    <t>Gabriel prêmios</t>
  </si>
  <si>
    <t>(19) 95871-1317</t>
  </si>
  <si>
    <t>(31) 95347-0534</t>
  </si>
  <si>
    <t>Gefcar</t>
  </si>
  <si>
    <t>(43) 93618-0158</t>
  </si>
  <si>
    <t>7.174</t>
  </si>
  <si>
    <t>11:45</t>
  </si>
  <si>
    <t>(11) 93619-7809</t>
  </si>
  <si>
    <t>11.660</t>
  </si>
  <si>
    <t xml:space="preserve"> (11) 95213-4959</t>
  </si>
  <si>
    <t>22.000</t>
  </si>
  <si>
    <t>13:36</t>
  </si>
  <si>
    <t>(41) 6347-0559</t>
  </si>
  <si>
    <t>29.917</t>
  </si>
  <si>
    <t>Paysandu - Pix do Papão</t>
  </si>
  <si>
    <t>(91) 99191-0771</t>
  </si>
  <si>
    <t>52.755</t>
  </si>
  <si>
    <t>(91) 99286-0109</t>
  </si>
  <si>
    <t>(51) 92634-0322</t>
  </si>
  <si>
    <t>1.144</t>
  </si>
  <si>
    <t>(31) 95347-0568</t>
  </si>
  <si>
    <t>16.000</t>
  </si>
  <si>
    <t>(64) 9919-4346</t>
  </si>
  <si>
    <t>CANCELADO ATÉ 2° ORDEM</t>
  </si>
  <si>
    <t>17:05</t>
  </si>
  <si>
    <t>(55) 92481-0047</t>
  </si>
  <si>
    <t>5.088</t>
  </si>
  <si>
    <t>(71) 9618-7629</t>
  </si>
  <si>
    <t>(19) 95871-1450</t>
  </si>
  <si>
    <t xml:space="preserve"> (41) 6347-0141</t>
  </si>
  <si>
    <t>(41) 93618-0870</t>
  </si>
  <si>
    <t>(91)92990177</t>
  </si>
  <si>
    <t>105.510</t>
  </si>
  <si>
    <t>(15) 95374-0571</t>
  </si>
  <si>
    <t>10:45</t>
  </si>
  <si>
    <t xml:space="preserve"> (11) 95213-0982</t>
  </si>
  <si>
    <t xml:space="preserve"> (64) 9991-8804</t>
  </si>
  <si>
    <t xml:space="preserve"> (67) 9681-1910</t>
  </si>
  <si>
    <t>12:16</t>
  </si>
  <si>
    <t xml:space="preserve"> 41 6347-0148</t>
  </si>
  <si>
    <t xml:space="preserve"> 41 6347-0147</t>
  </si>
  <si>
    <t>47 93618-0270</t>
  </si>
  <si>
    <t>Gonzagadriftt</t>
  </si>
  <si>
    <t xml:space="preserve"> (47) 93618-0273</t>
  </si>
  <si>
    <t>(11) 93619-7908</t>
  </si>
  <si>
    <t>MT Futuro</t>
  </si>
  <si>
    <t>(11) 93619-7889</t>
  </si>
  <si>
    <t>(11) 93619-7894</t>
  </si>
  <si>
    <t>Mailing</t>
  </si>
  <si>
    <t>(11) 93619-7890</t>
  </si>
  <si>
    <t>MT Tribanco</t>
  </si>
  <si>
    <t>(11) 93619-7893</t>
  </si>
  <si>
    <t>RB 7010</t>
  </si>
  <si>
    <t>Diamond</t>
  </si>
  <si>
    <t>(11) 93619-7910</t>
  </si>
  <si>
    <t>(79) 92675-0034</t>
  </si>
  <si>
    <t>(11) 93619-7896</t>
  </si>
  <si>
    <t>(11) 93619-7899</t>
  </si>
  <si>
    <t>(11) 93619-7906</t>
  </si>
  <si>
    <t>Disparo Lucas - Totem cred</t>
  </si>
  <si>
    <t>(11) 93619-7901</t>
  </si>
  <si>
    <t>(11) 95213-4616</t>
  </si>
  <si>
    <t>(11) 93619-7903</t>
  </si>
  <si>
    <t>12:35</t>
  </si>
  <si>
    <t>(11) 95213-8077</t>
  </si>
  <si>
    <t>(11) 95213-8110</t>
  </si>
  <si>
    <t>Aura Broker - Gabriel Barbosa</t>
  </si>
  <si>
    <t>(71) 9965-9368</t>
  </si>
  <si>
    <t>14:41</t>
  </si>
  <si>
    <t>(11) 95213-8165</t>
  </si>
  <si>
    <t>(11) 95213-4624</t>
  </si>
  <si>
    <t>(11) 95213-4625</t>
  </si>
  <si>
    <t>Balcão de Milhas</t>
  </si>
  <si>
    <t>19:38</t>
  </si>
  <si>
    <t>(11) 93618-0747</t>
  </si>
  <si>
    <t>Carlos Beil - Método House Flipping</t>
  </si>
  <si>
    <t>(11) 95213-9472</t>
  </si>
  <si>
    <t>(11) 95213-9494</t>
  </si>
  <si>
    <t>(11) 95213-9474</t>
  </si>
  <si>
    <t>09:50</t>
  </si>
  <si>
    <t>(11) 95213-3293</t>
  </si>
  <si>
    <t>(11) 95213-9507</t>
  </si>
  <si>
    <t>ML Bradesco LP</t>
  </si>
  <si>
    <t>ML Comercial</t>
  </si>
  <si>
    <t>ML Eavm PJ</t>
  </si>
  <si>
    <t>(11) 95213-9509</t>
  </si>
  <si>
    <t>ML Eavm PF</t>
  </si>
  <si>
    <t>MT Consig</t>
  </si>
  <si>
    <t>(51) 92634-0331</t>
  </si>
  <si>
    <t>1152</t>
  </si>
  <si>
    <t>(11) 95213-9525</t>
  </si>
  <si>
    <t>(11) 95213-9512</t>
  </si>
  <si>
    <t>(11) 95213-9567</t>
  </si>
  <si>
    <t>11.214</t>
  </si>
  <si>
    <t>5.473</t>
  </si>
  <si>
    <t>4.980</t>
  </si>
  <si>
    <t>(11) 95213-9533</t>
  </si>
  <si>
    <t>16:50</t>
  </si>
  <si>
    <t>(11) 95213-9536</t>
  </si>
  <si>
    <t>(11) 95213-9568</t>
  </si>
  <si>
    <t>(22) 92548-0065</t>
  </si>
  <si>
    <t>15.036</t>
  </si>
  <si>
    <t>(45) 93618-0115</t>
  </si>
  <si>
    <t>(11) 95213-9656</t>
  </si>
  <si>
    <t>2.132</t>
  </si>
  <si>
    <t>(11) 95213-9663</t>
  </si>
  <si>
    <t>(11) 95213-9659</t>
  </si>
  <si>
    <t>TRC Casas Bahia</t>
  </si>
  <si>
    <t>BP C6Bank</t>
  </si>
  <si>
    <t>Breno Bozzato</t>
  </si>
  <si>
    <t>(31) 95347-1001</t>
  </si>
  <si>
    <t>77.420</t>
  </si>
  <si>
    <t>11:05</t>
  </si>
  <si>
    <t>(11) 95213-9676</t>
  </si>
  <si>
    <t>(45) 93618-0116</t>
  </si>
  <si>
    <t>45.862</t>
  </si>
  <si>
    <t>(11) 95213-9671</t>
  </si>
  <si>
    <t>(11) 95213-9674</t>
  </si>
  <si>
    <t>(11) 95213-9673</t>
  </si>
  <si>
    <t>(31) 95347-1000</t>
  </si>
  <si>
    <t>(31)  95347-1002</t>
  </si>
  <si>
    <t xml:space="preserve"> (31)  95347-1003</t>
  </si>
  <si>
    <t>13:57</t>
  </si>
  <si>
    <t>(71) 92748-0146</t>
  </si>
  <si>
    <t>(11) 97268-9249</t>
  </si>
  <si>
    <t>(14) 93618-0639</t>
  </si>
  <si>
    <t>45.434</t>
  </si>
  <si>
    <t>Medi</t>
  </si>
  <si>
    <t>(11) 91012-0574</t>
  </si>
  <si>
    <t>12.893</t>
  </si>
  <si>
    <t>(11) 91694-4095</t>
  </si>
  <si>
    <t>(11) 91559-6117</t>
  </si>
  <si>
    <t>Hipotteca</t>
  </si>
  <si>
    <t>(18) 95247-0040</t>
  </si>
  <si>
    <t>REAGENDADO PARA 12/02</t>
  </si>
  <si>
    <t>(22) 9 2548-0065</t>
  </si>
  <si>
    <t>9.055</t>
  </si>
  <si>
    <t>(51) 92634-0296</t>
  </si>
  <si>
    <t>1.119</t>
  </si>
  <si>
    <t>09:44</t>
  </si>
  <si>
    <t>(13) 95475-2124</t>
  </si>
  <si>
    <t>Completa</t>
  </si>
  <si>
    <t>09:28</t>
  </si>
  <si>
    <t>(32) 93618-0292</t>
  </si>
  <si>
    <t>1.280</t>
  </si>
  <si>
    <t>ML Bradesco</t>
  </si>
  <si>
    <t>10:52</t>
  </si>
  <si>
    <t>(13) 95475-2123</t>
  </si>
  <si>
    <t>RB 6665</t>
  </si>
  <si>
    <t>RB Itau</t>
  </si>
  <si>
    <t xml:space="preserve">RB Pan Ativa </t>
  </si>
  <si>
    <t>RB Pan WO</t>
  </si>
  <si>
    <t>Atendimento Digital</t>
  </si>
  <si>
    <t>13:33</t>
  </si>
  <si>
    <t>(14) 93618-0691</t>
  </si>
  <si>
    <t>11:49</t>
  </si>
  <si>
    <t>(13) 95475-2093</t>
  </si>
  <si>
    <t>(14) 93618-0692</t>
  </si>
  <si>
    <t>(16) 95782-1382</t>
  </si>
  <si>
    <t>(16) 95782-1425</t>
  </si>
  <si>
    <t>14:31</t>
  </si>
  <si>
    <t>(71) 92748-0150</t>
  </si>
  <si>
    <t>(16) 95782-1415</t>
  </si>
  <si>
    <t>(16) 95782-1433</t>
  </si>
  <si>
    <t>(16) 95782-1485</t>
  </si>
  <si>
    <t>(16) 95782-1432</t>
  </si>
  <si>
    <t>(45) 93618-0131</t>
  </si>
  <si>
    <t>(65) 93618-0584</t>
  </si>
  <si>
    <t>21:19</t>
  </si>
  <si>
    <t>(31) 95347-1040</t>
  </si>
  <si>
    <t>71.719</t>
  </si>
  <si>
    <t>(31) 95347-1039</t>
  </si>
  <si>
    <t>(31) 95347-1042</t>
  </si>
  <si>
    <t>(31) 95347-1041</t>
  </si>
  <si>
    <t>(31) 95347-1046</t>
  </si>
  <si>
    <t>(31) 95347-1048</t>
  </si>
  <si>
    <t>(13) 95475-2119</t>
  </si>
  <si>
    <t>1.844</t>
  </si>
  <si>
    <t>08:13</t>
  </si>
  <si>
    <t>(66) 93618-0944</t>
  </si>
  <si>
    <t>977</t>
  </si>
  <si>
    <t>(11) 91208-2708</t>
  </si>
  <si>
    <t>C6 Maquininha</t>
  </si>
  <si>
    <t>1.752</t>
  </si>
  <si>
    <t>BP Porto Bank</t>
  </si>
  <si>
    <t>09:08</t>
  </si>
  <si>
    <t>(11) 95782-7132</t>
  </si>
  <si>
    <t>Carbon 01</t>
  </si>
  <si>
    <t>Carbon 02</t>
  </si>
  <si>
    <t>(11) 93758-8820</t>
  </si>
  <si>
    <t>9.777</t>
  </si>
  <si>
    <t>(11) 94151-7259</t>
  </si>
  <si>
    <t>(11) 97220-4879</t>
  </si>
  <si>
    <t>(11) 91427-7611</t>
  </si>
  <si>
    <t>Garagem de prêmios</t>
  </si>
  <si>
    <t>12:09</t>
  </si>
  <si>
    <t>15 99680-0206</t>
  </si>
  <si>
    <t>27.297</t>
  </si>
  <si>
    <t>13:12</t>
  </si>
  <si>
    <t>71 92748-0153</t>
  </si>
  <si>
    <t>12:11</t>
  </si>
  <si>
    <t>75 92893-0088</t>
  </si>
  <si>
    <t>8.329</t>
  </si>
  <si>
    <t>13:26</t>
  </si>
  <si>
    <t xml:space="preserve"> (71) 92748-0148</t>
  </si>
  <si>
    <t>6.705</t>
  </si>
  <si>
    <t>Mandar Relatório/ 48HS</t>
  </si>
  <si>
    <t>75 92893-0097</t>
  </si>
  <si>
    <t>10.304</t>
  </si>
  <si>
    <t>07:00</t>
  </si>
  <si>
    <t>(31) 95347-1101</t>
  </si>
  <si>
    <t>(31) 95347-1099</t>
  </si>
  <si>
    <t>REAGENDADO PRA AMANHÃ</t>
  </si>
  <si>
    <t>(17) 95693-0444</t>
  </si>
  <si>
    <t>(17) 95693-0441</t>
  </si>
  <si>
    <t>(17) 95693-0449</t>
  </si>
  <si>
    <t>(17) 95693-0464</t>
  </si>
  <si>
    <t>(64) 9991-8804</t>
  </si>
  <si>
    <t>(37) 9874-3128</t>
  </si>
  <si>
    <t>(98) 94692-0055</t>
  </si>
  <si>
    <t>(93) 93618-2755</t>
  </si>
  <si>
    <t>(17) 95693-0457</t>
  </si>
  <si>
    <t>13:08</t>
  </si>
  <si>
    <t>(38) 9854-7550</t>
  </si>
  <si>
    <t>(11) 9 73879792</t>
  </si>
  <si>
    <t>(41) 6347-0224</t>
  </si>
  <si>
    <t>(71) 92748-0160</t>
  </si>
  <si>
    <t>Grau Biell</t>
  </si>
  <si>
    <t>(88) 93618-0051</t>
  </si>
  <si>
    <t>17:45</t>
  </si>
  <si>
    <t>(15) 99844-3777</t>
  </si>
  <si>
    <t>Felipe / Bruno M - @IF_ACOES</t>
  </si>
  <si>
    <t>(71) 92748-0164</t>
  </si>
  <si>
    <t>(17) 95693-0581</t>
  </si>
  <si>
    <t>(17) 95693-0557</t>
  </si>
  <si>
    <t>RB Renner</t>
  </si>
  <si>
    <t>Gold Premiações</t>
  </si>
  <si>
    <t>(17) 95693-0606</t>
  </si>
  <si>
    <t>Cherminho Premiações</t>
  </si>
  <si>
    <t>15:28</t>
  </si>
  <si>
    <t>(73) 92457-0042</t>
  </si>
  <si>
    <t>17:19</t>
  </si>
  <si>
    <t>(27) 99791-1708</t>
  </si>
  <si>
    <t>(17) 95693-0571</t>
  </si>
  <si>
    <t>14:27</t>
  </si>
  <si>
    <t xml:space="preserve"> (71) 92748-5441</t>
  </si>
  <si>
    <t>(17) 95693-0564</t>
  </si>
  <si>
    <t>(18) 95247-7972</t>
  </si>
  <si>
    <t>TRC CNH</t>
  </si>
  <si>
    <t>(19) 95871-2537</t>
  </si>
  <si>
    <t>(17) 95693-0561</t>
  </si>
  <si>
    <t>(18) 95247-0028</t>
  </si>
  <si>
    <t>(18) 95247-0062</t>
  </si>
  <si>
    <t xml:space="preserve">(18) 95247-0122
</t>
  </si>
  <si>
    <t>18/02//2026</t>
  </si>
  <si>
    <t>(15) 95374-1371</t>
  </si>
  <si>
    <t>10:37</t>
  </si>
  <si>
    <t>(11) 95035-6374</t>
  </si>
  <si>
    <t xml:space="preserve"> (14) 95976-0315</t>
  </si>
  <si>
    <t>(15) 95374-1388</t>
  </si>
  <si>
    <t>(15) 95374-1361</t>
  </si>
  <si>
    <t>(14) 95976-0324</t>
  </si>
  <si>
    <t>Novo Horizonte</t>
  </si>
  <si>
    <t>(48) 6136-0188</t>
  </si>
  <si>
    <t>(31) 95347-1158</t>
  </si>
  <si>
    <t>13:45</t>
  </si>
  <si>
    <t>(14) 95976-0350</t>
  </si>
  <si>
    <t>11:25</t>
  </si>
  <si>
    <t>(13) 9 5475-2119</t>
  </si>
  <si>
    <t>13:27</t>
  </si>
  <si>
    <t>(14) 95976-0444</t>
  </si>
  <si>
    <t>17:09</t>
  </si>
  <si>
    <t>Consultório</t>
  </si>
  <si>
    <t>(21) 92367-1023</t>
  </si>
  <si>
    <t>19:17</t>
  </si>
  <si>
    <t>(31) 95347-1169</t>
  </si>
  <si>
    <t>(31) 95347-1183</t>
  </si>
  <si>
    <t>23.579</t>
  </si>
  <si>
    <t>(17) 9</t>
  </si>
  <si>
    <t xml:space="preserve">Reagendado para Segunda </t>
  </si>
  <si>
    <t xml:space="preserve"> (31) 95347-1181</t>
  </si>
  <si>
    <t>31.904</t>
  </si>
  <si>
    <t xml:space="preserve">N1 Promotora </t>
  </si>
  <si>
    <t>09:25</t>
  </si>
  <si>
    <t>(48) 6136-0195</t>
  </si>
  <si>
    <t>10736</t>
  </si>
  <si>
    <t>1.769</t>
  </si>
  <si>
    <t>(31) 95347-1061</t>
  </si>
  <si>
    <t>(31) 95347-1068</t>
  </si>
  <si>
    <t>9.888</t>
  </si>
  <si>
    <t>BM Mercado Pago BC</t>
  </si>
  <si>
    <t>(31) 95347-1065</t>
  </si>
  <si>
    <t>BP Mercado Pago Cartão</t>
  </si>
  <si>
    <t>BP Mercado Pago Emprestimo</t>
  </si>
  <si>
    <t>ML Sicoob</t>
  </si>
  <si>
    <t>(31) 95347-1185</t>
  </si>
  <si>
    <t>RB Bradesco</t>
  </si>
  <si>
    <t>(31) 9 5347-1200</t>
  </si>
  <si>
    <t>13:23</t>
  </si>
  <si>
    <t>(11) 91131-4162</t>
  </si>
  <si>
    <t>8.994</t>
  </si>
  <si>
    <t>(55) 9 2481-0047</t>
  </si>
  <si>
    <t>4.940</t>
  </si>
  <si>
    <t>(88) 9 3618-0064</t>
  </si>
  <si>
    <t>Raidan</t>
  </si>
  <si>
    <t>(15) 9 9772-3574</t>
  </si>
  <si>
    <t>(75) 92893-0099</t>
  </si>
  <si>
    <t>(45) 9142-2705</t>
  </si>
  <si>
    <t>34.766</t>
  </si>
  <si>
    <t>07:12</t>
  </si>
  <si>
    <t>(31) 95347-1231</t>
  </si>
  <si>
    <t>(31) 95347-1232</t>
  </si>
  <si>
    <t>Valdesio - orrespondente Daycoval</t>
  </si>
  <si>
    <t>(31) 95347-1234</t>
  </si>
  <si>
    <t>(14) 95976-1809</t>
  </si>
  <si>
    <t>PG 99pay</t>
  </si>
  <si>
    <t xml:space="preserve"> (14) 95976-0880</t>
  </si>
  <si>
    <t>(31) 95347-1220</t>
  </si>
  <si>
    <t>(31) 95347-1223</t>
  </si>
  <si>
    <t>(31) 95347-1227</t>
  </si>
  <si>
    <t>(31) 95347-1233</t>
  </si>
  <si>
    <t>(31) 95347-1235</t>
  </si>
  <si>
    <t>10001</t>
  </si>
  <si>
    <t>(31) 95347-1243</t>
  </si>
  <si>
    <t>27000</t>
  </si>
  <si>
    <t>Eryk - Residencial La Felicità</t>
  </si>
  <si>
    <t>(71) 9 2748-0186</t>
  </si>
  <si>
    <t>10.057</t>
  </si>
  <si>
    <t xml:space="preserve"> (38) 93618-0161</t>
  </si>
  <si>
    <t>17:52</t>
  </si>
  <si>
    <t>(31) 95347-1246</t>
  </si>
  <si>
    <t>(71) 9 2748-0164</t>
  </si>
  <si>
    <t>11.025</t>
  </si>
  <si>
    <t>Eduardo Prado</t>
  </si>
  <si>
    <t>15:45</t>
  </si>
  <si>
    <t xml:space="preserve"> (61) 94756-0515</t>
  </si>
  <si>
    <t>1.604</t>
  </si>
  <si>
    <t>Vista Penha</t>
  </si>
  <si>
    <t>16:14</t>
  </si>
  <si>
    <t>(12) 95369-0020</t>
  </si>
  <si>
    <t>20.106</t>
  </si>
  <si>
    <t>(74) 92384-0005</t>
  </si>
  <si>
    <t>Laser Tech Distribuidora</t>
  </si>
  <si>
    <t>(11) 91212-3025</t>
  </si>
  <si>
    <t>Avelino Vlogs - Rare</t>
  </si>
  <si>
    <t>14:07</t>
  </si>
  <si>
    <t>(61) 94756-0523</t>
  </si>
  <si>
    <t>Andre Moycana -Rare</t>
  </si>
  <si>
    <t>17:29</t>
  </si>
  <si>
    <t xml:space="preserve">(31) 95347-0577 </t>
  </si>
  <si>
    <t>Dr Eduardo Magalhães -Rare</t>
  </si>
  <si>
    <t>17:49</t>
  </si>
  <si>
    <t>(11) 99872-1863</t>
  </si>
  <si>
    <t>18.556</t>
  </si>
  <si>
    <t>Felina Cris - Rare</t>
  </si>
  <si>
    <t>(49) 6529-0473</t>
  </si>
  <si>
    <t>31 95347-1251</t>
  </si>
  <si>
    <t>29.991</t>
  </si>
  <si>
    <t xml:space="preserve"> (12) 95369-1018</t>
  </si>
  <si>
    <t>Aguardando o Cliente</t>
  </si>
  <si>
    <t>Beiço Chapa Prêmios</t>
  </si>
  <si>
    <t>(47) 93618-0345</t>
  </si>
  <si>
    <t>Não Disparou (Sem informações no Grupo)</t>
  </si>
  <si>
    <t>Lucro no Bicho - Rare</t>
  </si>
  <si>
    <t>CONTA DAX</t>
  </si>
  <si>
    <t>(12) 95369-2688</t>
  </si>
  <si>
    <t>Só disparar CONTA DAX</t>
  </si>
  <si>
    <t>Prof Elaine Magari</t>
  </si>
  <si>
    <t>(43) 93300-7456</t>
  </si>
  <si>
    <t>(11) 91240-6257</t>
  </si>
  <si>
    <t>(79) 92675-0289</t>
  </si>
  <si>
    <t>(11) 91827-2544</t>
  </si>
  <si>
    <t>Thais Braga</t>
  </si>
  <si>
    <t>09:38</t>
  </si>
  <si>
    <t>(71) 92748-0173</t>
  </si>
  <si>
    <t>10:43</t>
  </si>
  <si>
    <t>(11) 94293-5529</t>
  </si>
  <si>
    <t>(12) 95369-2747</t>
  </si>
  <si>
    <t>BP Casas Bahia</t>
  </si>
  <si>
    <t>BP Recovery</t>
  </si>
  <si>
    <t>MKG</t>
  </si>
  <si>
    <t>Andressa</t>
  </si>
  <si>
    <t>(11) 94488-1773</t>
  </si>
  <si>
    <t>Disparado DAXX</t>
  </si>
  <si>
    <t>sem horario</t>
  </si>
  <si>
    <t>(48) 6136-0230</t>
  </si>
  <si>
    <t>(17) 99768-1616</t>
  </si>
  <si>
    <t>Lara - Esfera Consignado</t>
  </si>
  <si>
    <t>(81) 93618-0876</t>
  </si>
  <si>
    <t>Erick do Grau</t>
  </si>
  <si>
    <t>(83) 93618-0243</t>
  </si>
  <si>
    <t>(85) 93618-1341</t>
  </si>
  <si>
    <t>MC Games - Henry Freitas</t>
  </si>
  <si>
    <t>(85) 8791-9869</t>
  </si>
  <si>
    <t>Lealmotors</t>
  </si>
  <si>
    <t>(48) 6136-0253</t>
  </si>
  <si>
    <t>(12) 95369-2924</t>
  </si>
  <si>
    <t>(12) 95369-2908</t>
  </si>
  <si>
    <t>(12) 95369-2929</t>
  </si>
  <si>
    <t>(12) 95369-2942</t>
  </si>
  <si>
    <t>(12) 95369-2943</t>
  </si>
  <si>
    <t>Bradesco Pf</t>
  </si>
  <si>
    <t>Origo</t>
  </si>
  <si>
    <t>(12) 95369-2959</t>
  </si>
  <si>
    <t>Reagendado</t>
  </si>
  <si>
    <t>11:04</t>
  </si>
  <si>
    <t>(71) 9 2748-5441</t>
  </si>
  <si>
    <t>(12) 95369-2961</t>
  </si>
  <si>
    <t>16:36</t>
  </si>
  <si>
    <t>(11) 92321-0227</t>
  </si>
  <si>
    <t>52.149</t>
  </si>
  <si>
    <t>16:45</t>
  </si>
  <si>
    <t>(71) 92748-5441</t>
  </si>
  <si>
    <t>46.579</t>
  </si>
  <si>
    <t>(48) 6136-0385</t>
  </si>
  <si>
    <t>12.246</t>
  </si>
  <si>
    <t>Jota Tips</t>
  </si>
  <si>
    <t>(75) 92893-0110</t>
  </si>
  <si>
    <t>(12) 95369-3584</t>
  </si>
  <si>
    <t>2.505</t>
  </si>
  <si>
    <t>(11) 92241-6436</t>
  </si>
  <si>
    <t>11:50</t>
  </si>
  <si>
    <t>(12) 95369-3592</t>
  </si>
  <si>
    <t>33.486</t>
  </si>
  <si>
    <t>(12) 95369-3677</t>
  </si>
  <si>
    <t>(12) 95369-3675</t>
  </si>
  <si>
    <t>(12) 95369-3865</t>
  </si>
  <si>
    <t>RB BRADESCO DIGITAL 20K</t>
  </si>
  <si>
    <t>(12) 95369-3595</t>
  </si>
  <si>
    <t>RB HOTMART 10K</t>
  </si>
  <si>
    <t>RB BRADESCO BBF 5K</t>
  </si>
  <si>
    <t>BP MP 10K</t>
  </si>
  <si>
    <t>(12) 95369-3483</t>
  </si>
  <si>
    <t>MATRI 8K</t>
  </si>
  <si>
    <t>RB_Amigavel</t>
  </si>
  <si>
    <t>(48) 96136-0195</t>
  </si>
  <si>
    <t>Central dos Eventos - Vai dar Samba</t>
  </si>
  <si>
    <t>(31) 95347-0691</t>
  </si>
  <si>
    <t>46.450</t>
  </si>
  <si>
    <t xml:space="preserve">Daniel Godoy </t>
  </si>
  <si>
    <t>(11) 92308-9927</t>
  </si>
  <si>
    <t>10.804</t>
  </si>
  <si>
    <t>(11) 9 5035-6374</t>
  </si>
  <si>
    <t>1.315</t>
  </si>
  <si>
    <t>12.040</t>
  </si>
  <si>
    <t>(48) 6136-0394</t>
  </si>
  <si>
    <t>5.752</t>
  </si>
  <si>
    <t>16:59</t>
  </si>
  <si>
    <t>(71) 92748-0193</t>
  </si>
  <si>
    <t>11.084</t>
  </si>
  <si>
    <t>(71) 92748-0196</t>
  </si>
  <si>
    <t>(79) 92675-0312</t>
  </si>
  <si>
    <t>(12) 95369-3956</t>
  </si>
  <si>
    <t>(11) 97524-6314</t>
  </si>
  <si>
    <t>(92) 94687-0047</t>
  </si>
  <si>
    <t>(12) 95369-3972</t>
  </si>
  <si>
    <t>(48) 6136-0402</t>
  </si>
  <si>
    <t>(12) 95369-4001</t>
  </si>
  <si>
    <t>16:15</t>
  </si>
  <si>
    <t>(12) 95369-4087</t>
  </si>
  <si>
    <t>(71) 92748-0195</t>
  </si>
  <si>
    <t>BP C6 BANK</t>
  </si>
  <si>
    <t>(12) 95369-3913</t>
  </si>
  <si>
    <t>BP MERCADO PAGO BC</t>
  </si>
  <si>
    <t>BP MERCADO PAGO WO</t>
  </si>
  <si>
    <t>BP MP</t>
  </si>
  <si>
    <t>CARBON</t>
  </si>
  <si>
    <t>ML BRADESCO LP</t>
  </si>
  <si>
    <t>(12) 95369-3925</t>
  </si>
  <si>
    <t>ML COMERCIAL</t>
  </si>
  <si>
    <t>ML EAVM PF</t>
  </si>
  <si>
    <t>ML EAVM PJ</t>
  </si>
  <si>
    <t>ML LOCALIZA</t>
  </si>
  <si>
    <t>ML SICOOB</t>
  </si>
  <si>
    <t>RB BRADESCO DIGITAL</t>
  </si>
  <si>
    <t>(12) 95369-3924</t>
  </si>
  <si>
    <t>RB ITAU LOW</t>
  </si>
  <si>
    <t>RB ITAU PJ</t>
  </si>
  <si>
    <t>RB ITAU WO</t>
  </si>
  <si>
    <t>RB ORIGO</t>
  </si>
  <si>
    <t>12:08</t>
  </si>
  <si>
    <t xml:space="preserve"> (88) 93618-0322</t>
  </si>
  <si>
    <t>(11) 92101-5257</t>
  </si>
  <si>
    <t>500</t>
  </si>
  <si>
    <t>(12) 95369-4116</t>
  </si>
  <si>
    <t>(12) 95369-4216</t>
  </si>
  <si>
    <t>(98) 94692-0059</t>
  </si>
  <si>
    <t>1359737075882021</t>
  </si>
  <si>
    <t>(45) 6948-0158</t>
  </si>
  <si>
    <t>G1 - Saúde &amp; Fitness</t>
  </si>
  <si>
    <t>19:19</t>
  </si>
  <si>
    <t>(11) 91856-7914</t>
  </si>
  <si>
    <t>1217157307153661</t>
  </si>
  <si>
    <t>Mamba</t>
  </si>
  <si>
    <t>(31) 95347-1043</t>
  </si>
  <si>
    <t>1421658149658463</t>
  </si>
  <si>
    <t>19:40</t>
  </si>
  <si>
    <t>(31) 95347-1172</t>
  </si>
  <si>
    <t>26340618542228729</t>
  </si>
  <si>
    <t>22:30</t>
  </si>
  <si>
    <t>Consultoria Judicial</t>
  </si>
  <si>
    <t>(12) 95369-4366</t>
  </si>
  <si>
    <t>1216207233562222</t>
  </si>
  <si>
    <t>Falta lista</t>
  </si>
  <si>
    <t>(12) 95369-4336</t>
  </si>
  <si>
    <t>(12) 95369-4307</t>
  </si>
  <si>
    <t>(12) 95369-4339</t>
  </si>
  <si>
    <t>(47) 6427-5328</t>
  </si>
  <si>
    <t>(12) 95369-4290</t>
  </si>
  <si>
    <t>RB HONDA</t>
  </si>
  <si>
    <t>TRC 99 PAY</t>
  </si>
  <si>
    <t>TRC WILL BANK</t>
  </si>
  <si>
    <t>10:58</t>
  </si>
  <si>
    <t>(48) 6136-0415</t>
  </si>
  <si>
    <t>1594937705115767</t>
  </si>
  <si>
    <t>(12) 95369-4387</t>
  </si>
  <si>
    <t>(12) 95369-4431</t>
  </si>
  <si>
    <t>(47) 6427-0051</t>
  </si>
  <si>
    <t>4170864416501788</t>
  </si>
  <si>
    <t>Encantos de Elisa</t>
  </si>
  <si>
    <t>11 93462-2336</t>
  </si>
  <si>
    <t>1945410000000000</t>
  </si>
  <si>
    <t xml:space="preserve"> (75) 92893-0117</t>
  </si>
  <si>
    <t>1813527532937673</t>
  </si>
  <si>
    <t>JB Online</t>
  </si>
  <si>
    <t>11 92292-6502</t>
  </si>
  <si>
    <t>537</t>
  </si>
  <si>
    <t>(12) 95369-4713</t>
  </si>
  <si>
    <t>(12) 95369-4736</t>
  </si>
  <si>
    <t>(12) 95369-4752</t>
  </si>
  <si>
    <t>1620392618975919</t>
  </si>
  <si>
    <t>(12) 95369-4718</t>
  </si>
  <si>
    <t xml:space="preserve"> (11) 95584-4455</t>
  </si>
  <si>
    <t>1486460686414209</t>
  </si>
  <si>
    <t>(12) 95369-4723</t>
  </si>
  <si>
    <t>(12) 95369-4755</t>
  </si>
  <si>
    <t>(15) 99702-8649</t>
  </si>
  <si>
    <t>1255721209850397</t>
  </si>
  <si>
    <t>12:32</t>
  </si>
  <si>
    <t>(75) 92893-0118</t>
  </si>
  <si>
    <t>2061187181396715</t>
  </si>
  <si>
    <t>13:41</t>
  </si>
  <si>
    <t>3288679051431703</t>
  </si>
  <si>
    <t>(48) 6136-0434</t>
  </si>
  <si>
    <t>5.003</t>
  </si>
  <si>
    <t>10.594</t>
  </si>
  <si>
    <t>(12) 95369-4853</t>
  </si>
  <si>
    <t>(12) 95369-4843</t>
  </si>
  <si>
    <t>(12) 95369-4855</t>
  </si>
  <si>
    <t>(45) 6948-0157</t>
  </si>
  <si>
    <t>(12) 95369-4822</t>
  </si>
  <si>
    <t>Bruno Dantas</t>
  </si>
  <si>
    <t>(11) 91928-1152</t>
  </si>
  <si>
    <t>(55) 9978-8737</t>
  </si>
  <si>
    <t>5334</t>
  </si>
  <si>
    <t>(71) 92748-0185</t>
  </si>
  <si>
    <t>1911079156265931</t>
  </si>
  <si>
    <t>27.896</t>
  </si>
  <si>
    <t>(11) 94185-4917</t>
  </si>
  <si>
    <t>1598566848025375</t>
  </si>
  <si>
    <t>31.180</t>
  </si>
  <si>
    <t>(43) 93300-7626</t>
  </si>
  <si>
    <t>30.349</t>
  </si>
  <si>
    <t>(48) 6136-0443</t>
  </si>
  <si>
    <t>16.089</t>
  </si>
  <si>
    <t>(93) 93618-2027</t>
  </si>
  <si>
    <t>(11) 91858-2288</t>
  </si>
  <si>
    <t>1270856444936472</t>
  </si>
  <si>
    <t>(79) 9641-4978</t>
  </si>
  <si>
    <t>(11) 91922-4994</t>
  </si>
  <si>
    <t>1985914952272493</t>
  </si>
  <si>
    <t>(11) 99879-5263</t>
  </si>
  <si>
    <t>(11) 91731-2400</t>
  </si>
  <si>
    <t>ML Bradesco Consorcio</t>
  </si>
  <si>
    <t>(11) 94226-1219</t>
  </si>
  <si>
    <t>1570128247576606</t>
  </si>
  <si>
    <t>ML Credi</t>
  </si>
  <si>
    <t>ML Volks</t>
  </si>
  <si>
    <t>RB Bradesco LP</t>
  </si>
  <si>
    <t>RB Origo</t>
  </si>
  <si>
    <t>742</t>
  </si>
  <si>
    <t>(19) 99676-5331</t>
  </si>
  <si>
    <t>(11) 99749-8282</t>
  </si>
  <si>
    <t>38.839</t>
  </si>
  <si>
    <t xml:space="preserve">(48) 96136-0415 </t>
  </si>
  <si>
    <t>24.203</t>
  </si>
  <si>
    <t>(11) 92159-4617</t>
  </si>
  <si>
    <t>(11) 94324-5525</t>
  </si>
  <si>
    <t>(11) 91120-9564</t>
  </si>
  <si>
    <t>38.843</t>
  </si>
  <si>
    <t>(71) 9731-5098</t>
  </si>
  <si>
    <t>2.998</t>
  </si>
  <si>
    <t>(75) 9911-0402</t>
  </si>
  <si>
    <t>2399481380512758</t>
  </si>
  <si>
    <t>74.081</t>
  </si>
  <si>
    <t>(11) 91931-3785</t>
  </si>
  <si>
    <t>37.951</t>
  </si>
  <si>
    <t>22.092</t>
  </si>
  <si>
    <t>Rogerio_Completa</t>
  </si>
  <si>
    <t>(21) 99661-3407</t>
  </si>
  <si>
    <t>1.209</t>
  </si>
  <si>
    <t>(11) 91949-4269</t>
  </si>
  <si>
    <t>2071510373582429</t>
  </si>
  <si>
    <t>50.001</t>
  </si>
  <si>
    <t>(11) 91124-1537</t>
  </si>
  <si>
    <t>(11) 99745-6079</t>
  </si>
  <si>
    <t>1481932966840521</t>
  </si>
  <si>
    <t>(11) 91020-3292</t>
  </si>
  <si>
    <t>RB BRADESCO FIN</t>
  </si>
  <si>
    <t>RB INTER</t>
  </si>
  <si>
    <t>(41) 9258-8056</t>
  </si>
  <si>
    <t>TRC ESTACIO</t>
  </si>
  <si>
    <t>Emapicred</t>
  </si>
  <si>
    <t>(85) 8989-7140</t>
  </si>
  <si>
    <t>(11) 99594-9599</t>
  </si>
  <si>
    <t>2109048836549147</t>
  </si>
  <si>
    <t>18.585</t>
  </si>
  <si>
    <t>(48) 9210-6368</t>
  </si>
  <si>
    <t>1232264425688204</t>
  </si>
  <si>
    <t>12.167</t>
  </si>
  <si>
    <t>Equipe Jota Fiúza</t>
  </si>
  <si>
    <t>(31) 9062-7458</t>
  </si>
  <si>
    <t>1173633081336956</t>
  </si>
  <si>
    <t>(11) 9 2101-5257</t>
  </si>
  <si>
    <t>1.880</t>
  </si>
  <si>
    <t>(11) 97595-4227</t>
  </si>
  <si>
    <t>3539966832820009</t>
  </si>
  <si>
    <t>(11) 91931-2694</t>
  </si>
  <si>
    <t>1665301421150793</t>
  </si>
  <si>
    <t>(71) 992748-0185</t>
  </si>
  <si>
    <t>(71) 9742-9896</t>
  </si>
  <si>
    <t>JBPIXS</t>
  </si>
  <si>
    <t>19:09</t>
  </si>
  <si>
    <t>(11) 91473-8664</t>
  </si>
  <si>
    <t>(11) 91989-6252</t>
  </si>
  <si>
    <t>1587228302505935</t>
  </si>
  <si>
    <t>(48) 9168-0592</t>
  </si>
  <si>
    <t>1252072347069842</t>
  </si>
  <si>
    <t>Pan ATV</t>
  </si>
  <si>
    <t>(11) 99845-0890</t>
  </si>
  <si>
    <t>3799573293681674</t>
  </si>
  <si>
    <t xml:space="preserve"> Disparado</t>
  </si>
  <si>
    <t>Pan WO</t>
  </si>
  <si>
    <t>MT Artesanal</t>
  </si>
  <si>
    <t>MT CONSIGA</t>
  </si>
  <si>
    <t>MT LOFT</t>
  </si>
  <si>
    <t>RB BRAD DIGITAL</t>
  </si>
  <si>
    <t>RB BRAD LP</t>
  </si>
  <si>
    <t>(11) 99782-3704</t>
  </si>
  <si>
    <t>2092196024685728</t>
  </si>
  <si>
    <t>RB BRAD PF</t>
  </si>
  <si>
    <t>RB BRAD PJ</t>
  </si>
  <si>
    <t>RB CDC</t>
  </si>
  <si>
    <t>RB RCB</t>
  </si>
  <si>
    <t>RB VA</t>
  </si>
  <si>
    <t>TRC NUBANK</t>
  </si>
  <si>
    <t>(11) 91073-5260</t>
  </si>
  <si>
    <t>2005731400326287</t>
  </si>
  <si>
    <t>Correspondente autorizado Kard</t>
  </si>
  <si>
    <t>(82) 8705-2163</t>
  </si>
  <si>
    <t>1468918528224205</t>
  </si>
  <si>
    <t>(11) 94365-0563</t>
  </si>
  <si>
    <t>(71) 9608-3711</t>
  </si>
  <si>
    <t>1683704599667364</t>
  </si>
  <si>
    <t>(11) 95774-8785</t>
  </si>
  <si>
    <t>1278810770977376</t>
  </si>
  <si>
    <t>(11) 91920-4438</t>
  </si>
  <si>
    <t>1417194769430321</t>
  </si>
  <si>
    <t>(11) 91591-9309</t>
  </si>
  <si>
    <t>57.407</t>
  </si>
  <si>
    <t>(11) 91986-0518</t>
  </si>
  <si>
    <t>(11) 91858-6206</t>
  </si>
  <si>
    <t>1632098541541491</t>
  </si>
  <si>
    <t>15:13</t>
  </si>
  <si>
    <t>(71) 99608-3711</t>
  </si>
  <si>
    <t>16:41</t>
  </si>
  <si>
    <t>14.719</t>
  </si>
  <si>
    <t>24.890</t>
  </si>
  <si>
    <t>4.922</t>
  </si>
  <si>
    <t>(11) 91930-8427</t>
  </si>
  <si>
    <t>1232262925640699</t>
  </si>
  <si>
    <t>(11) 94317-0836</t>
  </si>
  <si>
    <t>(31) 95347-0849</t>
  </si>
  <si>
    <t>1466726881462744</t>
  </si>
  <si>
    <t>09:37</t>
  </si>
  <si>
    <t>(11) 91989-7475</t>
  </si>
  <si>
    <t>1276312897897031</t>
  </si>
  <si>
    <t>(48) 99168-0592</t>
  </si>
  <si>
    <t xml:space="preserve">Wilson Neto - Consultor Financeiro
</t>
  </si>
  <si>
    <t>(62) 9993-0730</t>
  </si>
  <si>
    <t>1722745978693076</t>
  </si>
  <si>
    <t>MATRI</t>
  </si>
  <si>
    <t>(11) 94472-7182</t>
  </si>
  <si>
    <t>ML BRADESCO</t>
  </si>
  <si>
    <t>MT ATHENA</t>
  </si>
  <si>
    <t>RB BBF</t>
  </si>
  <si>
    <t>(11) 91858-1030</t>
  </si>
  <si>
    <t>1441768030788945</t>
  </si>
  <si>
    <t>RB BRD LP</t>
  </si>
  <si>
    <t>RB ITAU LOW ATV</t>
  </si>
  <si>
    <t>RB PAN ATV</t>
  </si>
  <si>
    <t>RB PAN WO</t>
  </si>
  <si>
    <t>RB RENNER C1</t>
  </si>
  <si>
    <t>(47) 9273-7229</t>
  </si>
  <si>
    <t>RB RENNER FIXA</t>
  </si>
  <si>
    <t>RB SICOOB</t>
  </si>
  <si>
    <t>TRC BERLANDA</t>
  </si>
  <si>
    <t>TRC CASAS BAHIA</t>
  </si>
  <si>
    <t>TRC LOFT</t>
  </si>
  <si>
    <t>TRC QUINTO ANDAR</t>
  </si>
  <si>
    <t>(11) 99865-9557</t>
  </si>
  <si>
    <t>TRC VERO</t>
  </si>
  <si>
    <t>(11) 91193-7839</t>
  </si>
  <si>
    <t>1462622115223427</t>
  </si>
  <si>
    <t>(11) 92113-8073</t>
  </si>
  <si>
    <t>1852362115453697</t>
  </si>
  <si>
    <t>12:05</t>
  </si>
  <si>
    <t>Lucas MP</t>
  </si>
  <si>
    <t>(75) 92893-0131</t>
  </si>
  <si>
    <t>(31) 95347-0858</t>
  </si>
  <si>
    <t>2254789385342384</t>
  </si>
  <si>
    <t>(88) 95157-0137</t>
  </si>
  <si>
    <t>Smart Consig</t>
  </si>
  <si>
    <t>17:12</t>
  </si>
  <si>
    <t>(11) 91667-0067</t>
  </si>
  <si>
    <t>(71) 92748-0217</t>
  </si>
  <si>
    <t>(12) 95369-6605</t>
  </si>
  <si>
    <t>1487793786046427</t>
  </si>
  <si>
    <t>(11) 9 75954227</t>
  </si>
  <si>
    <t>Sósia do Ney</t>
  </si>
  <si>
    <t>(31) 95347-0855</t>
  </si>
  <si>
    <t>2279111119246653</t>
  </si>
  <si>
    <t>(11) 97476-7755</t>
  </si>
  <si>
    <t>20:05</t>
  </si>
  <si>
    <t>(11) 97454-0775</t>
  </si>
  <si>
    <t>MX Cred</t>
  </si>
  <si>
    <t>(85) 95854-0000</t>
  </si>
  <si>
    <t>1357999252522419</t>
  </si>
  <si>
    <t>816</t>
  </si>
  <si>
    <t>(85) 98989-7140</t>
  </si>
  <si>
    <t>Up Consult</t>
  </si>
  <si>
    <t>(11) 9 19804804</t>
  </si>
  <si>
    <t>4220439548171899</t>
  </si>
  <si>
    <t>30.223</t>
  </si>
  <si>
    <t>20.327</t>
  </si>
  <si>
    <t>(11) 99731-9866</t>
  </si>
  <si>
    <t>35006207385633165</t>
  </si>
  <si>
    <t>(82) 98705-2163</t>
  </si>
  <si>
    <t>3241</t>
  </si>
  <si>
    <t>10:01</t>
  </si>
  <si>
    <t>(12) 95369-6923</t>
  </si>
  <si>
    <t>(74) 92384-0008</t>
  </si>
  <si>
    <t>11819</t>
  </si>
  <si>
    <t>(12) 95369-6929</t>
  </si>
  <si>
    <t>1279713390680131</t>
  </si>
  <si>
    <t>32.590</t>
  </si>
  <si>
    <t xml:space="preserve"> (47) 9206-9969</t>
  </si>
  <si>
    <t>1246645684243651</t>
  </si>
  <si>
    <t>RB ACAO</t>
  </si>
  <si>
    <t>RB BRD CA PJ</t>
  </si>
  <si>
    <t>RB BVA DU</t>
  </si>
  <si>
    <t>RB Itau PJ-Wo</t>
  </si>
  <si>
    <t>TRC DIGIO CONS</t>
  </si>
  <si>
    <t>TRC RIACHUELO</t>
  </si>
  <si>
    <t>ML BRAD JURIDIC</t>
  </si>
  <si>
    <t>RB BRD CONS</t>
  </si>
  <si>
    <t>10:47</t>
  </si>
  <si>
    <t>(11) 97530-9054</t>
  </si>
  <si>
    <t>1331190942151473</t>
  </si>
  <si>
    <t>RB ITAU LOW TICK PJ</t>
  </si>
  <si>
    <t>RB PAN-REFIN</t>
  </si>
  <si>
    <t>TRC DIGIO CRELIQ</t>
  </si>
  <si>
    <t>RB BRD DIG</t>
  </si>
  <si>
    <t>RB NAO PILOTO</t>
  </si>
  <si>
    <t>(11) 95077-8673</t>
  </si>
  <si>
    <t>1660670945290886</t>
  </si>
  <si>
    <t>RB Itau PJ High</t>
  </si>
  <si>
    <t>TRC NEXT</t>
  </si>
  <si>
    <t>RB BRD CA BAIXO</t>
  </si>
  <si>
    <t>RB ITAU PJ AD</t>
  </si>
  <si>
    <t>(11) 91751-7251</t>
  </si>
  <si>
    <t>1376520850911709</t>
  </si>
  <si>
    <t>TRC BRADESCO</t>
  </si>
  <si>
    <t>RB WO-REFIN</t>
  </si>
  <si>
    <t>RB ITAU PJ STANDARD</t>
  </si>
  <si>
    <t>RB PORTO</t>
  </si>
  <si>
    <t>(11) 92290-5847</t>
  </si>
  <si>
    <t>2234243847104743</t>
  </si>
  <si>
    <t>RB RENNER</t>
  </si>
  <si>
    <t>BP RENNER C1</t>
  </si>
  <si>
    <t>RB MOTOS PAN</t>
  </si>
  <si>
    <t>BP RENNER C2</t>
  </si>
  <si>
    <t>TRC NV BRAD</t>
  </si>
  <si>
    <t>(11) 92332-9403</t>
  </si>
  <si>
    <t>RB BRD CA PF</t>
  </si>
  <si>
    <t>RB BRD SERASA</t>
  </si>
  <si>
    <t>TRC PORTO BANK</t>
  </si>
  <si>
    <t>(47) 6427-0090</t>
  </si>
  <si>
    <t>8000</t>
  </si>
  <si>
    <t>18.545</t>
  </si>
  <si>
    <t>Paulo Govêa</t>
  </si>
  <si>
    <t>(33) 93618-0389</t>
  </si>
  <si>
    <t>9.839</t>
  </si>
  <si>
    <t>(75) 92893-0132</t>
  </si>
  <si>
    <t>(75) 92893-0129</t>
  </si>
  <si>
    <t>(75) 92893-0128</t>
  </si>
  <si>
    <t>1254465910079897</t>
  </si>
  <si>
    <t>(75) 92893-0130</t>
  </si>
  <si>
    <t>4075174289367822</t>
  </si>
  <si>
    <t>(75) 92893-0137</t>
  </si>
  <si>
    <t>1341589930836222</t>
  </si>
  <si>
    <t>(67) 9845-2437</t>
  </si>
  <si>
    <t>1618961319123514</t>
  </si>
  <si>
    <t>9000</t>
  </si>
  <si>
    <t>2.247</t>
  </si>
  <si>
    <t>(12) 95369-6893</t>
  </si>
  <si>
    <t>1076375887797809</t>
  </si>
  <si>
    <t>(12) 95369-6946</t>
  </si>
  <si>
    <t>MC Games - Iguinho</t>
  </si>
  <si>
    <t>(81) 8436-1927</t>
  </si>
  <si>
    <t>2076502226490825</t>
  </si>
  <si>
    <t>(12) 95369-4133</t>
  </si>
  <si>
    <t>1923067548609183</t>
  </si>
  <si>
    <t>(12) 95369-4595</t>
  </si>
  <si>
    <t>1907855253362921</t>
  </si>
  <si>
    <t>(15) 95374-5124</t>
  </si>
  <si>
    <t>2387217161719715</t>
  </si>
  <si>
    <t>(12) 95369-4704</t>
  </si>
  <si>
    <t>1385495572916896</t>
  </si>
  <si>
    <t>Alisson Motos</t>
  </si>
  <si>
    <t>(75) 9951-6957</t>
  </si>
  <si>
    <t>1782589255711264</t>
  </si>
  <si>
    <t>(31) 9700-1336</t>
  </si>
  <si>
    <t>(75) 92893-0133</t>
  </si>
  <si>
    <t>Buarque</t>
  </si>
  <si>
    <t>(21) 92367-1328</t>
  </si>
  <si>
    <t>(12) 95369-7188</t>
  </si>
  <si>
    <t>1854387241823701</t>
  </si>
  <si>
    <t xml:space="preserve"> Irís | Orayon</t>
  </si>
  <si>
    <t>(11) 91214-4536</t>
  </si>
  <si>
    <t>1681147709718441</t>
  </si>
  <si>
    <t>1438014284784577</t>
  </si>
  <si>
    <t>(11) 9 1980-4804</t>
  </si>
  <si>
    <t>(12) 95369-7555</t>
  </si>
  <si>
    <t>2105274360312256</t>
  </si>
  <si>
    <t>RB ENTREGA AMG MOTOS</t>
  </si>
  <si>
    <t>(12) 95369-7409</t>
  </si>
  <si>
    <t>1537889287212599</t>
  </si>
  <si>
    <t>RB ENTREGA AMIGAVEL</t>
  </si>
  <si>
    <t>RB MOTOS REFIN</t>
  </si>
  <si>
    <t>RB ORIGO MV</t>
  </si>
  <si>
    <t>RB REFIN PAN</t>
  </si>
  <si>
    <t>RB SICOOB PREJU</t>
  </si>
  <si>
    <t>(12) 95369-7436</t>
  </si>
  <si>
    <t>TRC EAVM BRADESCO</t>
  </si>
  <si>
    <t>TRC LOSANGO</t>
  </si>
  <si>
    <t>TRC NV ESTACIO</t>
  </si>
  <si>
    <t>(47) 6427-0154</t>
  </si>
  <si>
    <t>(12) 95369-7554</t>
  </si>
  <si>
    <t>(12) 95369-7553</t>
  </si>
  <si>
    <t>4267508573464152</t>
  </si>
  <si>
    <t>13:25</t>
  </si>
  <si>
    <t>(12) 95369-7562</t>
  </si>
  <si>
    <t>26765481389707929</t>
  </si>
  <si>
    <t>14:19</t>
  </si>
  <si>
    <t>(12) 95369-7559</t>
  </si>
  <si>
    <t>1087901123481663</t>
  </si>
  <si>
    <t>(12) 95369-7563</t>
  </si>
  <si>
    <t>(12) 95369-5887</t>
  </si>
  <si>
    <t>2115181799316435</t>
  </si>
  <si>
    <t>(12) 95369-7564</t>
  </si>
  <si>
    <t>(11) 92130-0510</t>
  </si>
  <si>
    <t>1516950252736582</t>
  </si>
  <si>
    <t>(73) 92457-0064</t>
  </si>
  <si>
    <t>1527134692412748</t>
  </si>
  <si>
    <t>o</t>
  </si>
  <si>
    <t>(73) 92457-0378</t>
  </si>
  <si>
    <t>Suporte - Suely Utiyama</t>
  </si>
  <si>
    <t>(11) 91682-4746</t>
  </si>
  <si>
    <t>2085472888934386</t>
  </si>
  <si>
    <t>(79) 99641-4978</t>
  </si>
  <si>
    <t>(11) 94231-4316</t>
  </si>
  <si>
    <t>1729233055120372</t>
  </si>
  <si>
    <t>MT ATHENA SUCESS</t>
  </si>
  <si>
    <t>RB BRD CA PJ MKG</t>
  </si>
  <si>
    <t>RB BRD LP PJ</t>
  </si>
  <si>
    <t>RB CA BAIXO</t>
  </si>
  <si>
    <t>(11) 92155-2726</t>
  </si>
  <si>
    <t>TRC NV CASAS BAHIA</t>
  </si>
  <si>
    <t>TRC RCHLO</t>
  </si>
  <si>
    <t>ML BRAD LP</t>
  </si>
  <si>
    <t>ML MKG EAVM PF</t>
  </si>
  <si>
    <t>MT TRIBANCO CARTORIA</t>
  </si>
  <si>
    <t>RB BRD CONSORCIO</t>
  </si>
  <si>
    <t>RB CPC</t>
  </si>
  <si>
    <t>(11) 92332-8772</t>
  </si>
  <si>
    <t>1279587364013051</t>
  </si>
  <si>
    <t>RB PJ BR 2845</t>
  </si>
  <si>
    <t>RB VEICULOS 3010</t>
  </si>
  <si>
    <t>TRC NV DIGIO</t>
  </si>
  <si>
    <t>ML BRAD COMERCIAL</t>
  </si>
  <si>
    <t>ML EAVM LP</t>
  </si>
  <si>
    <t>ML MKG LOCALIZA</t>
  </si>
  <si>
    <t>RB BRAD DIG MKG</t>
  </si>
  <si>
    <t xml:space="preserve"> (11) 94312-9882</t>
  </si>
  <si>
    <t>RB BRD LP PF</t>
  </si>
  <si>
    <t>RB BVA REFIN</t>
  </si>
  <si>
    <t>RB HONDA CONS</t>
  </si>
  <si>
    <t>RB RB BRD ACIMA</t>
  </si>
  <si>
    <t>RB VEICULOS BR 7010</t>
  </si>
  <si>
    <t>TRC NV BRADESCO PJ</t>
  </si>
  <si>
    <t>TRC NV NUBANK</t>
  </si>
  <si>
    <t>(11) 91457-7194</t>
  </si>
  <si>
    <t>1960141294578393</t>
  </si>
  <si>
    <t>BP C6BANK</t>
  </si>
  <si>
    <t>TRC BRAD EAVM</t>
  </si>
  <si>
    <t>RB BRD PF MV</t>
  </si>
  <si>
    <t>TRC BRADE COMERCIAL</t>
  </si>
  <si>
    <t>(11) 97456-7514</t>
  </si>
  <si>
    <t>2129166894551365</t>
  </si>
  <si>
    <t>(11) 91924-1852</t>
  </si>
  <si>
    <t>(11) 92239-9471</t>
  </si>
  <si>
    <t>1427513482458765</t>
  </si>
  <si>
    <t>(11) 94224-6332</t>
  </si>
  <si>
    <t>1686836139343129</t>
  </si>
  <si>
    <t>13:35</t>
  </si>
  <si>
    <t>(11) 91657-6975</t>
  </si>
  <si>
    <t>2023395325190657</t>
  </si>
  <si>
    <t>(11) 92155-8840</t>
  </si>
  <si>
    <t>1442047374233057</t>
  </si>
  <si>
    <t>Junior Paulista</t>
  </si>
  <si>
    <t>(71) 9669-4625</t>
  </si>
  <si>
    <t>1271460591586116</t>
  </si>
  <si>
    <t>(11) 94263-0622</t>
  </si>
  <si>
    <t>1236302351805628</t>
  </si>
  <si>
    <t>15:55</t>
  </si>
  <si>
    <t>(55) 9637-1614</t>
  </si>
  <si>
    <t>25710655561953408</t>
  </si>
  <si>
    <t>Sete Bit</t>
  </si>
  <si>
    <t>16:16</t>
  </si>
  <si>
    <t>(11) 92399-7528</t>
  </si>
  <si>
    <t>24421741314191129</t>
  </si>
  <si>
    <t>Lavie Seguros</t>
  </si>
  <si>
    <t>17:41</t>
  </si>
  <si>
    <t>(61) 9846-7583</t>
  </si>
  <si>
    <t>1244223731054084</t>
  </si>
  <si>
    <t>(31) 9800-8093</t>
  </si>
  <si>
    <t>19:07</t>
  </si>
  <si>
    <t>Nathalia Ouro</t>
  </si>
  <si>
    <t>(11) 96402-2294</t>
  </si>
  <si>
    <t>(98) 94692-0433</t>
  </si>
  <si>
    <t>Viegas - Cred Luz Promotora de Credito</t>
  </si>
  <si>
    <t>(98) 8713-1312</t>
  </si>
  <si>
    <t>(11) 91980-4804</t>
  </si>
  <si>
    <t>(11) 92048-1019</t>
  </si>
  <si>
    <t>2520466225017791</t>
  </si>
  <si>
    <t>ML Brad Consor Jud</t>
  </si>
  <si>
    <t>ML Brad Veiculos</t>
  </si>
  <si>
    <t>MT Loft Carta</t>
  </si>
  <si>
    <t>RB BF</t>
  </si>
  <si>
    <t>(11) 92276-0923</t>
  </si>
  <si>
    <t>1966328894768562</t>
  </si>
  <si>
    <t>RB Brd Dig Mkg</t>
  </si>
  <si>
    <t>RB Renner Variavel</t>
  </si>
  <si>
    <t>(11) 91289-6064</t>
  </si>
  <si>
    <t>1437375818051565</t>
  </si>
  <si>
    <t>Conci Bradesco</t>
  </si>
  <si>
    <t>Conci Pan</t>
  </si>
  <si>
    <t>(11) 91065-8276</t>
  </si>
  <si>
    <t>7.400</t>
  </si>
  <si>
    <t>(11) 93382-5289</t>
  </si>
  <si>
    <t>(75) 99951-6957</t>
  </si>
  <si>
    <t>MC Games - Waltinho</t>
  </si>
  <si>
    <t>(81) 9 8470-4012</t>
  </si>
  <si>
    <t>12:22</t>
  </si>
  <si>
    <t>(11) 97179-9593</t>
  </si>
  <si>
    <t>(31) 99800-8093</t>
  </si>
  <si>
    <t>(71) 9969-6211</t>
  </si>
  <si>
    <t>Bicho Nacional</t>
  </si>
  <si>
    <t>(85) 95854-0019</t>
  </si>
  <si>
    <t>(11) 95777-3430</t>
  </si>
  <si>
    <t>(11) 91976-1784</t>
  </si>
  <si>
    <t>11 95094-4743</t>
  </si>
  <si>
    <t>16</t>
  </si>
  <si>
    <t>(11) 9 6402-2294</t>
  </si>
  <si>
    <t>Brandz</t>
  </si>
  <si>
    <t>(18) 99752-5303</t>
  </si>
  <si>
    <t>(11) 94196-9489</t>
  </si>
  <si>
    <t>(11) 99762-5247</t>
  </si>
  <si>
    <t>Leandro Target</t>
  </si>
  <si>
    <t>(21) 96771-8395</t>
  </si>
  <si>
    <t>(62) 9909-3208</t>
  </si>
  <si>
    <t>1608403473595574</t>
  </si>
  <si>
    <t>(11) 95602-6885</t>
  </si>
  <si>
    <t>51.625</t>
  </si>
  <si>
    <t>(47) 6427-0050</t>
  </si>
  <si>
    <t>MT AILOS</t>
  </si>
  <si>
    <t>RB ADVANCE</t>
  </si>
  <si>
    <t>RB BRD DIG MKG</t>
  </si>
  <si>
    <t>(47) 6427-0372</t>
  </si>
  <si>
    <t>RB BVA</t>
  </si>
  <si>
    <t>RB HIGH TICKET</t>
  </si>
  <si>
    <t>RB HIGH WO</t>
  </si>
  <si>
    <t>RB LOW ATV</t>
  </si>
  <si>
    <t>(47) 6427-0370</t>
  </si>
  <si>
    <t>RB PORTOBRANK</t>
  </si>
  <si>
    <t>RB SICOOB CART ADM</t>
  </si>
  <si>
    <t>RB STANDARD</t>
  </si>
  <si>
    <t>RB WO PRODUTIVO</t>
  </si>
  <si>
    <t>(11) 97143-6768</t>
  </si>
  <si>
    <t>ML EAVM PJ CA</t>
  </si>
  <si>
    <t>(11) 96384-7120</t>
  </si>
  <si>
    <t>RB 3026</t>
  </si>
  <si>
    <t>RB HONDA OVER</t>
  </si>
  <si>
    <t>RB PORTO SG</t>
  </si>
  <si>
    <t>(11) 93408-5507</t>
  </si>
  <si>
    <t>RB BRD-CA-PF</t>
  </si>
  <si>
    <t>RB ENTREGA-AMIGAVEL-WO</t>
  </si>
  <si>
    <t xml:space="preserve"> (11) 94138-5083</t>
  </si>
  <si>
    <t>RB PORTO C6</t>
  </si>
  <si>
    <t>TRC BRAD CARTOES</t>
  </si>
  <si>
    <t>(12) 95369-8325</t>
  </si>
  <si>
    <t>1242017020733461</t>
  </si>
  <si>
    <t>TRC BRAD COMERCIAL</t>
  </si>
  <si>
    <t>TRC BRAD PJ</t>
  </si>
  <si>
    <t>(21) 9 6771-8395</t>
  </si>
  <si>
    <t>12:37</t>
  </si>
  <si>
    <t>(75) 92893-0140</t>
  </si>
  <si>
    <t>1228538888842545</t>
  </si>
  <si>
    <t xml:space="preserve"> (11) 99871-5363</t>
  </si>
  <si>
    <t xml:space="preserve"> (12) 95369-8210</t>
  </si>
  <si>
    <t>(12) 95369-8240</t>
  </si>
  <si>
    <t>1227035606251317</t>
  </si>
  <si>
    <t>(12) 95369-8241</t>
  </si>
  <si>
    <t>1424241362431967</t>
  </si>
  <si>
    <t>1703433877483652</t>
  </si>
  <si>
    <t xml:space="preserve">(12) 9 5369-8278 </t>
  </si>
  <si>
    <t>1611373910108698</t>
  </si>
  <si>
    <t>(31) 95347-1465</t>
  </si>
  <si>
    <t>1452290199858339</t>
  </si>
  <si>
    <t>(11) 95094-4743</t>
  </si>
  <si>
    <t>Sal Promotora - Eagle Consignado</t>
  </si>
  <si>
    <t>16:07</t>
  </si>
  <si>
    <t>(51) 92634-0678</t>
  </si>
  <si>
    <t>Mega</t>
  </si>
  <si>
    <t>(11) 99905-1395</t>
  </si>
  <si>
    <t>(73) 92457-0390</t>
  </si>
  <si>
    <t>1454997869555913</t>
  </si>
  <si>
    <t>(73) 92457-0395</t>
  </si>
  <si>
    <t>(73) 92457-0397</t>
  </si>
  <si>
    <t>1450405480208286</t>
  </si>
  <si>
    <t>(73) 92457-0393</t>
  </si>
  <si>
    <t>(73) 92457-0394</t>
  </si>
  <si>
    <t>1569822017654322</t>
  </si>
  <si>
    <t>(62) 99993-0730</t>
  </si>
  <si>
    <t xml:space="preserve"> (11) 99872-7942</t>
  </si>
  <si>
    <t>BP C6 AUTO</t>
  </si>
  <si>
    <t>(12) 95369-8469</t>
  </si>
  <si>
    <t>ML BRAD CRED IMOB</t>
  </si>
  <si>
    <t>RB Advanced</t>
  </si>
  <si>
    <t>RB BRAD CONSORCIO</t>
  </si>
  <si>
    <t>RB BBF REC</t>
  </si>
  <si>
    <t>(12) 95369-8499</t>
  </si>
  <si>
    <t>1618584372596463</t>
  </si>
  <si>
    <t>RB High Ticket Atv e Wo</t>
  </si>
  <si>
    <t>RB High Ticket Wo</t>
  </si>
  <si>
    <t>RB REFIN</t>
  </si>
  <si>
    <t>RB HONDA SAFRA</t>
  </si>
  <si>
    <t>(12) 95369-8537</t>
  </si>
  <si>
    <t>1922448691699011</t>
  </si>
  <si>
    <t>RB Low Ticket</t>
  </si>
  <si>
    <t>RB PORTO BANK CART</t>
  </si>
  <si>
    <t>RB PORTO_SG</t>
  </si>
  <si>
    <t>RB Standard</t>
  </si>
  <si>
    <t>RB Wo Produtivo</t>
  </si>
  <si>
    <t>10:35</t>
  </si>
  <si>
    <t>12:42</t>
  </si>
  <si>
    <t>(71) 92748-0213</t>
  </si>
  <si>
    <t>1458426819323377</t>
  </si>
  <si>
    <t>12:25</t>
  </si>
  <si>
    <t xml:space="preserve"> (71) 92748-0487</t>
  </si>
  <si>
    <t>2035967540635959</t>
  </si>
  <si>
    <t>Te Quero Comigo</t>
  </si>
  <si>
    <t>16:28</t>
  </si>
  <si>
    <t>(51) 92634-0014</t>
  </si>
  <si>
    <t>1400434428447924</t>
  </si>
  <si>
    <t>98 8720-3387</t>
  </si>
  <si>
    <t>(65) 9816-5364</t>
  </si>
  <si>
    <t>(45) 6948-0184</t>
  </si>
  <si>
    <t>1233122635073964</t>
  </si>
  <si>
    <t>Shein - Vie Belle</t>
  </si>
  <si>
    <t>(91) 93618-0464</t>
  </si>
  <si>
    <t>1800150983988571</t>
  </si>
  <si>
    <t>(11) 92515-6947</t>
  </si>
  <si>
    <t>1582816559622433</t>
  </si>
  <si>
    <t>(81) 98470-4012</t>
  </si>
  <si>
    <t xml:space="preserve">55 92481-0301 </t>
  </si>
  <si>
    <t>2000375024185576</t>
  </si>
  <si>
    <t xml:space="preserve">Mandar relatório </t>
  </si>
  <si>
    <t>RB ACAO MAPFRE</t>
  </si>
  <si>
    <t>(12) 95369-9114</t>
  </si>
  <si>
    <t>2463279534108931</t>
  </si>
  <si>
    <t>RB ACAO PERSON ATV</t>
  </si>
  <si>
    <t>RB ACAO PERSON WO</t>
  </si>
  <si>
    <t>RB ACAO ZAFARI</t>
  </si>
  <si>
    <t>RB ARTESNAL CARTORIO</t>
  </si>
  <si>
    <t>(12) 95369-9059</t>
  </si>
  <si>
    <t>26095419510144774</t>
  </si>
  <si>
    <t>RB HIGH TICKET ATV WO</t>
  </si>
  <si>
    <t>RB HIGH TICKET WO</t>
  </si>
  <si>
    <t>(12) 95369-9005</t>
  </si>
  <si>
    <t>4316859935229628</t>
  </si>
  <si>
    <t>RB LOW TICKET ATV</t>
  </si>
  <si>
    <t>NP Nubank</t>
  </si>
  <si>
    <t>(11) 92592-6869</t>
  </si>
  <si>
    <t>1573770303849125</t>
  </si>
  <si>
    <t>Paschoalotto</t>
  </si>
  <si>
    <t>(11) 92530-0708</t>
  </si>
  <si>
    <t>10:55</t>
  </si>
  <si>
    <t>(11) 9 57748785</t>
  </si>
  <si>
    <t>(71) 9 2748-0213</t>
  </si>
  <si>
    <t>1252967766973176</t>
  </si>
  <si>
    <t>14:05</t>
  </si>
  <si>
    <t>1630662701301841</t>
  </si>
  <si>
    <t>15:10</t>
  </si>
  <si>
    <t>15:43</t>
  </si>
  <si>
    <t>(11) 92684-0869</t>
  </si>
  <si>
    <t>2171567806946453</t>
  </si>
  <si>
    <t>Junior Queiroz</t>
  </si>
  <si>
    <t>(61) 9645-3769</t>
  </si>
  <si>
    <t>1579680003285836</t>
  </si>
  <si>
    <t>Keep Promotora - Halison</t>
  </si>
  <si>
    <t>(61) 9943-6576</t>
  </si>
  <si>
    <t>2918063261715711</t>
  </si>
  <si>
    <t>RB ADVANCED</t>
  </si>
  <si>
    <t>RB BRD CARTORIO</t>
  </si>
  <si>
    <t>RB BRD TEIMOSINHA</t>
  </si>
  <si>
    <t>RB RENNER WO</t>
  </si>
  <si>
    <t>RB RENNER DIGITAL</t>
  </si>
  <si>
    <t>RB SICREDE VARIAVEL TESTE</t>
  </si>
  <si>
    <t>TRC RENNER</t>
  </si>
  <si>
    <t>TRC RIACHUELO NV</t>
  </si>
  <si>
    <t>Porto SG</t>
  </si>
  <si>
    <t>RB LP PF</t>
  </si>
  <si>
    <t>BRD DEJUR</t>
  </si>
  <si>
    <t>CL SANTANDER</t>
  </si>
  <si>
    <t>CL SAFRA</t>
  </si>
  <si>
    <t>BP C6 Bank</t>
  </si>
  <si>
    <t>RB ENTREGA AMIGAVEL WO</t>
  </si>
  <si>
    <t>CARBON CRED</t>
  </si>
  <si>
    <t>CARBON INSS</t>
  </si>
  <si>
    <t>ML MKG BRADESCO</t>
  </si>
  <si>
    <t>MT ARTESANAL</t>
  </si>
  <si>
    <t>RB QUITACAO BANCO PAN</t>
  </si>
  <si>
    <t>(71) 92748-0487</t>
  </si>
  <si>
    <t>10:46</t>
  </si>
  <si>
    <t>11:08</t>
  </si>
  <si>
    <t>(11) 95213-6384</t>
  </si>
  <si>
    <t>1556443572117238</t>
  </si>
  <si>
    <t xml:space="preserve">(12) 95369-7553
</t>
  </si>
  <si>
    <t>Wilson Neto - Consultor Financeiro</t>
  </si>
  <si>
    <t>(62) 999993-0730</t>
  </si>
  <si>
    <t>(71) 92748-017</t>
  </si>
  <si>
    <t>14:44</t>
  </si>
  <si>
    <t>(11) 950944743</t>
  </si>
  <si>
    <t>14:26</t>
  </si>
  <si>
    <t>11:39</t>
  </si>
  <si>
    <t>Seles Oliveira</t>
  </si>
  <si>
    <t>16:06</t>
  </si>
  <si>
    <t>(61) 94756-0782</t>
  </si>
  <si>
    <t>2091162471736877</t>
  </si>
  <si>
    <t>Gorilla - Pyong lee</t>
  </si>
  <si>
    <t>(11) 91205-6571</t>
  </si>
  <si>
    <t>1868066350727734</t>
  </si>
  <si>
    <t>(12) 95369-7318</t>
  </si>
  <si>
    <t xml:space="preserve"> (12) 95369-7312</t>
  </si>
  <si>
    <t>(11) 95213-6436</t>
  </si>
  <si>
    <t>2406710509826116</t>
  </si>
  <si>
    <t>(11) 95213-6438</t>
  </si>
  <si>
    <t>1942881973286025</t>
  </si>
  <si>
    <t>(11) 92534-5089</t>
  </si>
  <si>
    <t>Primo Capital</t>
  </si>
  <si>
    <t>(81) 8343-0581</t>
  </si>
  <si>
    <t>25293182170359977</t>
  </si>
  <si>
    <t>Onofre Casa de Cred</t>
  </si>
  <si>
    <t>(64) 9979-8035</t>
  </si>
  <si>
    <t>4286911678235006</t>
  </si>
  <si>
    <t>Sou Jou</t>
  </si>
  <si>
    <t>(24) 92753-0005</t>
  </si>
  <si>
    <t>1191529886392587</t>
  </si>
  <si>
    <t>Template Criado / Lista no Sistema</t>
  </si>
  <si>
    <t>Mandar para aprovação</t>
  </si>
  <si>
    <t>RB 3010 CALL CENTER</t>
  </si>
  <si>
    <t>RB 7010-CALLCENTER</t>
  </si>
  <si>
    <t>RB AÇÃO_PERSON_WO</t>
  </si>
  <si>
    <t>RB AMG MOTOS PAN</t>
  </si>
  <si>
    <t>RB AMG WO</t>
  </si>
  <si>
    <t>RB BRD CA PJ ZERO ENTRADA</t>
  </si>
  <si>
    <t>RB BRD LP PJ MKG</t>
  </si>
  <si>
    <t>RB High Ticket WO</t>
  </si>
  <si>
    <t>RB RECOVERY</t>
  </si>
  <si>
    <t>RB SICOOB CARTAO ADM</t>
  </si>
  <si>
    <t>RB WO QUIT PAN</t>
  </si>
  <si>
    <t>TRC DIGIO</t>
  </si>
  <si>
    <t>TRC NV 99</t>
  </si>
  <si>
    <t>TRC NV BERLANDA</t>
  </si>
  <si>
    <t>TRC NV QUINTO</t>
  </si>
  <si>
    <t>TRC RENNER NV</t>
  </si>
  <si>
    <t>TRC WILL BANK NV</t>
  </si>
  <si>
    <t>FALTA INFOS</t>
  </si>
  <si>
    <t>Data</t>
  </si>
  <si>
    <t>Usuário</t>
  </si>
  <si>
    <t>disparos</t>
  </si>
  <si>
    <t>Italo</t>
  </si>
  <si>
    <t>Nome</t>
  </si>
  <si>
    <t>4K Bezerra</t>
  </si>
  <si>
    <t>Alta Floresta</t>
  </si>
  <si>
    <t>Apt. Vila Carrão - Thiago Vargas</t>
  </si>
  <si>
    <t>B'Laser Clínica 2</t>
  </si>
  <si>
    <t>Bruno Medeiros</t>
  </si>
  <si>
    <t>Dagley</t>
  </si>
  <si>
    <t>Danilo</t>
  </si>
  <si>
    <t>Edna</t>
  </si>
  <si>
    <t>Empoderamento Adolescente</t>
  </si>
  <si>
    <t>Érica</t>
  </si>
  <si>
    <t>Filipe Freitas Mineirinha</t>
  </si>
  <si>
    <t>Helder Jhones</t>
  </si>
  <si>
    <t>Natália</t>
  </si>
  <si>
    <t>Rabico</t>
  </si>
  <si>
    <t>Pedrin do Grau</t>
  </si>
  <si>
    <t>Filipe Catira - Rare</t>
  </si>
  <si>
    <t>Samuel Bigode - Rare</t>
  </si>
  <si>
    <t>Paulo Henrique Oliveira</t>
  </si>
  <si>
    <t>Pilhado</t>
  </si>
  <si>
    <t>naSala</t>
  </si>
  <si>
    <t>Londrina</t>
  </si>
  <si>
    <t>i9</t>
  </si>
  <si>
    <t>Bruno Alves - Eurocar</t>
  </si>
  <si>
    <t>NP Volks 01</t>
  </si>
  <si>
    <t>NP Volks 02</t>
  </si>
  <si>
    <t>Pigmeu</t>
  </si>
  <si>
    <t>Residencial La Felicità</t>
  </si>
  <si>
    <t>PL Partido Liberal</t>
  </si>
  <si>
    <t>Lucas Picolé</t>
  </si>
  <si>
    <t>Érica Vieira</t>
  </si>
  <si>
    <t>Lucas Deboxe</t>
  </si>
  <si>
    <t>Weder boiadeiro</t>
  </si>
  <si>
    <t>Alex Premiações</t>
  </si>
  <si>
    <t>Douglas Rodrigues</t>
  </si>
  <si>
    <t>MC Games - Carlinhos</t>
  </si>
  <si>
    <t>Central dos Eventos</t>
  </si>
  <si>
    <t>Jota Fiúza</t>
  </si>
  <si>
    <t>CREDI</t>
  </si>
  <si>
    <t>Lauro</t>
  </si>
  <si>
    <t>Sidney Prêmios</t>
  </si>
  <si>
    <t>Dr. Euro Junior - Boa Vista</t>
  </si>
  <si>
    <t>Dr. Euro Junior - Tiangua</t>
  </si>
  <si>
    <t>Consilig</t>
  </si>
  <si>
    <t>BP C6 2</t>
  </si>
  <si>
    <t>Número</t>
  </si>
  <si>
    <t>Observação</t>
  </si>
  <si>
    <t>Waba</t>
  </si>
  <si>
    <t>31 95347-1229</t>
  </si>
  <si>
    <t>Utilizar no Próximo Disparo</t>
  </si>
  <si>
    <t>31 95347-1230</t>
  </si>
  <si>
    <t>(65) 93618-0721</t>
  </si>
  <si>
    <t>waba: 1813527532937673</t>
  </si>
  <si>
    <t>(11) 92252-8803</t>
  </si>
  <si>
    <t>waba: 1250515533813323</t>
  </si>
  <si>
    <t>(75) 9994-2488</t>
  </si>
  <si>
    <t xml:space="preserve">     waba: 1436812814511773</t>
  </si>
  <si>
    <t>(75) 9929-1474</t>
  </si>
  <si>
    <t>2407188579718954</t>
  </si>
  <si>
    <t>(75) 9944-5749</t>
  </si>
  <si>
    <t>1857316424922891</t>
  </si>
  <si>
    <t>(11) 96188-5475</t>
  </si>
  <si>
    <t>(75) 92893-0136</t>
  </si>
  <si>
    <t>(75) 92893-0135</t>
  </si>
  <si>
    <t>Atendimentos Gerais</t>
  </si>
  <si>
    <t>(12) 95369-9093</t>
  </si>
  <si>
    <t>4372931443030503</t>
  </si>
  <si>
    <t>Nome Do Cliente</t>
  </si>
  <si>
    <t>Total Leads</t>
  </si>
  <si>
    <t>Entregues</t>
  </si>
  <si>
    <t>Data da Compra</t>
  </si>
  <si>
    <t>Thiago Vargas (Apartamento)</t>
  </si>
  <si>
    <t>All Win</t>
  </si>
  <si>
    <t>Sorte Mais, Mt Cap, Tapajos, caju Cap, Amapá, Proeste</t>
  </si>
  <si>
    <t>JR</t>
  </si>
  <si>
    <t>Atendimento Novo Saldo</t>
  </si>
  <si>
    <t>Rare</t>
  </si>
  <si>
    <t>Relatório Mensal</t>
  </si>
  <si>
    <t>Mês</t>
  </si>
  <si>
    <t>Total Leads Disparados</t>
  </si>
  <si>
    <t>Total Entregue</t>
  </si>
  <si>
    <t>%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</si>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</sst>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#,##0;(#,##0)"/>
    <numFmt numFmtId="166" formatCode="#,##0.00;(#,##0.00)"/>
    <numFmt numFmtId="167" formatCode="hh:mm"/>
    <numFmt numFmtId="168" formatCode="dd/mm/yyyy"/>
    <numFmt numFmtId="169" formatCode="&quot;R$&quot;\ #,##0;[Red]\-&quot;R$&quot;\ #,##0"/>
  </numFmts>
  <fonts count="26">
    <font>
      <sz val="11.0"/>
      <color theme="1"/>
      <name val="Aptos Narrow"/>
      <scheme val="minor"/>
    </font>
    <font>
      <color theme="1"/>
      <name val="Arial"/>
    </font>
    <font>
      <sz val="43.0"/>
      <color rgb="FFFFFFFF"/>
      <name val="Times New Roman"/>
    </font>
    <font>
      <sz val="14.0"/>
      <color rgb="FFFFFFFF"/>
      <name val="Arial"/>
    </font>
    <font>
      <sz val="14.0"/>
      <color theme="0"/>
      <name val="Aptos Narrow"/>
    </font>
    <font>
      <sz val="11.0"/>
      <color theme="1"/>
      <name val="Arial"/>
    </font>
    <font>
      <sz val="11.0"/>
      <color theme="1"/>
      <name val="Aptos Narrow"/>
    </font>
    <font>
      <sz val="11.0"/>
      <color rgb="FF000000"/>
      <name val="Arial"/>
    </font>
    <font>
      <sz val="11.0"/>
      <color rgb="FF000000"/>
      <name val="Aptos Narrow"/>
    </font>
    <font/>
    <font>
      <color theme="1"/>
      <name val="Aptos Narrow"/>
      <scheme val="minor"/>
    </font>
    <font>
      <sz val="11.0"/>
      <color theme="0"/>
      <name val="Arial"/>
    </font>
    <font>
      <sz val="11.0"/>
      <color theme="0"/>
      <name val="Aptos Narrow"/>
    </font>
    <font>
      <sz val="10.0"/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b/>
      <sz val="11.0"/>
      <color theme="0"/>
      <name val="Arial"/>
    </font>
    <font>
      <b/>
      <sz val="11.0"/>
      <color theme="1"/>
      <name val="Aptos Narrow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5.0"/>
      <color theme="1"/>
      <name val="Arial"/>
    </font>
    <font>
      <color theme="0"/>
      <name val="Arial"/>
    </font>
    <font>
      <color rgb="FFFFFFFF"/>
      <name val="Arial"/>
    </font>
    <font>
      <sz val="13.0"/>
      <color theme="1"/>
      <name val="Arial"/>
    </font>
    <font>
      <sz val="30.0"/>
      <color theme="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2060"/>
        <bgColor rgb="FF002060"/>
      </patternFill>
    </fill>
    <fill>
      <patternFill patternType="solid">
        <fgColor rgb="FFB7E1CD"/>
        <bgColor rgb="FFB7E1CD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</fills>
  <borders count="43">
    <border/>
    <border>
      <left style="thin">
        <color rgb="FF999999"/>
      </left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666666"/>
      </left>
      <bottom style="thin">
        <color rgb="FF666666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7F7F7F"/>
      </right>
      <top style="thin">
        <color rgb="FF7F7F7F"/>
      </top>
    </border>
    <border>
      <right style="thin">
        <color rgb="FF7F7F7F"/>
      </right>
      <top style="thin">
        <color rgb="FF7F7F7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right style="thin">
        <color rgb="FF7F7F7F"/>
      </right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7F7F7F"/>
      </right>
      <bottom style="thin">
        <color rgb="FF7F7F7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999999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999999"/>
      </left>
      <right style="thin">
        <color rgb="FF7F7F7F"/>
      </right>
      <bottom style="thin">
        <color rgb="FF7F7F7F"/>
      </bottom>
    </border>
    <border>
      <left style="thin">
        <color rgb="FF666666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666666"/>
      </left>
      <right style="thin">
        <color rgb="FF666666"/>
      </right>
      <top style="thin">
        <color rgb="FF7F7F7F"/>
      </top>
      <bottom style="thin">
        <color rgb="FF7F7F7F"/>
      </bottom>
    </border>
    <border>
      <left style="thin">
        <color rgb="FF666666"/>
      </left>
      <right style="thin">
        <color rgb="FF7F7F7F"/>
      </right>
      <bottom style="thin">
        <color rgb="FF7F7F7F"/>
      </bottom>
    </border>
    <border>
      <right style="thin">
        <color rgb="FF666666"/>
      </right>
      <top style="thin">
        <color rgb="FF7F7F7F"/>
      </top>
      <bottom style="thin">
        <color rgb="FF7F7F7F"/>
      </bottom>
    </border>
    <border>
      <top style="thin">
        <color rgb="FF7F7F7F"/>
      </top>
    </border>
    <border>
      <left style="thin">
        <color rgb="FF666666"/>
      </left>
      <right style="thin">
        <color rgb="FF7F7F7F"/>
      </right>
    </border>
    <border>
      <left style="thin">
        <color rgb="FF7F7F7F"/>
      </left>
      <top style="thin">
        <color rgb="FF7F7F7F"/>
      </top>
    </border>
    <border>
      <left style="thin">
        <color rgb="FF666666"/>
      </left>
      <top style="thin">
        <color rgb="FF666666"/>
      </top>
    </border>
    <border>
      <left style="thin">
        <color rgb="FF7F7F7F"/>
      </left>
      <bottom style="thin">
        <color rgb="FF7F7F7F"/>
      </bottom>
    </border>
    <border>
      <bottom style="thin">
        <color rgb="FF7F7F7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666666"/>
      </right>
      <bottom style="thin">
        <color rgb="FF666666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2" fillId="3" fontId="3" numFmtId="49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49" xfId="0" applyAlignment="1" applyBorder="1" applyFont="1" applyNumberFormat="1">
      <alignment horizontal="center" readingOrder="0" shrinkToFit="0" vertical="center" wrapText="1"/>
    </xf>
    <xf borderId="2" fillId="3" fontId="4" numFmtId="3" xfId="0" applyAlignment="1" applyBorder="1" applyFont="1" applyNumberFormat="1">
      <alignment horizontal="center" vertical="center"/>
    </xf>
    <xf borderId="0" fillId="3" fontId="3" numFmtId="0" xfId="0" applyAlignment="1" applyFont="1">
      <alignment horizontal="center" readingOrder="0" vertical="center"/>
    </xf>
    <xf borderId="3" fillId="4" fontId="5" numFmtId="0" xfId="0" applyAlignment="1" applyBorder="1" applyFill="1" applyFont="1">
      <alignment horizontal="center" readingOrder="0" vertical="center"/>
    </xf>
    <xf borderId="3" fillId="4" fontId="6" numFmtId="49" xfId="0" applyAlignment="1" applyBorder="1" applyFont="1" applyNumberFormat="1">
      <alignment horizontal="center" vertical="center"/>
    </xf>
    <xf borderId="4" fillId="4" fontId="6" numFmtId="164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center" readingOrder="0" vertical="center"/>
    </xf>
    <xf borderId="4" fillId="4" fontId="5" numFmtId="49" xfId="0" applyAlignment="1" applyBorder="1" applyFont="1" applyNumberFormat="1">
      <alignment horizontal="center" readingOrder="0" vertical="center"/>
    </xf>
    <xf borderId="4" fillId="4" fontId="5" numFmtId="3" xfId="0" applyAlignment="1" applyBorder="1" applyFont="1" applyNumberFormat="1">
      <alignment horizontal="center" readingOrder="0" vertical="center"/>
    </xf>
    <xf borderId="5" fillId="4" fontId="6" numFmtId="3" xfId="0" applyAlignment="1" applyBorder="1" applyFont="1" applyNumberFormat="1">
      <alignment horizontal="center" vertical="center"/>
    </xf>
    <xf borderId="6" fillId="0" fontId="5" numFmtId="3" xfId="0" applyAlignment="1" applyBorder="1" applyFont="1" applyNumberFormat="1">
      <alignment horizontal="center" readingOrder="0" vertical="center"/>
    </xf>
    <xf borderId="0" fillId="0" fontId="5" numFmtId="3" xfId="0" applyAlignment="1" applyFont="1" applyNumberFormat="1">
      <alignment horizontal="center" readingOrder="0" vertical="center"/>
    </xf>
    <xf borderId="3" fillId="4" fontId="6" numFmtId="49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3" fillId="4" fontId="5" numFmtId="49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readingOrder="0" vertical="center"/>
    </xf>
    <xf borderId="7" fillId="4" fontId="5" numFmtId="3" xfId="0" applyAlignment="1" applyBorder="1" applyFont="1" applyNumberFormat="1">
      <alignment horizontal="center" readingOrder="0" vertical="center"/>
    </xf>
    <xf borderId="0" fillId="4" fontId="5" numFmtId="3" xfId="0" applyAlignment="1" applyFont="1" applyNumberFormat="1">
      <alignment horizontal="center" readingOrder="0" vertical="center"/>
    </xf>
    <xf borderId="4" fillId="4" fontId="6" numFmtId="49" xfId="0" applyAlignment="1" applyBorder="1" applyFont="1" applyNumberFormat="1">
      <alignment horizontal="center" vertical="center"/>
    </xf>
    <xf borderId="4" fillId="4" fontId="6" numFmtId="3" xfId="0" applyAlignment="1" applyBorder="1" applyFont="1" applyNumberFormat="1">
      <alignment horizontal="center" vertical="center"/>
    </xf>
    <xf borderId="0" fillId="4" fontId="1" numFmtId="0" xfId="0" applyAlignment="1" applyFont="1">
      <alignment horizontal="center" readingOrder="0" vertical="center"/>
    </xf>
    <xf borderId="8" fillId="4" fontId="5" numFmtId="49" xfId="0" applyAlignment="1" applyBorder="1" applyFont="1" applyNumberFormat="1">
      <alignment horizontal="center" readingOrder="0" vertical="center"/>
    </xf>
    <xf borderId="9" fillId="4" fontId="5" numFmtId="0" xfId="0" applyAlignment="1" applyBorder="1" applyFont="1">
      <alignment horizontal="center" readingOrder="0" vertical="center"/>
    </xf>
    <xf borderId="10" fillId="4" fontId="5" numFmtId="0" xfId="0" applyAlignment="1" applyBorder="1" applyFont="1">
      <alignment horizontal="center" readingOrder="0" vertical="center"/>
    </xf>
    <xf borderId="11" fillId="4" fontId="5" numFmtId="0" xfId="0" applyAlignment="1" applyBorder="1" applyFont="1">
      <alignment horizontal="center" readingOrder="0" vertical="center"/>
    </xf>
    <xf borderId="12" fillId="4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3" fillId="4" fontId="6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 readingOrder="0" shrinkToFit="0" vertical="center" wrapText="1"/>
    </xf>
    <xf borderId="4" fillId="4" fontId="6" numFmtId="49" xfId="0" applyAlignment="1" applyBorder="1" applyFont="1" applyNumberFormat="1">
      <alignment horizontal="center" readingOrder="0" vertical="center"/>
    </xf>
    <xf borderId="5" fillId="4" fontId="5" numFmtId="3" xfId="0" applyAlignment="1" applyBorder="1" applyFont="1" applyNumberFormat="1">
      <alignment horizontal="center" readingOrder="0" vertical="center"/>
    </xf>
    <xf borderId="7" fillId="4" fontId="6" numFmtId="3" xfId="0" applyAlignment="1" applyBorder="1" applyFont="1" applyNumberFormat="1">
      <alignment horizontal="center" readingOrder="0" vertical="center"/>
    </xf>
    <xf borderId="0" fillId="4" fontId="6" numFmtId="3" xfId="0" applyAlignment="1" applyFont="1" applyNumberFormat="1">
      <alignment horizontal="center" readingOrder="0" vertical="center"/>
    </xf>
    <xf borderId="3" fillId="4" fontId="5" numFmtId="0" xfId="0" applyAlignment="1" applyBorder="1" applyFont="1">
      <alignment horizontal="center" readingOrder="0" vertical="center"/>
    </xf>
    <xf borderId="12" fillId="4" fontId="1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vertical="center"/>
    </xf>
    <xf borderId="3" fillId="0" fontId="5" numFmtId="49" xfId="0" applyAlignment="1" applyBorder="1" applyFont="1" applyNumberForma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49" xfId="0" applyAlignment="1" applyBorder="1" applyFont="1" applyNumberFormat="1">
      <alignment horizontal="center" readingOrder="0" vertical="center"/>
    </xf>
    <xf borderId="5" fillId="0" fontId="6" numFmtId="3" xfId="0" applyAlignment="1" applyBorder="1" applyFont="1" applyNumberFormat="1">
      <alignment horizontal="center" vertical="center"/>
    </xf>
    <xf borderId="7" fillId="0" fontId="5" numFmtId="3" xfId="0" applyAlignment="1" applyBorder="1" applyFont="1" applyNumberFormat="1">
      <alignment horizontal="center" readingOrder="0" vertical="center"/>
    </xf>
    <xf borderId="3" fillId="4" fontId="7" numFmtId="0" xfId="0" applyAlignment="1" applyBorder="1" applyFont="1">
      <alignment horizontal="center" readingOrder="0" vertical="center"/>
    </xf>
    <xf borderId="3" fillId="4" fontId="7" numFmtId="49" xfId="0" applyAlignment="1" applyBorder="1" applyFont="1" applyNumberFormat="1">
      <alignment horizontal="center" readingOrder="0" vertical="center"/>
    </xf>
    <xf borderId="4" fillId="4" fontId="7" numFmtId="0" xfId="0" applyAlignment="1" applyBorder="1" applyFont="1">
      <alignment horizontal="center" readingOrder="0" vertical="center"/>
    </xf>
    <xf borderId="4" fillId="4" fontId="7" numFmtId="49" xfId="0" applyAlignment="1" applyBorder="1" applyFont="1" applyNumberFormat="1">
      <alignment horizontal="center" readingOrder="0" vertical="center"/>
    </xf>
    <xf borderId="4" fillId="4" fontId="7" numFmtId="3" xfId="0" applyAlignment="1" applyBorder="1" applyFont="1" applyNumberFormat="1">
      <alignment horizontal="center" readingOrder="0" vertical="center"/>
    </xf>
    <xf borderId="5" fillId="4" fontId="8" numFmtId="3" xfId="0" applyAlignment="1" applyBorder="1" applyFont="1" applyNumberFormat="1">
      <alignment horizontal="center" vertical="center"/>
    </xf>
    <xf borderId="7" fillId="4" fontId="7" numFmtId="3" xfId="0" applyAlignment="1" applyBorder="1" applyFont="1" applyNumberFormat="1">
      <alignment horizontal="center" readingOrder="0" vertical="center"/>
    </xf>
    <xf borderId="0" fillId="4" fontId="7" numFmtId="3" xfId="0" applyAlignment="1" applyFont="1" applyNumberFormat="1">
      <alignment horizontal="center" readingOrder="0" vertical="center"/>
    </xf>
    <xf borderId="4" fillId="4" fontId="8" numFmtId="49" xfId="0" applyAlignment="1" applyBorder="1" applyFont="1" applyNumberFormat="1">
      <alignment horizontal="center" vertical="center"/>
    </xf>
    <xf borderId="5" fillId="4" fontId="7" numFmtId="3" xfId="0" applyAlignment="1" applyBorder="1" applyFont="1" applyNumberFormat="1">
      <alignment horizontal="center" readingOrder="0" vertical="center"/>
    </xf>
    <xf borderId="4" fillId="4" fontId="8" numFmtId="49" xfId="0" applyAlignment="1" applyBorder="1" applyFont="1" applyNumberFormat="1">
      <alignment horizontal="center" readingOrder="0" vertical="center"/>
    </xf>
    <xf borderId="5" fillId="4" fontId="7" numFmtId="3" xfId="0" applyAlignment="1" applyBorder="1" applyFont="1" applyNumberFormat="1">
      <alignment horizontal="center" vertical="center"/>
    </xf>
    <xf borderId="4" fillId="4" fontId="7" numFmtId="164" xfId="0" applyAlignment="1" applyBorder="1" applyFont="1" applyNumberFormat="1">
      <alignment horizontal="center" readingOrder="0" vertical="center"/>
    </xf>
    <xf borderId="4" fillId="4" fontId="8" numFmtId="3" xfId="0" applyAlignment="1" applyBorder="1" applyFont="1" applyNumberFormat="1">
      <alignment horizontal="center" vertical="center"/>
    </xf>
    <xf borderId="4" fillId="4" fontId="5" numFmtId="164" xfId="0" applyAlignment="1" applyBorder="1" applyFont="1" applyNumberFormat="1">
      <alignment horizontal="center" readingOrder="0" vertical="center"/>
    </xf>
    <xf borderId="11" fillId="4" fontId="5" numFmtId="49" xfId="0" applyAlignment="1" applyBorder="1" applyFont="1" applyNumberForma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13" fillId="4" fontId="5" numFmtId="49" xfId="0" applyAlignment="1" applyBorder="1" applyFont="1" applyNumberFormat="1">
      <alignment horizontal="center" readingOrder="0" vertical="center"/>
    </xf>
    <xf borderId="14" fillId="0" fontId="9" numFmtId="0" xfId="0" applyBorder="1" applyFont="1"/>
    <xf borderId="15" fillId="4" fontId="5" numFmtId="49" xfId="0" applyAlignment="1" applyBorder="1" applyFont="1" applyNumberFormat="1">
      <alignment horizontal="center" readingOrder="0" vertical="center"/>
    </xf>
    <xf borderId="15" fillId="0" fontId="9" numFmtId="0" xfId="0" applyBorder="1" applyFont="1"/>
    <xf borderId="5" fillId="4" fontId="5" numFmtId="49" xfId="0" applyAlignment="1" applyBorder="1" applyFont="1" applyNumberFormat="1">
      <alignment horizontal="center" readingOrder="0" vertical="center"/>
    </xf>
    <xf borderId="5" fillId="4" fontId="5" numFmtId="0" xfId="0" applyAlignment="1" applyBorder="1" applyFont="1">
      <alignment horizontal="center" readingOrder="0" vertical="center"/>
    </xf>
    <xf borderId="16" fillId="4" fontId="1" numFmtId="49" xfId="0" applyAlignment="1" applyBorder="1" applyFont="1" applyNumberFormat="1">
      <alignment horizontal="center" readingOrder="0" vertical="center"/>
    </xf>
    <xf borderId="3" fillId="4" fontId="5" numFmtId="3" xfId="0" applyAlignment="1" applyBorder="1" applyFont="1" applyNumberFormat="1">
      <alignment horizontal="center" readingOrder="0" vertical="center"/>
    </xf>
    <xf borderId="16" fillId="4" fontId="10" numFmtId="49" xfId="0" applyAlignment="1" applyBorder="1" applyFont="1" applyNumberFormat="1">
      <alignment horizontal="center" readingOrder="0" vertical="center"/>
    </xf>
    <xf borderId="4" fillId="4" fontId="6" numFmtId="164" xfId="0" applyAlignment="1" applyBorder="1" applyFont="1" applyNumberFormat="1">
      <alignment horizontal="center" readingOrder="0" vertical="center"/>
    </xf>
    <xf borderId="17" fillId="4" fontId="5" numFmtId="0" xfId="0" applyAlignment="1" applyBorder="1" applyFont="1">
      <alignment horizontal="center" readingOrder="0" vertical="center"/>
    </xf>
    <xf borderId="3" fillId="4" fontId="5" numFmtId="164" xfId="0" applyAlignment="1" applyBorder="1" applyFont="1" applyNumberFormat="1">
      <alignment horizontal="center" readingOrder="0" vertical="center"/>
    </xf>
    <xf borderId="11" fillId="4" fontId="6" numFmtId="164" xfId="0" applyAlignment="1" applyBorder="1" applyFont="1" applyNumberFormat="1">
      <alignment horizontal="center" readingOrder="0" vertical="center"/>
    </xf>
    <xf borderId="18" fillId="4" fontId="1" numFmtId="0" xfId="0" applyAlignment="1" applyBorder="1" applyFont="1">
      <alignment horizontal="center" readingOrder="0" vertical="center"/>
    </xf>
    <xf borderId="12" fillId="4" fontId="6" numFmtId="164" xfId="0" applyAlignment="1" applyBorder="1" applyFont="1" applyNumberFormat="1">
      <alignment horizontal="center" readingOrder="0" vertical="center"/>
    </xf>
    <xf borderId="3" fillId="5" fontId="5" numFmtId="0" xfId="0" applyAlignment="1" applyBorder="1" applyFill="1" applyFont="1">
      <alignment horizontal="center" readingOrder="0" vertical="center"/>
    </xf>
    <xf borderId="3" fillId="5" fontId="5" numFmtId="49" xfId="0" applyAlignment="1" applyBorder="1" applyFont="1" applyNumberFormat="1">
      <alignment horizontal="center" readingOrder="0" vertical="center"/>
    </xf>
    <xf borderId="4" fillId="5" fontId="5" numFmtId="164" xfId="0" applyAlignment="1" applyBorder="1" applyFont="1" applyNumberFormat="1">
      <alignment horizontal="center" readingOrder="0" vertical="center"/>
    </xf>
    <xf borderId="4" fillId="5" fontId="5" numFmtId="0" xfId="0" applyAlignment="1" applyBorder="1" applyFont="1">
      <alignment horizontal="center" readingOrder="0" vertical="center"/>
    </xf>
    <xf borderId="4" fillId="5" fontId="5" numFmtId="49" xfId="0" applyAlignment="1" applyBorder="1" applyFont="1" applyNumberFormat="1">
      <alignment horizontal="center" readingOrder="0" vertical="center"/>
    </xf>
    <xf borderId="4" fillId="5" fontId="6" numFmtId="3" xfId="0" applyAlignment="1" applyBorder="1" applyFont="1" applyNumberFormat="1">
      <alignment horizontal="center" vertical="center"/>
    </xf>
    <xf borderId="5" fillId="5" fontId="6" numFmtId="3" xfId="0" applyAlignment="1" applyBorder="1" applyFont="1" applyNumberFormat="1">
      <alignment horizontal="center" vertical="center"/>
    </xf>
    <xf borderId="7" fillId="5" fontId="5" numFmtId="3" xfId="0" applyAlignment="1" applyBorder="1" applyFont="1" applyNumberFormat="1">
      <alignment horizontal="center" readingOrder="0" vertical="center"/>
    </xf>
    <xf borderId="0" fillId="5" fontId="5" numFmtId="3" xfId="0" applyAlignment="1" applyFont="1" applyNumberFormat="1">
      <alignment horizontal="center" readingOrder="0" vertical="center"/>
    </xf>
    <xf borderId="7" fillId="6" fontId="5" numFmtId="3" xfId="0" applyAlignment="1" applyBorder="1" applyFill="1" applyFont="1" applyNumberFormat="1">
      <alignment horizontal="center" readingOrder="0" vertical="center"/>
    </xf>
    <xf borderId="0" fillId="6" fontId="5" numFmtId="3" xfId="0" applyAlignment="1" applyFont="1" applyNumberFormat="1">
      <alignment horizontal="center" readingOrder="0" vertical="center"/>
    </xf>
    <xf borderId="4" fillId="5" fontId="6" numFmtId="49" xfId="0" applyAlignment="1" applyBorder="1" applyFont="1" applyNumberFormat="1">
      <alignment horizontal="center" vertical="center"/>
    </xf>
    <xf borderId="0" fillId="4" fontId="1" numFmtId="49" xfId="0" applyAlignment="1" applyFont="1" applyNumberFormat="1">
      <alignment horizontal="center" readingOrder="0" vertical="center"/>
    </xf>
    <xf borderId="3" fillId="5" fontId="11" numFmtId="0" xfId="0" applyAlignment="1" applyBorder="1" applyFont="1">
      <alignment horizontal="center" readingOrder="0" vertical="center"/>
    </xf>
    <xf borderId="3" fillId="5" fontId="11" numFmtId="49" xfId="0" applyAlignment="1" applyBorder="1" applyFont="1" applyNumberFormat="1">
      <alignment horizontal="center" readingOrder="0" vertical="center"/>
    </xf>
    <xf borderId="4" fillId="5" fontId="11" numFmtId="164" xfId="0" applyAlignment="1" applyBorder="1" applyFont="1" applyNumberFormat="1">
      <alignment horizontal="center" readingOrder="0" vertical="center"/>
    </xf>
    <xf borderId="4" fillId="5" fontId="11" numFmtId="0" xfId="0" applyAlignment="1" applyBorder="1" applyFont="1">
      <alignment horizontal="center" readingOrder="0" vertical="center"/>
    </xf>
    <xf borderId="4" fillId="5" fontId="11" numFmtId="49" xfId="0" applyAlignment="1" applyBorder="1" applyFont="1" applyNumberFormat="1">
      <alignment horizontal="center" readingOrder="0" vertical="center"/>
    </xf>
    <xf borderId="4" fillId="5" fontId="12" numFmtId="3" xfId="0" applyAlignment="1" applyBorder="1" applyFont="1" applyNumberFormat="1">
      <alignment horizontal="center" vertical="center"/>
    </xf>
    <xf borderId="5" fillId="5" fontId="12" numFmtId="3" xfId="0" applyAlignment="1" applyBorder="1" applyFont="1" applyNumberFormat="1">
      <alignment horizontal="center" vertical="center"/>
    </xf>
    <xf borderId="7" fillId="5" fontId="11" numFmtId="3" xfId="0" applyAlignment="1" applyBorder="1" applyFont="1" applyNumberFormat="1">
      <alignment horizontal="center" readingOrder="0" vertical="center"/>
    </xf>
    <xf borderId="0" fillId="5" fontId="11" numFmtId="3" xfId="0" applyAlignment="1" applyFont="1" applyNumberFormat="1">
      <alignment horizontal="center" readingOrder="0" vertical="center"/>
    </xf>
    <xf borderId="4" fillId="4" fontId="5" numFmtId="4" xfId="0" applyAlignment="1" applyBorder="1" applyFont="1" applyNumberFormat="1">
      <alignment horizontal="center" readingOrder="0" vertical="center"/>
    </xf>
    <xf borderId="3" fillId="7" fontId="5" numFmtId="0" xfId="0" applyAlignment="1" applyBorder="1" applyFill="1" applyFont="1">
      <alignment horizontal="center" readingOrder="0" vertical="center"/>
    </xf>
    <xf borderId="8" fillId="7" fontId="5" numFmtId="49" xfId="0" applyAlignment="1" applyBorder="1" applyFont="1" applyNumberFormat="1">
      <alignment horizontal="center" readingOrder="0" vertical="center"/>
    </xf>
    <xf borderId="9" fillId="7" fontId="6" numFmtId="0" xfId="0" applyAlignment="1" applyBorder="1" applyFont="1">
      <alignment horizontal="center" vertical="center"/>
    </xf>
    <xf borderId="3" fillId="7" fontId="6" numFmtId="0" xfId="0" applyAlignment="1" applyBorder="1" applyFont="1">
      <alignment horizontal="center" vertical="center"/>
    </xf>
    <xf borderId="3" fillId="7" fontId="5" numFmtId="164" xfId="0" applyAlignment="1" applyBorder="1" applyFont="1" applyNumberFormat="1">
      <alignment horizontal="center" readingOrder="0" vertical="center"/>
    </xf>
    <xf borderId="4" fillId="7" fontId="5" numFmtId="0" xfId="0" applyAlignment="1" applyBorder="1" applyFont="1">
      <alignment horizontal="center" readingOrder="0" vertical="center"/>
    </xf>
    <xf borderId="4" fillId="7" fontId="6" numFmtId="49" xfId="0" applyAlignment="1" applyBorder="1" applyFont="1" applyNumberFormat="1">
      <alignment horizontal="center" vertical="center"/>
    </xf>
    <xf borderId="4" fillId="7" fontId="6" numFmtId="3" xfId="0" applyAlignment="1" applyBorder="1" applyFont="1" applyNumberFormat="1">
      <alignment horizontal="center" vertical="center"/>
    </xf>
    <xf borderId="5" fillId="7" fontId="6" numFmtId="3" xfId="0" applyAlignment="1" applyBorder="1" applyFont="1" applyNumberFormat="1">
      <alignment horizontal="center" vertical="center"/>
    </xf>
    <xf borderId="7" fillId="7" fontId="6" numFmtId="3" xfId="0" applyAlignment="1" applyBorder="1" applyFont="1" applyNumberFormat="1">
      <alignment horizontal="center" vertical="center"/>
    </xf>
    <xf borderId="0" fillId="7" fontId="6" numFmtId="3" xfId="0" applyAlignment="1" applyFont="1" applyNumberFormat="1">
      <alignment horizontal="center" vertical="center"/>
    </xf>
    <xf borderId="19" fillId="4" fontId="5" numFmtId="49" xfId="0" applyAlignment="1" applyBorder="1" applyFont="1" applyNumberFormat="1">
      <alignment horizontal="center" readingOrder="0" vertical="center"/>
    </xf>
    <xf borderId="3" fillId="6" fontId="5" numFmtId="0" xfId="0" applyAlignment="1" applyBorder="1" applyFont="1">
      <alignment horizontal="center" readingOrder="0" vertical="center"/>
    </xf>
    <xf borderId="3" fillId="6" fontId="5" numFmtId="49" xfId="0" applyAlignment="1" applyBorder="1" applyFont="1" applyNumberFormat="1">
      <alignment horizontal="center" readingOrder="0" vertical="center"/>
    </xf>
    <xf borderId="4" fillId="6" fontId="5" numFmtId="164" xfId="0" applyAlignment="1" applyBorder="1" applyFont="1" applyNumberForma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4" fillId="6" fontId="5" numFmtId="49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vertical="center"/>
    </xf>
    <xf borderId="5" fillId="6" fontId="6" numFmtId="3" xfId="0" applyAlignment="1" applyBorder="1" applyFont="1" applyNumberFormat="1">
      <alignment horizontal="center" vertical="center"/>
    </xf>
    <xf borderId="19" fillId="4" fontId="6" numFmtId="49" xfId="0" applyAlignment="1" applyBorder="1" applyFont="1" applyNumberFormat="1">
      <alignment horizontal="center" vertical="center"/>
    </xf>
    <xf borderId="12" fillId="4" fontId="10" numFmtId="49" xfId="0" applyAlignment="1" applyBorder="1" applyFont="1" applyNumberFormat="1">
      <alignment horizontal="center" readingOrder="0"/>
    </xf>
    <xf borderId="20" fillId="4" fontId="6" numFmtId="49" xfId="0" applyAlignment="1" applyBorder="1" applyFont="1" applyNumberFormat="1">
      <alignment horizontal="center" vertical="center"/>
    </xf>
    <xf borderId="8" fillId="6" fontId="5" numFmtId="49" xfId="0" applyAlignment="1" applyBorder="1" applyFont="1" applyNumberFormat="1">
      <alignment horizontal="center" readingOrder="0" vertical="center"/>
    </xf>
    <xf borderId="9" fillId="6" fontId="5" numFmtId="0" xfId="0" applyAlignment="1" applyBorder="1" applyFont="1">
      <alignment horizontal="center" readingOrder="0" vertical="center"/>
    </xf>
    <xf borderId="11" fillId="6" fontId="5" numFmtId="0" xfId="0" applyAlignment="1" applyBorder="1" applyFont="1">
      <alignment horizontal="center" readingOrder="0" vertical="center"/>
    </xf>
    <xf borderId="4" fillId="6" fontId="6" numFmtId="49" xfId="0" applyAlignment="1" applyBorder="1" applyFont="1" applyNumberFormat="1">
      <alignment horizontal="center" vertical="center"/>
    </xf>
    <xf borderId="4" fillId="6" fontId="5" numFmtId="3" xfId="0" applyAlignment="1" applyBorder="1" applyFont="1" applyNumberFormat="1">
      <alignment horizontal="center" readingOrder="0" vertical="center"/>
    </xf>
    <xf borderId="21" fillId="4" fontId="5" numFmtId="0" xfId="0" applyAlignment="1" applyBorder="1" applyFont="1">
      <alignment horizontal="center" readingOrder="0" vertical="center"/>
    </xf>
    <xf borderId="22" fillId="4" fontId="5" numFmtId="0" xfId="0" applyAlignment="1" applyBorder="1" applyFont="1">
      <alignment horizontal="center" readingOrder="0" vertical="center"/>
    </xf>
    <xf borderId="4" fillId="6" fontId="6" numFmtId="164" xfId="0" applyAlignment="1" applyBorder="1" applyFont="1" applyNumberFormat="1">
      <alignment horizontal="center" readingOrder="0" vertical="center"/>
    </xf>
    <xf borderId="23" fillId="4" fontId="5" numFmtId="0" xfId="0" applyAlignment="1" applyBorder="1" applyFont="1">
      <alignment horizontal="center" readingOrder="0" vertical="center"/>
    </xf>
    <xf borderId="3" fillId="4" fontId="6" numFmtId="164" xfId="0" applyAlignment="1" applyBorder="1" applyFont="1" applyNumberFormat="1">
      <alignment horizontal="center" readingOrder="0" vertical="center"/>
    </xf>
    <xf borderId="24" fillId="4" fontId="5" numFmtId="49" xfId="0" applyAlignment="1" applyBorder="1" applyFont="1" applyNumberFormat="1">
      <alignment horizontal="center" readingOrder="0" vertical="center"/>
    </xf>
    <xf borderId="25" fillId="4" fontId="5" numFmtId="0" xfId="0" applyAlignment="1" applyBorder="1" applyFont="1">
      <alignment horizontal="center" readingOrder="0" vertical="center"/>
    </xf>
    <xf borderId="26" fillId="4" fontId="5" numFmtId="49" xfId="0" applyAlignment="1" applyBorder="1" applyFont="1" applyNumberFormat="1">
      <alignment horizontal="center" readingOrder="0" vertical="center"/>
    </xf>
    <xf borderId="26" fillId="6" fontId="5" numFmtId="49" xfId="0" applyAlignment="1" applyBorder="1" applyFont="1" applyNumberFormat="1">
      <alignment horizontal="center" readingOrder="0" vertical="center"/>
    </xf>
    <xf borderId="17" fillId="6" fontId="5" numFmtId="0" xfId="0" applyAlignment="1" applyBorder="1" applyFont="1">
      <alignment horizontal="center" readingOrder="0" vertical="center"/>
    </xf>
    <xf borderId="27" fillId="4" fontId="5" numFmtId="49" xfId="0" applyAlignment="1" applyBorder="1" applyFont="1" applyNumberFormat="1">
      <alignment horizontal="center" readingOrder="0" vertical="center"/>
    </xf>
    <xf borderId="28" fillId="4" fontId="5" numFmtId="0" xfId="0" applyAlignment="1" applyBorder="1" applyFont="1">
      <alignment horizontal="center" readingOrder="0" vertical="center"/>
    </xf>
    <xf borderId="15" fillId="4" fontId="5" numFmtId="0" xfId="0" applyAlignment="1" applyBorder="1" applyFont="1">
      <alignment horizontal="center" readingOrder="0" vertical="center"/>
    </xf>
    <xf borderId="19" fillId="4" fontId="5" numFmtId="164" xfId="0" applyAlignment="1" applyBorder="1" applyFont="1" applyNumberFormat="1">
      <alignment horizontal="center" readingOrder="0" vertical="center"/>
    </xf>
    <xf borderId="19" fillId="4" fontId="5" numFmtId="0" xfId="0" applyAlignment="1" applyBorder="1" applyFont="1">
      <alignment horizontal="center" readingOrder="0" vertical="center"/>
    </xf>
    <xf borderId="19" fillId="4" fontId="5" numFmtId="3" xfId="0" applyAlignment="1" applyBorder="1" applyFont="1" applyNumberFormat="1">
      <alignment horizontal="center" readingOrder="0" vertical="center"/>
    </xf>
    <xf borderId="29" fillId="4" fontId="6" numFmtId="3" xfId="0" applyAlignment="1" applyBorder="1" applyFont="1" applyNumberFormat="1">
      <alignment horizontal="center" vertical="center"/>
    </xf>
    <xf borderId="30" fillId="4" fontId="5" numFmtId="3" xfId="0" applyAlignment="1" applyBorder="1" applyFont="1" applyNumberFormat="1">
      <alignment horizontal="center" readingOrder="0" vertical="center"/>
    </xf>
    <xf borderId="12" fillId="4" fontId="5" numFmtId="49" xfId="0" applyAlignment="1" applyBorder="1" applyFont="1" applyNumberFormat="1">
      <alignment horizontal="center" readingOrder="0" vertical="center"/>
    </xf>
    <xf borderId="12" fillId="4" fontId="5" numFmtId="164" xfId="0" applyAlignment="1" applyBorder="1" applyFont="1" applyNumberFormat="1">
      <alignment horizontal="center" readingOrder="0" vertical="center"/>
    </xf>
    <xf borderId="12" fillId="4" fontId="5" numFmtId="3" xfId="0" applyAlignment="1" applyBorder="1" applyFont="1" applyNumberFormat="1">
      <alignment horizontal="center" readingOrder="0" vertical="center"/>
    </xf>
    <xf borderId="12" fillId="4" fontId="6" numFmtId="3" xfId="0" applyAlignment="1" applyBorder="1" applyFont="1" applyNumberFormat="1">
      <alignment horizontal="center" vertical="center"/>
    </xf>
    <xf borderId="17" fillId="4" fontId="5" numFmtId="49" xfId="0" applyAlignment="1" applyBorder="1" applyFont="1" applyNumberFormat="1">
      <alignment horizontal="center" readingOrder="0" vertical="center"/>
    </xf>
    <xf borderId="20" fillId="4" fontId="5" numFmtId="164" xfId="0" applyAlignment="1" applyBorder="1" applyFont="1" applyNumberFormat="1">
      <alignment horizontal="center" readingOrder="0" vertical="center"/>
    </xf>
    <xf borderId="20" fillId="4" fontId="5" numFmtId="0" xfId="0" applyAlignment="1" applyBorder="1" applyFont="1">
      <alignment horizontal="center" readingOrder="0" vertical="center"/>
    </xf>
    <xf borderId="20" fillId="4" fontId="5" numFmtId="49" xfId="0" applyAlignment="1" applyBorder="1" applyFont="1" applyNumberFormat="1">
      <alignment horizontal="center" readingOrder="0" vertical="center"/>
    </xf>
    <xf borderId="20" fillId="4" fontId="5" numFmtId="3" xfId="0" applyAlignment="1" applyBorder="1" applyFont="1" applyNumberFormat="1">
      <alignment horizontal="center" readingOrder="0" vertical="center"/>
    </xf>
    <xf borderId="31" fillId="4" fontId="6" numFmtId="3" xfId="0" applyAlignment="1" applyBorder="1" applyFont="1" applyNumberFormat="1">
      <alignment horizontal="center" vertical="center"/>
    </xf>
    <xf borderId="6" fillId="4" fontId="5" numFmtId="3" xfId="0" applyAlignment="1" applyBorder="1" applyFont="1" applyNumberFormat="1">
      <alignment horizontal="center" readingOrder="0" vertical="center"/>
    </xf>
    <xf borderId="3" fillId="8" fontId="5" numFmtId="0" xfId="0" applyAlignment="1" applyBorder="1" applyFill="1" applyFont="1">
      <alignment horizontal="center" readingOrder="0" vertical="center"/>
    </xf>
    <xf borderId="3" fillId="8" fontId="6" numFmtId="49" xfId="0" applyAlignment="1" applyBorder="1" applyFont="1" applyNumberFormat="1">
      <alignment horizontal="center" vertical="center"/>
    </xf>
    <xf borderId="4" fillId="8" fontId="5" numFmtId="164" xfId="0" applyAlignment="1" applyBorder="1" applyFont="1" applyNumberFormat="1">
      <alignment horizontal="center" readingOrder="0" vertical="center"/>
    </xf>
    <xf borderId="4" fillId="8" fontId="5" numFmtId="0" xfId="0" applyAlignment="1" applyBorder="1" applyFont="1">
      <alignment horizontal="center" readingOrder="0" vertical="center"/>
    </xf>
    <xf borderId="4" fillId="8" fontId="6" numFmtId="49" xfId="0" applyAlignment="1" applyBorder="1" applyFont="1" applyNumberFormat="1">
      <alignment horizontal="center" vertical="center"/>
    </xf>
    <xf borderId="4" fillId="8" fontId="6" numFmtId="3" xfId="0" applyAlignment="1" applyBorder="1" applyFont="1" applyNumberFormat="1">
      <alignment horizontal="center" vertical="center"/>
    </xf>
    <xf borderId="5" fillId="8" fontId="6" numFmtId="3" xfId="0" applyAlignment="1" applyBorder="1" applyFont="1" applyNumberFormat="1">
      <alignment horizontal="center" vertical="center"/>
    </xf>
    <xf borderId="7" fillId="8" fontId="5" numFmtId="3" xfId="0" applyAlignment="1" applyBorder="1" applyFont="1" applyNumberFormat="1">
      <alignment horizontal="center" readingOrder="0" vertical="center"/>
    </xf>
    <xf borderId="0" fillId="8" fontId="5" numFmtId="3" xfId="0" applyAlignment="1" applyFont="1" applyNumberFormat="1">
      <alignment horizontal="center" readingOrder="0" vertical="center"/>
    </xf>
    <xf borderId="12" fillId="4" fontId="10" numFmtId="0" xfId="0" applyAlignment="1" applyBorder="1" applyFont="1">
      <alignment horizontal="center" readingOrder="0"/>
    </xf>
    <xf borderId="0" fillId="4" fontId="10" numFmtId="0" xfId="0" applyAlignment="1" applyFont="1">
      <alignment horizontal="center" readingOrder="0"/>
    </xf>
    <xf borderId="12" fillId="4" fontId="10" numFmtId="0" xfId="0" applyAlignment="1" applyBorder="1" applyFon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11" fillId="4" fontId="5" numFmtId="164" xfId="0" applyAlignment="1" applyBorder="1" applyFont="1" applyNumberFormat="1">
      <alignment horizontal="center" readingOrder="0" vertical="center"/>
    </xf>
    <xf borderId="32" fillId="4" fontId="5" numFmtId="49" xfId="0" applyAlignment="1" applyBorder="1" applyFont="1" applyNumberFormat="1">
      <alignment horizontal="center" readingOrder="0" vertical="center"/>
    </xf>
    <xf borderId="17" fillId="4" fontId="5" numFmtId="164" xfId="0" applyAlignment="1" applyBorder="1" applyFont="1" applyNumberFormat="1">
      <alignment horizontal="center" readingOrder="0" vertical="center"/>
    </xf>
    <xf borderId="0" fillId="4" fontId="10" numFmtId="49" xfId="0" applyAlignment="1" applyFont="1" applyNumberFormat="1">
      <alignment horizontal="center" readingOrder="0" vertical="center"/>
    </xf>
    <xf borderId="4" fillId="4" fontId="5" numFmtId="165" xfId="0" applyAlignment="1" applyBorder="1" applyFont="1" applyNumberFormat="1">
      <alignment horizontal="center" readingOrder="0" vertical="center"/>
    </xf>
    <xf borderId="4" fillId="4" fontId="6" numFmtId="3" xfId="0" applyAlignment="1" applyBorder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3" fillId="4" fontId="5" numFmtId="0" xfId="0" applyAlignment="1" applyBorder="1" applyFont="1">
      <alignment horizontal="center" vertical="center"/>
    </xf>
    <xf borderId="4" fillId="4" fontId="5" numFmtId="164" xfId="0" applyAlignment="1" applyBorder="1" applyFont="1" applyNumberFormat="1">
      <alignment horizontal="center" vertical="center"/>
    </xf>
    <xf borderId="4" fillId="4" fontId="5" numFmtId="0" xfId="0" applyAlignment="1" applyBorder="1" applyFont="1">
      <alignment horizontal="center" vertical="center"/>
    </xf>
    <xf borderId="4" fillId="4" fontId="13" numFmtId="3" xfId="0" applyAlignment="1" applyBorder="1" applyFont="1" applyNumberFormat="1">
      <alignment horizontal="center" readingOrder="0" vertical="center"/>
    </xf>
    <xf borderId="3" fillId="9" fontId="5" numFmtId="0" xfId="0" applyAlignment="1" applyBorder="1" applyFill="1" applyFont="1">
      <alignment horizontal="center" readingOrder="0" vertical="center"/>
    </xf>
    <xf borderId="3" fillId="9" fontId="5" numFmtId="49" xfId="0" applyAlignment="1" applyBorder="1" applyFont="1" applyNumberFormat="1">
      <alignment horizontal="center" readingOrder="0" vertical="center"/>
    </xf>
    <xf borderId="4" fillId="9" fontId="5" numFmtId="164" xfId="0" applyAlignment="1" applyBorder="1" applyFont="1" applyNumberFormat="1">
      <alignment horizontal="center" readingOrder="0" vertical="center"/>
    </xf>
    <xf borderId="4" fillId="9" fontId="5" numFmtId="0" xfId="0" applyAlignment="1" applyBorder="1" applyFont="1">
      <alignment horizontal="center" readingOrder="0" vertical="center"/>
    </xf>
    <xf borderId="4" fillId="9" fontId="5" numFmtId="165" xfId="0" applyAlignment="1" applyBorder="1" applyFont="1" applyNumberFormat="1">
      <alignment horizontal="center" readingOrder="0" vertical="center"/>
    </xf>
    <xf borderId="4" fillId="9" fontId="5" numFmtId="3" xfId="0" applyAlignment="1" applyBorder="1" applyFont="1" applyNumberFormat="1">
      <alignment horizontal="center" readingOrder="0" vertical="center"/>
    </xf>
    <xf borderId="5" fillId="9" fontId="6" numFmtId="3" xfId="0" applyAlignment="1" applyBorder="1" applyFont="1" applyNumberFormat="1">
      <alignment horizontal="center" vertical="center"/>
    </xf>
    <xf borderId="7" fillId="9" fontId="5" numFmtId="3" xfId="0" applyAlignment="1" applyBorder="1" applyFont="1" applyNumberFormat="1">
      <alignment horizontal="center" readingOrder="0" vertical="center"/>
    </xf>
    <xf borderId="0" fillId="9" fontId="5" numFmtId="3" xfId="0" applyAlignment="1" applyFont="1" applyNumberFormat="1">
      <alignment horizontal="center" readingOrder="0" vertical="center"/>
    </xf>
    <xf borderId="4" fillId="5" fontId="5" numFmtId="165" xfId="0" applyAlignment="1" applyBorder="1" applyFont="1" applyNumberFormat="1">
      <alignment horizontal="center" readingOrder="0" vertical="center"/>
    </xf>
    <xf borderId="3" fillId="10" fontId="5" numFmtId="0" xfId="0" applyAlignment="1" applyBorder="1" applyFill="1" applyFont="1">
      <alignment horizontal="center" readingOrder="0" vertical="center"/>
    </xf>
    <xf borderId="3" fillId="10" fontId="5" numFmtId="49" xfId="0" applyAlignment="1" applyBorder="1" applyFont="1" applyNumberFormat="1">
      <alignment horizontal="center" readingOrder="0" vertical="center"/>
    </xf>
    <xf borderId="4" fillId="10" fontId="5" numFmtId="164" xfId="0" applyAlignment="1" applyBorder="1" applyFont="1" applyNumberFormat="1">
      <alignment horizontal="center" readingOrder="0" vertical="center"/>
    </xf>
    <xf borderId="4" fillId="10" fontId="5" numFmtId="0" xfId="0" applyAlignment="1" applyBorder="1" applyFont="1">
      <alignment horizontal="center" readingOrder="0" vertical="center"/>
    </xf>
    <xf borderId="4" fillId="10" fontId="5" numFmtId="165" xfId="0" applyAlignment="1" applyBorder="1" applyFont="1" applyNumberFormat="1">
      <alignment horizontal="center" readingOrder="0" vertical="center"/>
    </xf>
    <xf borderId="4" fillId="10" fontId="6" numFmtId="3" xfId="0" applyAlignment="1" applyBorder="1" applyFont="1" applyNumberFormat="1">
      <alignment horizontal="center" vertical="center"/>
    </xf>
    <xf borderId="5" fillId="10" fontId="6" numFmtId="3" xfId="0" applyAlignment="1" applyBorder="1" applyFont="1" applyNumberFormat="1">
      <alignment horizontal="center" vertical="center"/>
    </xf>
    <xf borderId="7" fillId="10" fontId="5" numFmtId="3" xfId="0" applyAlignment="1" applyBorder="1" applyFont="1" applyNumberFormat="1">
      <alignment horizontal="center" readingOrder="0" vertical="center"/>
    </xf>
    <xf borderId="0" fillId="10" fontId="5" numFmtId="3" xfId="0" applyAlignment="1" applyFont="1" applyNumberFormat="1">
      <alignment horizontal="center" readingOrder="0" vertical="center"/>
    </xf>
    <xf borderId="3" fillId="11" fontId="5" numFmtId="0" xfId="0" applyAlignment="1" applyBorder="1" applyFill="1" applyFont="1">
      <alignment horizontal="center" readingOrder="0" vertical="center"/>
    </xf>
    <xf borderId="3" fillId="11" fontId="5" numFmtId="49" xfId="0" applyAlignment="1" applyBorder="1" applyFont="1" applyNumberFormat="1">
      <alignment horizontal="center" readingOrder="0" vertical="center"/>
    </xf>
    <xf borderId="4" fillId="11" fontId="5" numFmtId="164" xfId="0" applyAlignment="1" applyBorder="1" applyFont="1" applyNumberFormat="1">
      <alignment horizontal="center" readingOrder="0" vertical="center"/>
    </xf>
    <xf borderId="4" fillId="11" fontId="5" numFmtId="0" xfId="0" applyAlignment="1" applyBorder="1" applyFont="1">
      <alignment horizontal="center" readingOrder="0" vertical="center"/>
    </xf>
    <xf borderId="4" fillId="11" fontId="6" numFmtId="165" xfId="0" applyAlignment="1" applyBorder="1" applyFont="1" applyNumberFormat="1">
      <alignment horizontal="center" vertical="center"/>
    </xf>
    <xf borderId="4" fillId="11" fontId="6" numFmtId="3" xfId="0" applyAlignment="1" applyBorder="1" applyFont="1" applyNumberFormat="1">
      <alignment horizontal="center" vertical="center"/>
    </xf>
    <xf borderId="5" fillId="11" fontId="6" numFmtId="3" xfId="0" applyAlignment="1" applyBorder="1" applyFont="1" applyNumberFormat="1">
      <alignment horizontal="center" vertical="center"/>
    </xf>
    <xf borderId="7" fillId="11" fontId="5" numFmtId="3" xfId="0" applyAlignment="1" applyBorder="1" applyFont="1" applyNumberFormat="1">
      <alignment horizontal="center" readingOrder="0" vertical="center"/>
    </xf>
    <xf borderId="0" fillId="11" fontId="5" numFmtId="3" xfId="0" applyAlignment="1" applyFont="1" applyNumberFormat="1">
      <alignment horizontal="center" readingOrder="0" vertical="center"/>
    </xf>
    <xf borderId="3" fillId="10" fontId="6" numFmtId="0" xfId="0" applyAlignment="1" applyBorder="1" applyFont="1">
      <alignment horizontal="center" readingOrder="0" vertical="center"/>
    </xf>
    <xf borderId="4" fillId="10" fontId="6" numFmtId="164" xfId="0" applyAlignment="1" applyBorder="1" applyFont="1" applyNumberFormat="1">
      <alignment horizontal="center" readingOrder="0" vertical="center"/>
    </xf>
    <xf borderId="3" fillId="4" fontId="14" numFmtId="0" xfId="0" applyAlignment="1" applyBorder="1" applyFont="1">
      <alignment horizontal="center" readingOrder="0" vertical="center"/>
    </xf>
    <xf borderId="4" fillId="9" fontId="6" numFmtId="165" xfId="0" applyAlignment="1" applyBorder="1" applyFont="1" applyNumberFormat="1">
      <alignment horizontal="center" vertical="center"/>
    </xf>
    <xf borderId="4" fillId="9" fontId="6" numFmtId="3" xfId="0" applyAlignment="1" applyBorder="1" applyFont="1" applyNumberFormat="1">
      <alignment horizontal="center" vertical="center"/>
    </xf>
    <xf borderId="4" fillId="10" fontId="6" numFmtId="49" xfId="0" applyAlignment="1" applyBorder="1" applyFont="1" applyNumberFormat="1">
      <alignment horizontal="center" vertical="center"/>
    </xf>
    <xf borderId="5" fillId="4" fontId="6" numFmtId="3" xfId="0" applyAlignment="1" applyBorder="1" applyFont="1" applyNumberFormat="1">
      <alignment horizontal="center" readingOrder="0" vertical="center"/>
    </xf>
    <xf borderId="7" fillId="4" fontId="15" numFmtId="3" xfId="0" applyAlignment="1" applyBorder="1" applyFont="1" applyNumberFormat="1">
      <alignment horizontal="center" readingOrder="0" vertical="center"/>
    </xf>
    <xf borderId="0" fillId="4" fontId="15" numFmtId="3" xfId="0" applyAlignment="1" applyFont="1" applyNumberFormat="1">
      <alignment horizontal="center" readingOrder="0" vertical="center"/>
    </xf>
    <xf borderId="7" fillId="6" fontId="15" numFmtId="3" xfId="0" applyAlignment="1" applyBorder="1" applyFont="1" applyNumberFormat="1">
      <alignment horizontal="center" readingOrder="0" vertical="center"/>
    </xf>
    <xf borderId="0" fillId="6" fontId="15" numFmtId="3" xfId="0" applyAlignment="1" applyFont="1" applyNumberFormat="1">
      <alignment horizontal="center" readingOrder="0" vertical="center"/>
    </xf>
    <xf borderId="3" fillId="10" fontId="11" numFmtId="0" xfId="0" applyAlignment="1" applyBorder="1" applyFont="1">
      <alignment horizontal="center" readingOrder="0" vertical="center"/>
    </xf>
    <xf borderId="3" fillId="10" fontId="11" numFmtId="49" xfId="0" applyAlignment="1" applyBorder="1" applyFont="1" applyNumberFormat="1">
      <alignment horizontal="center" readingOrder="0" vertical="center"/>
    </xf>
    <xf borderId="4" fillId="10" fontId="12" numFmtId="164" xfId="0" applyAlignment="1" applyBorder="1" applyFont="1" applyNumberFormat="1">
      <alignment horizontal="center" readingOrder="0" vertical="center"/>
    </xf>
    <xf borderId="4" fillId="10" fontId="11" numFmtId="0" xfId="0" applyAlignment="1" applyBorder="1" applyFont="1">
      <alignment horizontal="center" readingOrder="0" vertical="center"/>
    </xf>
    <xf borderId="4" fillId="10" fontId="11" numFmtId="165" xfId="0" applyAlignment="1" applyBorder="1" applyFont="1" applyNumberFormat="1">
      <alignment horizontal="center" readingOrder="0" vertical="center"/>
    </xf>
    <xf borderId="4" fillId="10" fontId="12" numFmtId="3" xfId="0" applyAlignment="1" applyBorder="1" applyFont="1" applyNumberFormat="1">
      <alignment horizontal="center" vertical="center"/>
    </xf>
    <xf borderId="5" fillId="10" fontId="12" numFmtId="3" xfId="0" applyAlignment="1" applyBorder="1" applyFont="1" applyNumberFormat="1">
      <alignment horizontal="center" vertical="center"/>
    </xf>
    <xf borderId="7" fillId="10" fontId="16" numFmtId="3" xfId="0" applyAlignment="1" applyBorder="1" applyFont="1" applyNumberFormat="1">
      <alignment horizontal="center" readingOrder="0" vertical="center"/>
    </xf>
    <xf borderId="0" fillId="10" fontId="16" numFmtId="3" xfId="0" applyAlignment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vertical="center"/>
    </xf>
    <xf borderId="3" fillId="12" fontId="5" numFmtId="0" xfId="0" applyAlignment="1" applyBorder="1" applyFill="1" applyFont="1">
      <alignment horizontal="center" readingOrder="0" vertical="center"/>
    </xf>
    <xf borderId="3" fillId="12" fontId="5" numFmtId="49" xfId="0" applyAlignment="1" applyBorder="1" applyFont="1" applyNumberFormat="1">
      <alignment horizontal="center" readingOrder="0" vertical="center"/>
    </xf>
    <xf borderId="4" fillId="12" fontId="6" numFmtId="164" xfId="0" applyAlignment="1" applyBorder="1" applyFont="1" applyNumberFormat="1">
      <alignment horizontal="center" readingOrder="0" vertical="center"/>
    </xf>
    <xf borderId="4" fillId="12" fontId="5" numFmtId="0" xfId="0" applyAlignment="1" applyBorder="1" applyFont="1">
      <alignment horizontal="center" readingOrder="0" vertical="center"/>
    </xf>
    <xf borderId="4" fillId="12" fontId="5" numFmtId="165" xfId="0" applyAlignment="1" applyBorder="1" applyFont="1" applyNumberFormat="1">
      <alignment horizontal="center" readingOrder="0" vertical="center"/>
    </xf>
    <xf borderId="4" fillId="12" fontId="6" numFmtId="3" xfId="0" applyAlignment="1" applyBorder="1" applyFont="1" applyNumberFormat="1">
      <alignment horizontal="center" vertical="center"/>
    </xf>
    <xf borderId="5" fillId="12" fontId="6" numFmtId="3" xfId="0" applyAlignment="1" applyBorder="1" applyFont="1" applyNumberFormat="1">
      <alignment horizontal="center" vertical="center"/>
    </xf>
    <xf borderId="7" fillId="12" fontId="5" numFmtId="3" xfId="0" applyAlignment="1" applyBorder="1" applyFont="1" applyNumberFormat="1">
      <alignment horizontal="center" readingOrder="0" vertical="center"/>
    </xf>
    <xf borderId="0" fillId="12" fontId="5" numFmtId="3" xfId="0" applyAlignment="1" applyFont="1" applyNumberFormat="1">
      <alignment horizontal="center" readingOrder="0" vertical="center"/>
    </xf>
    <xf borderId="3" fillId="13" fontId="5" numFmtId="0" xfId="0" applyAlignment="1" applyBorder="1" applyFill="1" applyFont="1">
      <alignment horizontal="center" readingOrder="0" vertical="center"/>
    </xf>
    <xf borderId="3" fillId="13" fontId="5" numFmtId="49" xfId="0" applyAlignment="1" applyBorder="1" applyFont="1" applyNumberFormat="1">
      <alignment horizontal="center" readingOrder="0" vertical="center"/>
    </xf>
    <xf borderId="4" fillId="13" fontId="5" numFmtId="164" xfId="0" applyAlignment="1" applyBorder="1" applyFont="1" applyNumberFormat="1">
      <alignment horizontal="center" readingOrder="0" vertical="center"/>
    </xf>
    <xf borderId="4" fillId="13" fontId="5" numFmtId="0" xfId="0" applyAlignment="1" applyBorder="1" applyFont="1">
      <alignment horizontal="center" readingOrder="0" vertical="center"/>
    </xf>
    <xf borderId="4" fillId="13" fontId="5" numFmtId="165" xfId="0" applyAlignment="1" applyBorder="1" applyFont="1" applyNumberFormat="1">
      <alignment horizontal="center" readingOrder="0" vertical="center"/>
    </xf>
    <xf borderId="4" fillId="13" fontId="6" numFmtId="3" xfId="0" applyAlignment="1" applyBorder="1" applyFont="1" applyNumberFormat="1">
      <alignment horizontal="center" vertical="center"/>
    </xf>
    <xf borderId="5" fillId="13" fontId="6" numFmtId="3" xfId="0" applyAlignment="1" applyBorder="1" applyFont="1" applyNumberFormat="1">
      <alignment horizontal="center" vertical="center"/>
    </xf>
    <xf borderId="7" fillId="13" fontId="15" numFmtId="3" xfId="0" applyAlignment="1" applyBorder="1" applyFont="1" applyNumberFormat="1">
      <alignment horizontal="center" readingOrder="0" vertical="center"/>
    </xf>
    <xf borderId="0" fillId="13" fontId="15" numFmtId="3" xfId="0" applyAlignment="1" applyFont="1" applyNumberFormat="1">
      <alignment horizontal="center" readingOrder="0" vertical="center"/>
    </xf>
    <xf borderId="0" fillId="4" fontId="6" numFmtId="3" xfId="0" applyAlignment="1" applyFont="1" applyNumberFormat="1">
      <alignment horizontal="center" vertical="center"/>
    </xf>
    <xf borderId="5" fillId="4" fontId="15" numFmtId="3" xfId="0" applyAlignment="1" applyBorder="1" applyFont="1" applyNumberFormat="1">
      <alignment horizontal="center" readingOrder="0" vertical="center"/>
    </xf>
    <xf borderId="5" fillId="6" fontId="15" numFmtId="3" xfId="0" applyAlignment="1" applyBorder="1" applyFont="1" applyNumberFormat="1">
      <alignment horizontal="center" readingOrder="0" vertical="center"/>
    </xf>
    <xf borderId="0" fillId="4" fontId="10" numFmtId="0" xfId="0" applyFont="1"/>
    <xf borderId="5" fillId="4" fontId="5" numFmtId="165" xfId="0" applyAlignment="1" applyBorder="1" applyFont="1" applyNumberFormat="1">
      <alignment horizontal="center" readingOrder="0" vertical="center"/>
    </xf>
    <xf borderId="0" fillId="4" fontId="1" numFmtId="165" xfId="0" applyAlignment="1" applyFont="1" applyNumberFormat="1">
      <alignment horizontal="center" readingOrder="0" vertical="center"/>
    </xf>
    <xf borderId="21" fillId="4" fontId="5" numFmtId="49" xfId="0" applyAlignment="1" applyBorder="1" applyFont="1" applyNumberFormat="1">
      <alignment horizontal="center" readingOrder="0" vertical="center"/>
    </xf>
    <xf borderId="19" fillId="4" fontId="5" numFmtId="165" xfId="0" applyAlignment="1" applyBorder="1" applyFont="1" applyNumberFormat="1">
      <alignment horizontal="center" readingOrder="0" vertical="center"/>
    </xf>
    <xf borderId="20" fillId="4" fontId="5" numFmtId="165" xfId="0" applyAlignment="1" applyBorder="1" applyFont="1" applyNumberFormat="1">
      <alignment horizontal="center" readingOrder="0" vertical="center"/>
    </xf>
    <xf borderId="12" fillId="4" fontId="5" numFmtId="165" xfId="0" applyAlignment="1" applyBorder="1" applyFont="1" applyNumberFormat="1">
      <alignment horizontal="center" readingOrder="0" vertical="center"/>
    </xf>
    <xf borderId="3" fillId="10" fontId="6" numFmtId="49" xfId="0" applyAlignment="1" applyBorder="1" applyFont="1" applyNumberFormat="1">
      <alignment horizontal="center" vertical="center"/>
    </xf>
    <xf borderId="4" fillId="10" fontId="5" numFmtId="49" xfId="0" applyAlignment="1" applyBorder="1" applyFont="1" applyNumberFormat="1">
      <alignment horizontal="center" readingOrder="0" vertical="center"/>
    </xf>
    <xf borderId="4" fillId="6" fontId="5" numFmtId="165" xfId="0" applyAlignment="1" applyBorder="1" applyFont="1" applyNumberFormat="1">
      <alignment horizontal="center" readingOrder="0" vertical="center"/>
    </xf>
    <xf borderId="4" fillId="4" fontId="5" numFmtId="166" xfId="0" applyAlignment="1" applyBorder="1" applyFont="1" applyNumberFormat="1">
      <alignment horizontal="center" readingOrder="0" vertical="center"/>
    </xf>
    <xf borderId="19" fillId="4" fontId="6" numFmtId="3" xfId="0" applyAlignment="1" applyBorder="1" applyFont="1" applyNumberFormat="1">
      <alignment horizontal="center" vertical="center"/>
    </xf>
    <xf borderId="17" fillId="4" fontId="5" numFmtId="3" xfId="0" applyAlignment="1" applyBorder="1" applyFont="1" applyNumberFormat="1">
      <alignment horizontal="center" readingOrder="0" vertical="center"/>
    </xf>
    <xf borderId="4" fillId="8" fontId="5" numFmtId="49" xfId="0" applyAlignment="1" applyBorder="1" applyFont="1" applyNumberFormat="1">
      <alignment horizontal="center" readingOrder="0" vertical="center"/>
    </xf>
    <xf borderId="4" fillId="8" fontId="17" numFmtId="3" xfId="0" applyAlignment="1" applyBorder="1" applyFont="1" applyNumberFormat="1">
      <alignment horizontal="center" vertical="center"/>
    </xf>
    <xf borderId="0" fillId="8" fontId="17" numFmtId="3" xfId="0" applyAlignment="1" applyFont="1" applyNumberFormat="1">
      <alignment horizontal="center" vertical="center"/>
    </xf>
    <xf borderId="3" fillId="7" fontId="5" numFmtId="49" xfId="0" applyAlignment="1" applyBorder="1" applyFont="1" applyNumberFormat="1">
      <alignment horizontal="center" readingOrder="0" vertical="center"/>
    </xf>
    <xf borderId="4" fillId="7" fontId="5" numFmtId="164" xfId="0" applyAlignment="1" applyBorder="1" applyFont="1" applyNumberFormat="1">
      <alignment horizontal="center" readingOrder="0" vertical="center"/>
    </xf>
    <xf borderId="4" fillId="7" fontId="5" numFmtId="165" xfId="0" applyAlignment="1" applyBorder="1" applyFont="1" applyNumberFormat="1">
      <alignment horizontal="center" readingOrder="0" vertical="center"/>
    </xf>
    <xf borderId="7" fillId="7" fontId="18" numFmtId="3" xfId="0" applyAlignment="1" applyBorder="1" applyFont="1" applyNumberFormat="1">
      <alignment horizontal="center" readingOrder="0" vertical="center"/>
    </xf>
    <xf borderId="0" fillId="7" fontId="18" numFmtId="3" xfId="0" applyAlignment="1" applyFont="1" applyNumberFormat="1">
      <alignment horizontal="center" readingOrder="0" vertical="center"/>
    </xf>
    <xf borderId="7" fillId="4" fontId="18" numFmtId="3" xfId="0" applyAlignment="1" applyBorder="1" applyFont="1" applyNumberFormat="1">
      <alignment horizontal="center" readingOrder="0" vertical="center"/>
    </xf>
    <xf borderId="0" fillId="4" fontId="18" numFmtId="3" xfId="0" applyAlignment="1" applyFont="1" applyNumberFormat="1">
      <alignment horizontal="center" readingOrder="0" vertical="center"/>
    </xf>
    <xf borderId="23" fillId="4" fontId="5" numFmtId="3" xfId="0" applyAlignment="1" applyBorder="1" applyFont="1" applyNumberFormat="1">
      <alignment horizontal="center" readingOrder="0" vertical="center"/>
    </xf>
    <xf borderId="7" fillId="4" fontId="19" numFmtId="3" xfId="0" applyAlignment="1" applyBorder="1" applyFont="1" applyNumberFormat="1">
      <alignment horizontal="center" readingOrder="0" vertical="center"/>
    </xf>
    <xf borderId="0" fillId="4" fontId="19" numFmtId="3" xfId="0" applyAlignment="1" applyFont="1" applyNumberFormat="1">
      <alignment horizontal="center" readingOrder="0" vertical="center"/>
    </xf>
    <xf borderId="8" fillId="4" fontId="5" numFmtId="3" xfId="0" applyAlignment="1" applyBorder="1" applyFont="1" applyNumberFormat="1">
      <alignment horizontal="center" readingOrder="0" vertical="center"/>
    </xf>
    <xf borderId="4" fillId="10" fontId="5" numFmtId="3" xfId="0" applyAlignment="1" applyBorder="1" applyFont="1" applyNumberFormat="1">
      <alignment horizontal="center" readingOrder="0" vertical="center"/>
    </xf>
    <xf borderId="7" fillId="10" fontId="19" numFmtId="3" xfId="0" applyAlignment="1" applyBorder="1" applyFont="1" applyNumberFormat="1">
      <alignment horizontal="center" readingOrder="0" vertical="center"/>
    </xf>
    <xf borderId="0" fillId="10" fontId="19" numFmtId="3" xfId="0" applyAlignment="1" applyFont="1" applyNumberFormat="1">
      <alignment horizontal="center" readingOrder="0" vertical="center"/>
    </xf>
    <xf borderId="3" fillId="4" fontId="5" numFmtId="167" xfId="0" applyAlignment="1" applyBorder="1" applyFont="1" applyNumberFormat="1">
      <alignment horizontal="center" readingOrder="0" vertical="center"/>
    </xf>
    <xf borderId="3" fillId="4" fontId="5" numFmtId="165" xfId="0" applyAlignment="1" applyBorder="1" applyFont="1" applyNumberFormat="1">
      <alignment horizontal="center" readingOrder="0" vertical="center"/>
    </xf>
    <xf borderId="30" fillId="4" fontId="19" numFmtId="3" xfId="0" applyAlignment="1" applyBorder="1" applyFont="1" applyNumberFormat="1">
      <alignment horizontal="center" readingOrder="0" vertical="center"/>
    </xf>
    <xf borderId="4" fillId="4" fontId="8" numFmtId="165" xfId="0" applyAlignment="1" applyBorder="1" applyFont="1" applyNumberFormat="1">
      <alignment horizontal="center" vertical="center"/>
    </xf>
    <xf borderId="3" fillId="4" fontId="8" numFmtId="49" xfId="0" applyAlignment="1" applyBorder="1" applyFont="1" applyNumberFormat="1">
      <alignment horizontal="center" vertical="center"/>
    </xf>
    <xf borderId="3" fillId="5" fontId="6" numFmtId="49" xfId="0" applyAlignment="1" applyBorder="1" applyFont="1" applyNumberFormat="1">
      <alignment horizontal="center" vertical="center"/>
    </xf>
    <xf borderId="3" fillId="5" fontId="6" numFmtId="0" xfId="0" applyAlignment="1" applyBorder="1" applyFont="1">
      <alignment horizontal="center" vertical="center"/>
    </xf>
    <xf borderId="4" fillId="5" fontId="6" numFmtId="164" xfId="0" applyAlignment="1" applyBorder="1" applyFont="1" applyNumberFormat="1">
      <alignment horizontal="center" vertical="center"/>
    </xf>
    <xf borderId="7" fillId="5" fontId="19" numFmtId="3" xfId="0" applyAlignment="1" applyBorder="1" applyFont="1" applyNumberFormat="1">
      <alignment horizontal="center" readingOrder="0" vertical="center"/>
    </xf>
    <xf borderId="0" fillId="5" fontId="19" numFmtId="3" xfId="0" applyAlignment="1" applyFont="1" applyNumberFormat="1">
      <alignment horizontal="center" readingOrder="0" vertical="center"/>
    </xf>
    <xf borderId="7" fillId="4" fontId="5" numFmtId="164" xfId="0" applyAlignment="1" applyBorder="1" applyFont="1" applyNumberFormat="1">
      <alignment horizontal="center" readingOrder="0" vertical="center"/>
    </xf>
    <xf borderId="7" fillId="4" fontId="5" numFmtId="165" xfId="0" applyAlignment="1" applyBorder="1" applyFont="1" applyNumberFormat="1">
      <alignment horizontal="center" readingOrder="0" vertical="center"/>
    </xf>
    <xf borderId="3" fillId="8" fontId="5" numFmtId="49" xfId="0" applyAlignment="1" applyBorder="1" applyFont="1" applyNumberFormat="1">
      <alignment horizontal="center" readingOrder="0" vertical="center"/>
    </xf>
    <xf borderId="4" fillId="8" fontId="6" numFmtId="165" xfId="0" applyAlignment="1" applyBorder="1" applyFont="1" applyNumberFormat="1">
      <alignment horizontal="center" vertical="center"/>
    </xf>
    <xf borderId="4" fillId="8" fontId="5" numFmtId="165" xfId="0" applyAlignment="1" applyBorder="1" applyFont="1" applyNumberFormat="1">
      <alignment horizontal="center" readingOrder="0" vertical="center"/>
    </xf>
    <xf borderId="0" fillId="8" fontId="10" numFmtId="0" xfId="0" applyAlignment="1" applyFont="1">
      <alignment horizontal="center" readingOrder="0" vertical="center"/>
    </xf>
    <xf borderId="7" fillId="4" fontId="5" numFmtId="167" xfId="0" applyAlignment="1" applyBorder="1" applyFont="1" applyNumberFormat="1">
      <alignment horizontal="center" readingOrder="0" vertical="center"/>
    </xf>
    <xf borderId="7" fillId="10" fontId="15" numFmtId="3" xfId="0" applyAlignment="1" applyBorder="1" applyFont="1" applyNumberFormat="1">
      <alignment horizontal="center" readingOrder="0" vertical="center"/>
    </xf>
    <xf borderId="0" fillId="10" fontId="15" numFmtId="3" xfId="0" applyAlignment="1" applyFont="1" applyNumberFormat="1">
      <alignment horizontal="center" readingOrder="0" vertical="center"/>
    </xf>
    <xf borderId="3" fillId="4" fontId="6" numFmtId="165" xfId="0" applyAlignment="1" applyBorder="1" applyFont="1" applyNumberFormat="1">
      <alignment horizontal="center" readingOrder="0" vertical="center"/>
    </xf>
    <xf borderId="7" fillId="6" fontId="6" numFmtId="3" xfId="0" applyAlignment="1" applyBorder="1" applyFont="1" applyNumberFormat="1">
      <alignment horizontal="center" readingOrder="0" vertical="center"/>
    </xf>
    <xf borderId="0" fillId="6" fontId="6" numFmtId="3" xfId="0" applyAlignment="1" applyFont="1" applyNumberFormat="1">
      <alignment horizontal="center" readingOrder="0" vertical="center"/>
    </xf>
    <xf borderId="4" fillId="0" fontId="6" numFmtId="164" xfId="0" applyAlignment="1" applyBorder="1" applyFont="1" applyNumberFormat="1">
      <alignment horizontal="center" vertical="center"/>
    </xf>
    <xf borderId="4" fillId="0" fontId="6" numFmtId="165" xfId="0" applyAlignment="1" applyBorder="1" applyFont="1" applyNumberFormat="1">
      <alignment horizontal="center" vertical="center"/>
    </xf>
    <xf borderId="4" fillId="0" fontId="6" numFmtId="3" xfId="0" applyAlignment="1" applyBorder="1" applyFont="1" applyNumberFormat="1">
      <alignment horizontal="center" vertical="center"/>
    </xf>
    <xf borderId="3" fillId="4" fontId="20" numFmtId="0" xfId="0" applyAlignment="1" applyBorder="1" applyFont="1">
      <alignment horizontal="center" readingOrder="0" vertical="center"/>
    </xf>
    <xf borderId="4" fillId="4" fontId="5" numFmtId="168" xfId="0" applyAlignment="1" applyBorder="1" applyFont="1" applyNumberFormat="1">
      <alignment horizontal="center" readingOrder="0" vertical="center"/>
    </xf>
    <xf borderId="3" fillId="4" fontId="21" numFmtId="0" xfId="0" applyAlignment="1" applyBorder="1" applyFont="1">
      <alignment horizontal="center" readingOrder="0" vertical="center"/>
    </xf>
    <xf borderId="3" fillId="14" fontId="5" numFmtId="0" xfId="0" applyAlignment="1" applyBorder="1" applyFill="1" applyFont="1">
      <alignment horizontal="center" readingOrder="0" vertical="center"/>
    </xf>
    <xf borderId="3" fillId="14" fontId="6" numFmtId="49" xfId="0" applyAlignment="1" applyBorder="1" applyFont="1" applyNumberFormat="1">
      <alignment horizontal="center" readingOrder="0" vertical="center"/>
    </xf>
    <xf borderId="3" fillId="14" fontId="6" numFmtId="0" xfId="0" applyAlignment="1" applyBorder="1" applyFont="1">
      <alignment horizontal="center" vertical="center"/>
    </xf>
    <xf borderId="4" fillId="14" fontId="5" numFmtId="164" xfId="0" applyAlignment="1" applyBorder="1" applyFont="1" applyNumberFormat="1">
      <alignment horizontal="center" readingOrder="0" vertical="center"/>
    </xf>
    <xf borderId="4" fillId="14" fontId="5" numFmtId="0" xfId="0" applyAlignment="1" applyBorder="1" applyFont="1">
      <alignment horizontal="center" readingOrder="0" vertical="center"/>
    </xf>
    <xf borderId="4" fillId="14" fontId="5" numFmtId="49" xfId="0" applyAlignment="1" applyBorder="1" applyFont="1" applyNumberFormat="1">
      <alignment horizontal="center" readingOrder="0" vertical="center"/>
    </xf>
    <xf borderId="4" fillId="14" fontId="5" numFmtId="3" xfId="0" applyAlignment="1" applyBorder="1" applyFont="1" applyNumberFormat="1">
      <alignment horizontal="center" readingOrder="0" vertical="center"/>
    </xf>
    <xf borderId="5" fillId="14" fontId="6" numFmtId="3" xfId="0" applyAlignment="1" applyBorder="1" applyFont="1" applyNumberFormat="1">
      <alignment horizontal="center" vertical="center"/>
    </xf>
    <xf borderId="0" fillId="14" fontId="6" numFmtId="3" xfId="0" applyAlignment="1" applyFont="1" applyNumberFormat="1">
      <alignment horizontal="center" vertical="center"/>
    </xf>
    <xf borderId="3" fillId="0" fontId="6" numFmtId="0" xfId="0" applyAlignment="1" applyBorder="1" applyFont="1">
      <alignment horizontal="center" vertical="center"/>
    </xf>
    <xf borderId="4" fillId="0" fontId="5" numFmtId="164" xfId="0" applyAlignment="1" applyBorder="1" applyFont="1" applyNumberFormat="1">
      <alignment horizontal="center" readingOrder="0" vertical="center"/>
    </xf>
    <xf borderId="4" fillId="0" fontId="6" numFmtId="49" xfId="0" applyAlignment="1" applyBorder="1" applyFont="1" applyNumberFormat="1">
      <alignment horizontal="center" vertical="center"/>
    </xf>
    <xf borderId="7" fillId="14" fontId="5" numFmtId="3" xfId="0" applyAlignment="1" applyBorder="1" applyFont="1" applyNumberFormat="1">
      <alignment horizontal="center" readingOrder="0" vertical="center"/>
    </xf>
    <xf borderId="0" fillId="14" fontId="5" numFmtId="3" xfId="0" applyAlignment="1" applyFont="1" applyNumberFormat="1">
      <alignment horizontal="center" readingOrder="0" vertical="center"/>
    </xf>
    <xf borderId="4" fillId="0" fontId="5" numFmtId="165" xfId="0" applyAlignment="1" applyBorder="1" applyFont="1" applyNumberFormat="1">
      <alignment horizontal="center" readingOrder="0" vertical="center"/>
    </xf>
    <xf borderId="0" fillId="4" fontId="10" numFmtId="49" xfId="0" applyAlignment="1" applyFont="1" applyNumberFormat="1">
      <alignment horizontal="center" readingOrder="0"/>
    </xf>
    <xf borderId="3" fillId="0" fontId="5" numFmtId="3" xfId="0" applyAlignment="1" applyBorder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vertical="center"/>
    </xf>
    <xf borderId="3" fillId="0" fontId="6" numFmtId="49" xfId="0" applyAlignment="1" applyBorder="1" applyFont="1" applyNumberFormat="1">
      <alignment horizontal="center" vertical="center"/>
    </xf>
    <xf borderId="7" fillId="0" fontId="6" numFmtId="3" xfId="0" applyAlignment="1" applyBorder="1" applyFont="1" applyNumberFormat="1">
      <alignment horizontal="center" vertical="center"/>
    </xf>
    <xf borderId="3" fillId="14" fontId="5" numFmtId="49" xfId="0" applyAlignment="1" applyBorder="1" applyFont="1" applyNumberFormat="1">
      <alignment horizontal="center" readingOrder="0" vertical="center"/>
    </xf>
    <xf borderId="3" fillId="14" fontId="5" numFmtId="3" xfId="0" applyAlignment="1" applyBorder="1" applyFont="1" applyNumberFormat="1">
      <alignment horizontal="center" readingOrder="0" vertical="center"/>
    </xf>
    <xf borderId="4" fillId="14" fontId="5" numFmtId="165" xfId="0" applyAlignment="1" applyBorder="1" applyFont="1" applyNumberFormat="1">
      <alignment horizontal="center" readingOrder="0" vertical="center"/>
    </xf>
    <xf borderId="5" fillId="14" fontId="5" numFmtId="3" xfId="0" applyAlignment="1" applyBorder="1" applyFont="1" applyNumberFormat="1">
      <alignment horizontal="center" readingOrder="0" vertical="center"/>
    </xf>
    <xf borderId="3" fillId="15" fontId="15" numFmtId="0" xfId="0" applyAlignment="1" applyBorder="1" applyFill="1" applyFont="1">
      <alignment horizontal="center" readingOrder="0" vertical="center"/>
    </xf>
    <xf borderId="5" fillId="14" fontId="15" numFmtId="3" xfId="0" applyAlignment="1" applyBorder="1" applyFont="1" applyNumberFormat="1">
      <alignment horizontal="center" readingOrder="0" vertical="center"/>
    </xf>
    <xf borderId="5" fillId="6" fontId="5" numFmtId="3" xfId="0" applyAlignment="1" applyBorder="1" applyFont="1" applyNumberFormat="1">
      <alignment horizontal="center" readingOrder="0" vertical="center"/>
    </xf>
    <xf borderId="33" fillId="4" fontId="6" numFmtId="0" xfId="0" applyAlignment="1" applyBorder="1" applyFont="1">
      <alignment horizontal="center" vertical="center"/>
    </xf>
    <xf borderId="33" fillId="4" fontId="5" numFmtId="3" xfId="0" applyAlignment="1" applyBorder="1" applyFont="1" applyNumberFormat="1">
      <alignment horizontal="center" readingOrder="0" vertical="center"/>
    </xf>
    <xf borderId="3" fillId="4" fontId="6" numFmtId="3" xfId="0" applyAlignment="1" applyBorder="1" applyFont="1" applyNumberFormat="1">
      <alignment horizontal="center" readingOrder="0" vertical="center"/>
    </xf>
    <xf borderId="3" fillId="13" fontId="6" numFmtId="49" xfId="0" applyAlignment="1" applyBorder="1" applyFont="1" applyNumberFormat="1">
      <alignment horizontal="center" vertical="center"/>
    </xf>
    <xf borderId="3" fillId="13" fontId="6" numFmtId="0" xfId="0" applyAlignment="1" applyBorder="1" applyFont="1">
      <alignment horizontal="center" vertical="center"/>
    </xf>
    <xf borderId="4" fillId="13" fontId="6" numFmtId="164" xfId="0" applyAlignment="1" applyBorder="1" applyFont="1" applyNumberFormat="1">
      <alignment horizontal="center" readingOrder="0" vertical="center"/>
    </xf>
    <xf borderId="5" fillId="13" fontId="5" numFmtId="3" xfId="0" applyAlignment="1" applyBorder="1" applyFont="1" applyNumberFormat="1">
      <alignment horizontal="center" readingOrder="0" vertical="center"/>
    </xf>
    <xf borderId="0" fillId="13" fontId="6" numFmtId="3" xfId="0" applyAlignment="1" applyFont="1" applyNumberFormat="1">
      <alignment horizontal="center" vertical="center"/>
    </xf>
    <xf borderId="33" fillId="4" fontId="5" numFmtId="0" xfId="0" applyAlignment="1" applyBorder="1" applyFont="1">
      <alignment horizontal="center" readingOrder="0" vertical="center"/>
    </xf>
    <xf borderId="12" fillId="4" fontId="6" numFmtId="0" xfId="0" applyAlignment="1" applyBorder="1" applyFont="1">
      <alignment horizontal="center" vertical="center"/>
    </xf>
    <xf borderId="17" fillId="4" fontId="6" numFmtId="0" xfId="0" applyAlignment="1" applyBorder="1" applyFont="1">
      <alignment horizontal="center" vertical="center"/>
    </xf>
    <xf borderId="3" fillId="0" fontId="5" numFmtId="167" xfId="0" applyAlignment="1" applyBorder="1" applyFont="1" applyNumberForma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3" fillId="0" fontId="6" numFmtId="3" xfId="0" applyAlignment="1" applyBorder="1" applyFont="1" applyNumberFormat="1">
      <alignment horizontal="center" readingOrder="0" vertical="center"/>
    </xf>
    <xf borderId="7" fillId="13" fontId="5" numFmtId="3" xfId="0" applyAlignment="1" applyBorder="1" applyFont="1" applyNumberFormat="1">
      <alignment horizontal="center" readingOrder="0" vertical="center"/>
    </xf>
    <xf borderId="11" fillId="4" fontId="5" numFmtId="3" xfId="0" applyAlignment="1" applyBorder="1" applyFont="1" applyNumberFormat="1">
      <alignment horizontal="center" readingOrder="0" vertical="center"/>
    </xf>
    <xf borderId="16" fillId="4" fontId="5" numFmtId="49" xfId="0" applyAlignment="1" applyBorder="1" applyFont="1" applyNumberFormat="1">
      <alignment horizontal="center" readingOrder="0" vertical="center"/>
    </xf>
    <xf borderId="16" fillId="4" fontId="5" numFmtId="0" xfId="0" applyAlignment="1" applyBorder="1" applyFont="1">
      <alignment horizontal="center" readingOrder="0" vertical="center"/>
    </xf>
    <xf borderId="34" fillId="4" fontId="5" numFmtId="164" xfId="0" applyAlignment="1" applyBorder="1" applyFont="1" applyNumberFormat="1">
      <alignment horizontal="center" readingOrder="0" vertical="center"/>
    </xf>
    <xf borderId="16" fillId="4" fontId="1" numFmtId="0" xfId="0" applyAlignment="1" applyBorder="1" applyFont="1">
      <alignment horizontal="center" readingOrder="0" vertical="center"/>
    </xf>
    <xf borderId="12" fillId="4" fontId="5" numFmtId="167" xfId="0" applyAlignment="1" applyBorder="1" applyFont="1" applyNumberFormat="1">
      <alignment horizontal="center" readingOrder="0" vertical="center"/>
    </xf>
    <xf borderId="17" fillId="4" fontId="5" numFmtId="167" xfId="0" applyAlignment="1" applyBorder="1" applyFont="1" applyNumberFormat="1">
      <alignment horizontal="center" readingOrder="0" vertical="center"/>
    </xf>
    <xf borderId="17" fillId="4" fontId="6" numFmtId="0" xfId="0" applyAlignment="1" applyBorder="1" applyFont="1">
      <alignment horizontal="center" readingOrder="0" vertical="center"/>
    </xf>
    <xf borderId="3" fillId="6" fontId="5" numFmtId="167" xfId="0" applyAlignment="1" applyBorder="1" applyFont="1" applyNumberFormat="1">
      <alignment horizontal="center" readingOrder="0" vertical="center"/>
    </xf>
    <xf borderId="3" fillId="16" fontId="5" numFmtId="0" xfId="0" applyAlignment="1" applyBorder="1" applyFill="1" applyFont="1">
      <alignment horizontal="center" readingOrder="0" vertical="center"/>
    </xf>
    <xf borderId="3" fillId="16" fontId="5" numFmtId="167" xfId="0" applyAlignment="1" applyBorder="1" applyFont="1" applyNumberFormat="1">
      <alignment horizontal="center" readingOrder="0" vertical="center"/>
    </xf>
    <xf borderId="3" fillId="16" fontId="5" numFmtId="3" xfId="0" applyAlignment="1" applyBorder="1" applyFont="1" applyNumberFormat="1">
      <alignment horizontal="center" readingOrder="0" vertical="center"/>
    </xf>
    <xf borderId="4" fillId="16" fontId="5" numFmtId="164" xfId="0" applyAlignment="1" applyBorder="1" applyFont="1" applyNumberFormat="1">
      <alignment horizontal="center" readingOrder="0" vertical="center"/>
    </xf>
    <xf borderId="4" fillId="16" fontId="5" numFmtId="0" xfId="0" applyAlignment="1" applyBorder="1" applyFont="1">
      <alignment horizontal="center" readingOrder="0" vertical="center"/>
    </xf>
    <xf borderId="4" fillId="16" fontId="5" numFmtId="165" xfId="0" applyAlignment="1" applyBorder="1" applyFont="1" applyNumberFormat="1">
      <alignment horizontal="center" readingOrder="0" vertical="center"/>
    </xf>
    <xf borderId="4" fillId="16" fontId="6" numFmtId="3" xfId="0" applyAlignment="1" applyBorder="1" applyFont="1" applyNumberFormat="1">
      <alignment horizontal="center" vertical="center"/>
    </xf>
    <xf borderId="5" fillId="16" fontId="6" numFmtId="3" xfId="0" applyAlignment="1" applyBorder="1" applyFont="1" applyNumberFormat="1">
      <alignment horizontal="center" vertical="center"/>
    </xf>
    <xf borderId="3" fillId="16" fontId="6" numFmtId="0" xfId="0" applyAlignment="1" applyBorder="1" applyFont="1">
      <alignment horizontal="center" readingOrder="0" vertical="center"/>
    </xf>
    <xf borderId="3" fillId="16" fontId="6" numFmtId="3" xfId="0" applyAlignment="1" applyBorder="1" applyFont="1" applyNumberFormat="1">
      <alignment horizontal="center" readingOrder="0" vertical="center"/>
    </xf>
    <xf borderId="3" fillId="17" fontId="5" numFmtId="0" xfId="0" applyAlignment="1" applyBorder="1" applyFill="1" applyFont="1">
      <alignment horizontal="center" readingOrder="0" vertical="center"/>
    </xf>
    <xf borderId="3" fillId="17" fontId="5" numFmtId="167" xfId="0" applyAlignment="1" applyBorder="1" applyFont="1" applyNumberFormat="1">
      <alignment horizontal="center" readingOrder="0" vertical="center"/>
    </xf>
    <xf borderId="3" fillId="17" fontId="6" numFmtId="0" xfId="0" applyAlignment="1" applyBorder="1" applyFont="1">
      <alignment horizontal="center" readingOrder="0" vertical="center"/>
    </xf>
    <xf borderId="3" fillId="17" fontId="5" numFmtId="3" xfId="0" applyAlignment="1" applyBorder="1" applyFont="1" applyNumberFormat="1">
      <alignment horizontal="center" readingOrder="0" vertical="center"/>
    </xf>
    <xf borderId="4" fillId="17" fontId="5" numFmtId="164" xfId="0" applyAlignment="1" applyBorder="1" applyFont="1" applyNumberFormat="1">
      <alignment horizontal="center" readingOrder="0" vertical="center"/>
    </xf>
    <xf borderId="4" fillId="17" fontId="5" numFmtId="0" xfId="0" applyAlignment="1" applyBorder="1" applyFont="1">
      <alignment horizontal="center" readingOrder="0" vertical="center"/>
    </xf>
    <xf borderId="4" fillId="17" fontId="5" numFmtId="165" xfId="0" applyAlignment="1" applyBorder="1" applyFont="1" applyNumberFormat="1">
      <alignment horizontal="center" readingOrder="0" vertical="center"/>
    </xf>
    <xf borderId="4" fillId="17" fontId="6" numFmtId="3" xfId="0" applyAlignment="1" applyBorder="1" applyFont="1" applyNumberFormat="1">
      <alignment horizontal="center" vertical="center"/>
    </xf>
    <xf borderId="5" fillId="17" fontId="6" numFmtId="3" xfId="0" applyAlignment="1" applyBorder="1" applyFont="1" applyNumberFormat="1">
      <alignment horizontal="center" vertical="center"/>
    </xf>
    <xf borderId="3" fillId="17" fontId="6" numFmtId="3" xfId="0" applyAlignment="1" applyBorder="1" applyFont="1" applyNumberFormat="1">
      <alignment horizontal="center" readingOrder="0" vertical="center"/>
    </xf>
    <xf borderId="3" fillId="18" fontId="5" numFmtId="0" xfId="0" applyAlignment="1" applyBorder="1" applyFill="1" applyFont="1">
      <alignment horizontal="center" readingOrder="0" vertical="center"/>
    </xf>
    <xf borderId="3" fillId="18" fontId="5" numFmtId="167" xfId="0" applyAlignment="1" applyBorder="1" applyFont="1" applyNumberFormat="1">
      <alignment horizontal="center" readingOrder="0" vertical="center"/>
    </xf>
    <xf borderId="4" fillId="18" fontId="5" numFmtId="164" xfId="0" applyAlignment="1" applyBorder="1" applyFont="1" applyNumberFormat="1">
      <alignment horizontal="center" readingOrder="0" vertical="center"/>
    </xf>
    <xf borderId="4" fillId="18" fontId="5" numFmtId="0" xfId="0" applyAlignment="1" applyBorder="1" applyFont="1">
      <alignment horizontal="center" readingOrder="0" vertical="center"/>
    </xf>
    <xf borderId="4" fillId="18" fontId="5" numFmtId="165" xfId="0" applyAlignment="1" applyBorder="1" applyFont="1" applyNumberFormat="1">
      <alignment horizontal="center" readingOrder="0" vertical="center"/>
    </xf>
    <xf borderId="4" fillId="18" fontId="6" numFmtId="3" xfId="0" applyAlignment="1" applyBorder="1" applyFont="1" applyNumberFormat="1">
      <alignment horizontal="center" vertical="center"/>
    </xf>
    <xf borderId="5" fillId="18" fontId="6" numFmtId="3" xfId="0" applyAlignment="1" applyBorder="1" applyFont="1" applyNumberFormat="1">
      <alignment horizontal="center" vertical="center"/>
    </xf>
    <xf borderId="3" fillId="18" fontId="6" numFmtId="0" xfId="0" applyAlignment="1" applyBorder="1" applyFont="1">
      <alignment horizontal="center" readingOrder="0" vertical="center"/>
    </xf>
    <xf borderId="3" fillId="19" fontId="5" numFmtId="0" xfId="0" applyAlignment="1" applyBorder="1" applyFill="1" applyFont="1">
      <alignment horizontal="center" readingOrder="0" vertical="center"/>
    </xf>
    <xf borderId="3" fillId="19" fontId="5" numFmtId="167" xfId="0" applyAlignment="1" applyBorder="1" applyFont="1" applyNumberFormat="1">
      <alignment horizontal="center" readingOrder="0" vertical="center"/>
    </xf>
    <xf borderId="4" fillId="19" fontId="5" numFmtId="164" xfId="0" applyAlignment="1" applyBorder="1" applyFont="1" applyNumberFormat="1">
      <alignment horizontal="center" readingOrder="0" vertical="center"/>
    </xf>
    <xf borderId="4" fillId="19" fontId="5" numFmtId="0" xfId="0" applyAlignment="1" applyBorder="1" applyFont="1">
      <alignment horizontal="center" readingOrder="0" vertical="center"/>
    </xf>
    <xf borderId="4" fillId="19" fontId="5" numFmtId="165" xfId="0" applyAlignment="1" applyBorder="1" applyFont="1" applyNumberFormat="1">
      <alignment horizontal="center" readingOrder="0" vertical="center"/>
    </xf>
    <xf borderId="4" fillId="19" fontId="6" numFmtId="3" xfId="0" applyAlignment="1" applyBorder="1" applyFont="1" applyNumberFormat="1">
      <alignment horizontal="center" vertical="center"/>
    </xf>
    <xf borderId="5" fillId="19" fontId="6" numFmtId="3" xfId="0" applyAlignment="1" applyBorder="1" applyFont="1" applyNumberFormat="1">
      <alignment horizontal="center" vertical="center"/>
    </xf>
    <xf borderId="3" fillId="19" fontId="6" numFmtId="0" xfId="0" applyAlignment="1" applyBorder="1" applyFont="1">
      <alignment horizontal="center" readingOrder="0" vertical="center"/>
    </xf>
    <xf borderId="3" fillId="20" fontId="5" numFmtId="0" xfId="0" applyAlignment="1" applyBorder="1" applyFill="1" applyFont="1">
      <alignment horizontal="center" readingOrder="0" vertical="center"/>
    </xf>
    <xf borderId="3" fillId="20" fontId="5" numFmtId="167" xfId="0" applyAlignment="1" applyBorder="1" applyFont="1" applyNumberFormat="1">
      <alignment horizontal="center" readingOrder="0" vertical="center"/>
    </xf>
    <xf borderId="3" fillId="20" fontId="6" numFmtId="0" xfId="0" applyAlignment="1" applyBorder="1" applyFont="1">
      <alignment horizontal="center" readingOrder="0" vertical="center"/>
    </xf>
    <xf borderId="4" fillId="20" fontId="5" numFmtId="164" xfId="0" applyAlignment="1" applyBorder="1" applyFont="1" applyNumberFormat="1">
      <alignment horizontal="center" readingOrder="0" vertical="center"/>
    </xf>
    <xf borderId="4" fillId="20" fontId="5" numFmtId="0" xfId="0" applyAlignment="1" applyBorder="1" applyFont="1">
      <alignment horizontal="center" readingOrder="0" vertical="center"/>
    </xf>
    <xf borderId="4" fillId="20" fontId="5" numFmtId="165" xfId="0" applyAlignment="1" applyBorder="1" applyFont="1" applyNumberFormat="1">
      <alignment horizontal="center" readingOrder="0" vertical="center"/>
    </xf>
    <xf borderId="4" fillId="20" fontId="6" numFmtId="3" xfId="0" applyAlignment="1" applyBorder="1" applyFont="1" applyNumberFormat="1">
      <alignment horizontal="center" vertical="center"/>
    </xf>
    <xf borderId="5" fillId="20" fontId="6" numFmtId="3" xfId="0" applyAlignment="1" applyBorder="1" applyFont="1" applyNumberFormat="1">
      <alignment horizontal="center" vertical="center"/>
    </xf>
    <xf borderId="3" fillId="21" fontId="5" numFmtId="0" xfId="0" applyAlignment="1" applyBorder="1" applyFill="1" applyFont="1">
      <alignment horizontal="center" readingOrder="0" vertical="center"/>
    </xf>
    <xf borderId="3" fillId="21" fontId="5" numFmtId="167" xfId="0" applyAlignment="1" applyBorder="1" applyFont="1" applyNumberFormat="1">
      <alignment horizontal="center" readingOrder="0" vertical="center"/>
    </xf>
    <xf borderId="3" fillId="21" fontId="6" numFmtId="0" xfId="0" applyAlignment="1" applyBorder="1" applyFont="1">
      <alignment horizontal="center" readingOrder="0" vertical="center"/>
    </xf>
    <xf borderId="4" fillId="21" fontId="5" numFmtId="164" xfId="0" applyAlignment="1" applyBorder="1" applyFont="1" applyNumberFormat="1">
      <alignment horizontal="center" readingOrder="0" vertical="center"/>
    </xf>
    <xf borderId="4" fillId="21" fontId="5" numFmtId="0" xfId="0" applyAlignment="1" applyBorder="1" applyFont="1">
      <alignment horizontal="center" readingOrder="0" vertical="center"/>
    </xf>
    <xf borderId="4" fillId="21" fontId="5" numFmtId="165" xfId="0" applyAlignment="1" applyBorder="1" applyFont="1" applyNumberFormat="1">
      <alignment horizontal="center" readingOrder="0" vertical="center"/>
    </xf>
    <xf borderId="4" fillId="21" fontId="6" numFmtId="3" xfId="0" applyAlignment="1" applyBorder="1" applyFont="1" applyNumberFormat="1">
      <alignment horizontal="center" vertical="center"/>
    </xf>
    <xf borderId="5" fillId="21" fontId="6" numFmtId="3" xfId="0" applyAlignment="1" applyBorder="1" applyFont="1" applyNumberFormat="1">
      <alignment horizontal="center" vertical="center"/>
    </xf>
    <xf borderId="4" fillId="0" fontId="5" numFmtId="3" xfId="0" applyAlignment="1" applyBorder="1" applyFont="1" applyNumberFormat="1">
      <alignment horizontal="center" readingOrder="0" vertical="center"/>
    </xf>
    <xf borderId="5" fillId="0" fontId="5" numFmtId="3" xfId="0" applyAlignment="1" applyBorder="1" applyFont="1" applyNumberFormat="1">
      <alignment horizontal="center" readingOrder="0" vertical="center"/>
    </xf>
    <xf borderId="0" fillId="0" fontId="1" numFmtId="168" xfId="0" applyAlignment="1" applyFont="1" applyNumberFormat="1">
      <alignment readingOrder="0"/>
    </xf>
    <xf borderId="0" fillId="0" fontId="10" numFmtId="0" xfId="0" applyFont="1"/>
    <xf borderId="35" fillId="3" fontId="4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readingOrder="0" vertical="center"/>
    </xf>
    <xf borderId="8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readingOrder="0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36" fillId="3" fontId="22" numFmtId="0" xfId="0" applyAlignment="1" applyBorder="1" applyFont="1">
      <alignment horizontal="center" readingOrder="0" vertical="center"/>
    </xf>
    <xf borderId="36" fillId="3" fontId="23" numFmtId="0" xfId="0" applyAlignment="1" applyBorder="1" applyFont="1">
      <alignment horizontal="center" readingOrder="0" vertical="center"/>
    </xf>
    <xf borderId="37" fillId="4" fontId="1" numFmtId="0" xfId="0" applyAlignment="1" applyBorder="1" applyFont="1">
      <alignment readingOrder="0" vertical="center"/>
    </xf>
    <xf borderId="6" fillId="4" fontId="1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bottom"/>
    </xf>
    <xf borderId="37" fillId="4" fontId="1" numFmtId="0" xfId="0" applyAlignment="1" applyBorder="1" applyFont="1">
      <alignment horizontal="left" readingOrder="0" vertical="center"/>
    </xf>
    <xf borderId="6" fillId="4" fontId="1" numFmtId="3" xfId="0" applyAlignment="1" applyBorder="1" applyFont="1" applyNumberFormat="1">
      <alignment horizontal="center" readingOrder="0" vertical="center"/>
    </xf>
    <xf borderId="0" fillId="4" fontId="1" numFmtId="0" xfId="0" applyAlignment="1" applyFont="1">
      <alignment readingOrder="0"/>
    </xf>
    <xf borderId="2" fillId="3" fontId="12" numFmtId="0" xfId="0" applyAlignment="1" applyBorder="1" applyFont="1">
      <alignment horizontal="center" vertical="center"/>
    </xf>
    <xf borderId="2" fillId="3" fontId="12" numFmtId="3" xfId="0" applyAlignment="1" applyBorder="1" applyFont="1" applyNumberFormat="1">
      <alignment horizontal="center" vertical="center"/>
    </xf>
    <xf borderId="5" fillId="0" fontId="15" numFmtId="168" xfId="0" applyAlignment="1" applyBorder="1" applyFont="1" applyNumberFormat="1">
      <alignment horizontal="center" readingOrder="0" vertical="center"/>
    </xf>
    <xf borderId="0" fillId="0" fontId="6" numFmtId="169" xfId="0" applyFont="1" applyNumberFormat="1"/>
    <xf borderId="0" fillId="0" fontId="6" numFmtId="4" xfId="0" applyFont="1" applyNumberFormat="1"/>
    <xf borderId="4" fillId="6" fontId="6" numFmtId="4" xfId="0" applyAlignment="1" applyBorder="1" applyFont="1" applyNumberFormat="1">
      <alignment horizontal="center" vertical="center"/>
    </xf>
    <xf borderId="5" fillId="0" fontId="21" numFmtId="0" xfId="0" applyAlignment="1" applyBorder="1" applyFont="1">
      <alignment horizontal="center" readingOrder="0" vertical="center"/>
    </xf>
    <xf borderId="4" fillId="0" fontId="6" numFmtId="4" xfId="0" applyAlignment="1" applyBorder="1" applyFont="1" applyNumberFormat="1">
      <alignment horizontal="center"/>
    </xf>
    <xf borderId="0" fillId="0" fontId="24" numFmtId="3" xfId="0" applyAlignment="1" applyFont="1" applyNumberFormat="1">
      <alignment horizontal="center" readingOrder="0" vertical="center"/>
    </xf>
    <xf borderId="5" fillId="0" fontId="6" numFmtId="16" xfId="0" applyAlignment="1" applyBorder="1" applyFont="1" applyNumberFormat="1">
      <alignment horizontal="center"/>
    </xf>
    <xf borderId="0" fillId="0" fontId="10" numFmtId="4" xfId="0" applyFont="1" applyNumberFormat="1"/>
    <xf borderId="0" fillId="2" fontId="25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38" fillId="22" fontId="21" numFmtId="0" xfId="0" applyAlignment="1" applyBorder="1" applyFill="1" applyFont="1">
      <alignment horizontal="center" readingOrder="0" vertical="center"/>
    </xf>
    <xf borderId="39" fillId="22" fontId="21" numFmtId="0" xfId="0" applyAlignment="1" applyBorder="1" applyFont="1">
      <alignment horizontal="center" readingOrder="0" vertical="center"/>
    </xf>
    <xf borderId="40" fillId="22" fontId="21" numFmtId="0" xfId="0" applyAlignment="1" applyBorder="1" applyFont="1">
      <alignment horizontal="center" readingOrder="0" vertical="center"/>
    </xf>
    <xf borderId="41" fillId="0" fontId="1" numFmtId="0" xfId="0" applyAlignment="1" applyBorder="1" applyFont="1">
      <alignment horizontal="center" readingOrder="0" vertical="center"/>
    </xf>
    <xf borderId="39" fillId="0" fontId="10" numFmtId="0" xfId="0" applyAlignment="1" applyBorder="1" applyFont="1">
      <alignment horizontal="center" vertical="center"/>
    </xf>
    <xf borderId="40" fillId="0" fontId="10" numFmtId="0" xfId="0" applyAlignment="1" applyBorder="1" applyFont="1">
      <alignment horizontal="center" vertical="center"/>
    </xf>
    <xf borderId="33" fillId="0" fontId="10" numFmtId="0" xfId="0" applyAlignment="1" applyBorder="1" applyFont="1">
      <alignment horizontal="center" vertical="center"/>
    </xf>
    <xf borderId="42" fillId="0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0</xdr:rowOff>
    </xdr:from>
    <xdr:ext cx="1762125" cy="94297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0</xdr:row>
      <xdr:rowOff>57150</xdr:rowOff>
    </xdr:from>
    <xdr:ext cx="1724025" cy="933450"/>
    <xdr:pic>
      <xdr:nvPicPr>
        <xdr:cNvPr id="0" name="image2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ataValidations>
    <dataValidation type="list" allowBlank="1" showErrorMessage="1" sqref="A2:A4">
      <formula1>"Disparado"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5.75"/>
    <col customWidth="1" min="2" max="2" width="18.5"/>
    <col customWidth="1" min="3" max="3" width="26.75"/>
    <col customWidth="1" min="4" max="4" width="32.75"/>
    <col customWidth="1" min="5" max="5" width="20.13"/>
    <col customWidth="1" min="6" max="6" width="24.38"/>
    <col customWidth="1" min="7" max="7" width="19.63"/>
    <col customWidth="1" min="8" max="8" width="16.5"/>
    <col customWidth="1" min="9" max="9" width="16.25"/>
    <col customWidth="1" min="10" max="26" width="69.13"/>
  </cols>
  <sheetData>
    <row r="1" ht="78.75" customHeight="1">
      <c r="A1" s="2" t="s">
        <v>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8.0" customHeight="1">
      <c r="A2" s="4" t="s">
        <v>5</v>
      </c>
      <c r="B2" s="4" t="s">
        <v>6</v>
      </c>
      <c r="C2" s="5" t="s">
        <v>7</v>
      </c>
      <c r="D2" s="6" t="s">
        <v>8</v>
      </c>
      <c r="E2" s="6" t="s">
        <v>9</v>
      </c>
      <c r="F2" s="7" t="s">
        <v>10</v>
      </c>
      <c r="G2" s="8" t="s">
        <v>11</v>
      </c>
      <c r="H2" s="9" t="s">
        <v>12</v>
      </c>
      <c r="I2" s="5" t="s">
        <v>13</v>
      </c>
      <c r="J2" s="10" t="s">
        <v>0</v>
      </c>
      <c r="K2" s="10" t="b">
        <v>0</v>
      </c>
      <c r="L2" s="10" t="b">
        <v>0</v>
      </c>
      <c r="M2" s="10" t="b">
        <v>0</v>
      </c>
      <c r="N2" s="10" t="b">
        <v>0</v>
      </c>
      <c r="O2" s="10" t="b">
        <v>0</v>
      </c>
      <c r="P2" s="10" t="b">
        <v>0</v>
      </c>
      <c r="Q2" s="10" t="b">
        <v>0</v>
      </c>
      <c r="R2" s="10" t="b">
        <v>0</v>
      </c>
      <c r="S2" s="10" t="b">
        <v>0</v>
      </c>
      <c r="T2" s="10" t="b">
        <v>0</v>
      </c>
      <c r="U2" s="10" t="b">
        <v>0</v>
      </c>
      <c r="V2" s="10" t="b">
        <v>0</v>
      </c>
      <c r="W2" s="10" t="b">
        <v>0</v>
      </c>
      <c r="X2" s="10" t="b">
        <v>0</v>
      </c>
      <c r="Y2" s="10" t="b">
        <v>0</v>
      </c>
      <c r="Z2" s="10" t="b">
        <v>0</v>
      </c>
    </row>
    <row r="3" ht="33.75" customHeight="1">
      <c r="A3" s="11" t="s">
        <v>14</v>
      </c>
      <c r="B3" s="12" t="s">
        <v>15</v>
      </c>
      <c r="C3" s="11" t="s">
        <v>16</v>
      </c>
      <c r="D3" s="11"/>
      <c r="E3" s="13">
        <v>45981.0</v>
      </c>
      <c r="F3" s="14" t="s">
        <v>17</v>
      </c>
      <c r="G3" s="15" t="s">
        <v>18</v>
      </c>
      <c r="H3" s="16">
        <v>39929.0</v>
      </c>
      <c r="I3" s="17">
        <f t="shared" ref="I3:I95" si="1">G3-H3</f>
        <v>38929</v>
      </c>
      <c r="J3" s="18" t="s">
        <v>1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33.75" customHeight="1">
      <c r="A4" s="11">
        <v>80.0</v>
      </c>
      <c r="B4" s="20" t="s">
        <v>19</v>
      </c>
      <c r="C4" s="11" t="s">
        <v>20</v>
      </c>
      <c r="D4" s="11"/>
      <c r="E4" s="13">
        <v>45981.0</v>
      </c>
      <c r="F4" s="21"/>
      <c r="G4" s="15" t="s">
        <v>21</v>
      </c>
      <c r="H4" s="16">
        <v>9531.0</v>
      </c>
      <c r="I4" s="17">
        <f t="shared" si="1"/>
        <v>469</v>
      </c>
      <c r="J4" s="18" t="s">
        <v>1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3.75" customHeight="1">
      <c r="A5" s="11" t="s">
        <v>14</v>
      </c>
      <c r="B5" s="22" t="s">
        <v>22</v>
      </c>
      <c r="C5" s="11" t="s">
        <v>23</v>
      </c>
      <c r="D5" s="11"/>
      <c r="E5" s="13">
        <v>45981.0</v>
      </c>
      <c r="F5" s="23" t="s">
        <v>17</v>
      </c>
      <c r="G5" s="15" t="s">
        <v>18</v>
      </c>
      <c r="H5" s="16">
        <v>37345.0</v>
      </c>
      <c r="I5" s="17">
        <f t="shared" si="1"/>
        <v>41513</v>
      </c>
      <c r="J5" s="18" t="s">
        <v>1</v>
      </c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3.75" customHeight="1">
      <c r="A6" s="24" t="s">
        <v>24</v>
      </c>
      <c r="B6" s="22" t="s">
        <v>25</v>
      </c>
      <c r="C6" s="11" t="s">
        <v>20</v>
      </c>
      <c r="D6" s="11"/>
      <c r="E6" s="13">
        <v>45981.0</v>
      </c>
      <c r="F6" s="21" t="s">
        <v>26</v>
      </c>
      <c r="G6" s="15" t="s">
        <v>27</v>
      </c>
      <c r="H6" s="16">
        <v>21759.0</v>
      </c>
      <c r="I6" s="17">
        <f t="shared" si="1"/>
        <v>1156</v>
      </c>
      <c r="J6" s="18" t="s">
        <v>1</v>
      </c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3.75" customHeight="1">
      <c r="A7" s="11" t="s">
        <v>28</v>
      </c>
      <c r="B7" s="12" t="s">
        <v>29</v>
      </c>
      <c r="C7" s="11" t="s">
        <v>30</v>
      </c>
      <c r="D7" s="11"/>
      <c r="E7" s="13">
        <v>45982.0</v>
      </c>
      <c r="F7" s="14" t="s">
        <v>17</v>
      </c>
      <c r="G7" s="15" t="s">
        <v>21</v>
      </c>
      <c r="H7" s="16">
        <v>8787.0</v>
      </c>
      <c r="I7" s="17">
        <f t="shared" si="1"/>
        <v>1213</v>
      </c>
      <c r="J7" s="18" t="s">
        <v>1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3.75" customHeight="1">
      <c r="A8" s="11" t="s">
        <v>14</v>
      </c>
      <c r="B8" s="22" t="s">
        <v>31</v>
      </c>
      <c r="C8" s="11" t="s">
        <v>32</v>
      </c>
      <c r="D8" s="11"/>
      <c r="E8" s="13">
        <v>45982.0</v>
      </c>
      <c r="F8" s="14" t="s">
        <v>26</v>
      </c>
      <c r="G8" s="15" t="s">
        <v>33</v>
      </c>
      <c r="H8" s="16">
        <v>26968.0</v>
      </c>
      <c r="I8" s="17">
        <f t="shared" si="1"/>
        <v>31442</v>
      </c>
      <c r="J8" s="18" t="s">
        <v>1</v>
      </c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3.75" customHeight="1">
      <c r="A9" s="24" t="s">
        <v>24</v>
      </c>
      <c r="B9" s="22" t="s">
        <v>34</v>
      </c>
      <c r="C9" s="11" t="s">
        <v>20</v>
      </c>
      <c r="D9" s="11"/>
      <c r="E9" s="13">
        <v>45982.0</v>
      </c>
      <c r="F9" s="14" t="s">
        <v>17</v>
      </c>
      <c r="G9" s="15" t="s">
        <v>35</v>
      </c>
      <c r="H9" s="16">
        <v>21793.0</v>
      </c>
      <c r="I9" s="17">
        <f t="shared" si="1"/>
        <v>27241</v>
      </c>
      <c r="J9" s="18" t="s">
        <v>1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3.75" customHeight="1">
      <c r="A10" s="11" t="s">
        <v>36</v>
      </c>
      <c r="B10" s="22" t="s">
        <v>37</v>
      </c>
      <c r="C10" s="11" t="s">
        <v>38</v>
      </c>
      <c r="D10" s="11"/>
      <c r="E10" s="13">
        <v>45982.0</v>
      </c>
      <c r="F10" s="14" t="s">
        <v>17</v>
      </c>
      <c r="G10" s="15" t="s">
        <v>39</v>
      </c>
      <c r="H10" s="16">
        <v>19464.0</v>
      </c>
      <c r="I10" s="17">
        <f t="shared" si="1"/>
        <v>3659</v>
      </c>
      <c r="J10" s="18" t="s">
        <v>1</v>
      </c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3.75" customHeight="1">
      <c r="A11" s="11" t="s">
        <v>40</v>
      </c>
      <c r="B11" s="22" t="s">
        <v>34</v>
      </c>
      <c r="C11" s="11" t="s">
        <v>41</v>
      </c>
      <c r="D11" s="11"/>
      <c r="E11" s="13">
        <v>45982.0</v>
      </c>
      <c r="F11" s="14" t="s">
        <v>26</v>
      </c>
      <c r="G11" s="15" t="s">
        <v>42</v>
      </c>
      <c r="H11" s="16">
        <v>17527.0</v>
      </c>
      <c r="I11" s="17">
        <f t="shared" si="1"/>
        <v>24026</v>
      </c>
      <c r="J11" s="25" t="s">
        <v>1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33.75" customHeight="1">
      <c r="A12" s="11" t="s">
        <v>43</v>
      </c>
      <c r="B12" s="22" t="s">
        <v>44</v>
      </c>
      <c r="C12" s="11">
        <v>0.0</v>
      </c>
      <c r="D12" s="11"/>
      <c r="E12" s="13">
        <v>45983.0</v>
      </c>
      <c r="F12" s="14" t="s">
        <v>26</v>
      </c>
      <c r="G12" s="15" t="s">
        <v>21</v>
      </c>
      <c r="H12" s="16">
        <v>9406.0</v>
      </c>
      <c r="I12" s="17">
        <f t="shared" si="1"/>
        <v>594</v>
      </c>
      <c r="J12" s="25" t="s">
        <v>1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33.75" customHeight="1">
      <c r="A13" s="11" t="s">
        <v>24</v>
      </c>
      <c r="B13" s="22" t="s">
        <v>31</v>
      </c>
      <c r="C13" s="11" t="s">
        <v>20</v>
      </c>
      <c r="D13" s="11"/>
      <c r="E13" s="13">
        <v>45984.0</v>
      </c>
      <c r="F13" s="14" t="s">
        <v>17</v>
      </c>
      <c r="G13" s="15" t="s">
        <v>45</v>
      </c>
      <c r="H13" s="16">
        <v>47065.0</v>
      </c>
      <c r="I13" s="17">
        <f t="shared" si="1"/>
        <v>6247</v>
      </c>
      <c r="J13" s="25" t="s">
        <v>1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33.75" customHeight="1">
      <c r="A14" s="11" t="s">
        <v>46</v>
      </c>
      <c r="B14" s="22" t="s">
        <v>19</v>
      </c>
      <c r="C14" s="11" t="s">
        <v>47</v>
      </c>
      <c r="D14" s="11"/>
      <c r="E14" s="13">
        <v>45984.0</v>
      </c>
      <c r="F14" s="14" t="s">
        <v>26</v>
      </c>
      <c r="G14" s="15" t="s">
        <v>48</v>
      </c>
      <c r="H14" s="16">
        <v>3315.0</v>
      </c>
      <c r="I14" s="17">
        <f t="shared" si="1"/>
        <v>233</v>
      </c>
      <c r="J14" s="25" t="s">
        <v>1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33.75" customHeight="1">
      <c r="A15" s="11" t="s">
        <v>28</v>
      </c>
      <c r="B15" s="22" t="s">
        <v>49</v>
      </c>
      <c r="C15" s="11" t="s">
        <v>50</v>
      </c>
      <c r="D15" s="11"/>
      <c r="E15" s="13">
        <v>45985.0</v>
      </c>
      <c r="F15" s="23" t="s">
        <v>17</v>
      </c>
      <c r="G15" s="15" t="s">
        <v>51</v>
      </c>
      <c r="H15" s="16">
        <v>12486.0</v>
      </c>
      <c r="I15" s="17">
        <f t="shared" si="1"/>
        <v>2513</v>
      </c>
      <c r="J15" s="25" t="s">
        <v>1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33.75" customHeight="1">
      <c r="A16" s="11" t="s">
        <v>43</v>
      </c>
      <c r="B16" s="22" t="s">
        <v>49</v>
      </c>
      <c r="C16" s="11" t="s">
        <v>52</v>
      </c>
      <c r="D16" s="11"/>
      <c r="E16" s="13">
        <v>45985.0</v>
      </c>
      <c r="F16" s="14" t="s">
        <v>26</v>
      </c>
      <c r="G16" s="15" t="s">
        <v>53</v>
      </c>
      <c r="H16" s="16">
        <v>36326.0</v>
      </c>
      <c r="I16" s="17">
        <f t="shared" si="1"/>
        <v>7043</v>
      </c>
      <c r="J16" s="25" t="s">
        <v>1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33.75" customHeight="1">
      <c r="A17" s="11" t="s">
        <v>54</v>
      </c>
      <c r="B17" s="22" t="s">
        <v>55</v>
      </c>
      <c r="C17" s="11" t="s">
        <v>56</v>
      </c>
      <c r="D17" s="11"/>
      <c r="E17" s="13">
        <v>45985.0</v>
      </c>
      <c r="F17" s="23" t="s">
        <v>26</v>
      </c>
      <c r="G17" s="15" t="s">
        <v>57</v>
      </c>
      <c r="H17" s="16">
        <v>9023.0</v>
      </c>
      <c r="I17" s="17">
        <f t="shared" si="1"/>
        <v>2577</v>
      </c>
      <c r="J17" s="25" t="s">
        <v>1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33.75" customHeight="1">
      <c r="A18" s="11" t="s">
        <v>58</v>
      </c>
      <c r="B18" s="22" t="s">
        <v>59</v>
      </c>
      <c r="C18" s="11" t="s">
        <v>60</v>
      </c>
      <c r="D18" s="11"/>
      <c r="E18" s="13">
        <v>45985.0</v>
      </c>
      <c r="F18" s="14" t="s">
        <v>17</v>
      </c>
      <c r="G18" s="15" t="s">
        <v>21</v>
      </c>
      <c r="H18" s="16">
        <v>6482.0</v>
      </c>
      <c r="I18" s="17">
        <f t="shared" si="1"/>
        <v>3518</v>
      </c>
      <c r="J18" s="25" t="s">
        <v>1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33.75" customHeight="1">
      <c r="A19" s="11" t="s">
        <v>61</v>
      </c>
      <c r="B19" s="22" t="s">
        <v>62</v>
      </c>
      <c r="C19" s="11" t="s">
        <v>63</v>
      </c>
      <c r="D19" s="11"/>
      <c r="E19" s="13">
        <v>45985.0</v>
      </c>
      <c r="F19" s="23" t="s">
        <v>26</v>
      </c>
      <c r="G19" s="15" t="s">
        <v>64</v>
      </c>
      <c r="H19" s="16">
        <v>17470.0</v>
      </c>
      <c r="I19" s="17">
        <f t="shared" si="1"/>
        <v>8751</v>
      </c>
      <c r="J19" s="25" t="s">
        <v>1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33.75" customHeight="1">
      <c r="A20" s="11" t="s">
        <v>65</v>
      </c>
      <c r="B20" s="22" t="s">
        <v>66</v>
      </c>
      <c r="C20" s="11" t="s">
        <v>67</v>
      </c>
      <c r="D20" s="11"/>
      <c r="E20" s="13">
        <v>45985.0</v>
      </c>
      <c r="F20" s="23" t="s">
        <v>17</v>
      </c>
      <c r="G20" s="15" t="s">
        <v>68</v>
      </c>
      <c r="H20" s="16">
        <v>25348.0</v>
      </c>
      <c r="I20" s="17">
        <f t="shared" si="1"/>
        <v>11738</v>
      </c>
      <c r="J20" s="25" t="s">
        <v>1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33.75" customHeight="1">
      <c r="A21" s="11" t="s">
        <v>69</v>
      </c>
      <c r="B21" s="22" t="s">
        <v>70</v>
      </c>
      <c r="C21" s="11" t="s">
        <v>71</v>
      </c>
      <c r="D21" s="11"/>
      <c r="E21" s="13">
        <v>45985.0</v>
      </c>
      <c r="F21" s="14" t="s">
        <v>26</v>
      </c>
      <c r="G21" s="15" t="s">
        <v>72</v>
      </c>
      <c r="H21" s="16">
        <v>12540.0</v>
      </c>
      <c r="I21" s="17">
        <f t="shared" si="1"/>
        <v>2460</v>
      </c>
      <c r="J21" s="25" t="s">
        <v>1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33.75" customHeight="1">
      <c r="A22" s="11" t="s">
        <v>40</v>
      </c>
      <c r="B22" s="22" t="s">
        <v>34</v>
      </c>
      <c r="C22" s="11" t="s">
        <v>41</v>
      </c>
      <c r="D22" s="11"/>
      <c r="E22" s="13">
        <v>45985.0</v>
      </c>
      <c r="F22" s="14" t="s">
        <v>17</v>
      </c>
      <c r="G22" s="15" t="s">
        <v>21</v>
      </c>
      <c r="H22" s="16">
        <v>9057.0</v>
      </c>
      <c r="I22" s="17">
        <f t="shared" si="1"/>
        <v>943</v>
      </c>
      <c r="J22" s="25" t="s">
        <v>1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33.75" customHeight="1">
      <c r="A23" s="11" t="s">
        <v>73</v>
      </c>
      <c r="B23" s="22" t="s">
        <v>15</v>
      </c>
      <c r="C23" s="11" t="s">
        <v>74</v>
      </c>
      <c r="D23" s="11"/>
      <c r="E23" s="13">
        <v>45985.0</v>
      </c>
      <c r="F23" s="14" t="s">
        <v>17</v>
      </c>
      <c r="G23" s="15" t="s">
        <v>21</v>
      </c>
      <c r="H23" s="16">
        <v>5135.0</v>
      </c>
      <c r="I23" s="17">
        <f t="shared" si="1"/>
        <v>4865</v>
      </c>
      <c r="J23" s="25" t="s">
        <v>1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33.75" customHeight="1">
      <c r="A24" s="11" t="s">
        <v>46</v>
      </c>
      <c r="B24" s="22" t="s">
        <v>15</v>
      </c>
      <c r="C24" s="11" t="s">
        <v>75</v>
      </c>
      <c r="D24" s="11"/>
      <c r="E24" s="13">
        <v>45985.0</v>
      </c>
      <c r="F24" s="14" t="s">
        <v>26</v>
      </c>
      <c r="G24" s="15" t="s">
        <v>76</v>
      </c>
      <c r="H24" s="16">
        <v>9874.0</v>
      </c>
      <c r="I24" s="17">
        <f t="shared" si="1"/>
        <v>606</v>
      </c>
      <c r="J24" s="25" t="s">
        <v>1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33.75" customHeight="1">
      <c r="A25" s="11" t="s">
        <v>77</v>
      </c>
      <c r="B25" s="22" t="s">
        <v>49</v>
      </c>
      <c r="C25" s="11" t="s">
        <v>78</v>
      </c>
      <c r="D25" s="11"/>
      <c r="E25" s="13">
        <v>45986.0</v>
      </c>
      <c r="F25" s="14" t="s">
        <v>26</v>
      </c>
      <c r="G25" s="15" t="s">
        <v>79</v>
      </c>
      <c r="H25" s="16">
        <v>28741.0</v>
      </c>
      <c r="I25" s="17">
        <f t="shared" si="1"/>
        <v>8769</v>
      </c>
      <c r="J25" s="25" t="s">
        <v>1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33.75" customHeight="1">
      <c r="A26" s="11" t="s">
        <v>28</v>
      </c>
      <c r="B26" s="22" t="s">
        <v>49</v>
      </c>
      <c r="C26" s="11" t="s">
        <v>50</v>
      </c>
      <c r="D26" s="11"/>
      <c r="E26" s="13">
        <v>45986.0</v>
      </c>
      <c r="F26" s="14" t="s">
        <v>17</v>
      </c>
      <c r="G26" s="15" t="s">
        <v>51</v>
      </c>
      <c r="H26" s="16">
        <v>13244.0</v>
      </c>
      <c r="I26" s="17">
        <f t="shared" si="1"/>
        <v>1755</v>
      </c>
      <c r="J26" s="25" t="s">
        <v>1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33.75" customHeight="1">
      <c r="A27" s="11" t="s">
        <v>80</v>
      </c>
      <c r="B27" s="22" t="s">
        <v>81</v>
      </c>
      <c r="C27" s="11" t="s">
        <v>82</v>
      </c>
      <c r="D27" s="11"/>
      <c r="E27" s="13" t="s">
        <v>83</v>
      </c>
      <c r="F27" s="14" t="s">
        <v>17</v>
      </c>
      <c r="G27" s="15" t="s">
        <v>21</v>
      </c>
      <c r="H27" s="16">
        <v>2654.0</v>
      </c>
      <c r="I27" s="17">
        <f t="shared" si="1"/>
        <v>7346</v>
      </c>
      <c r="J27" s="25" t="s">
        <v>1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33.75" customHeight="1">
      <c r="A28" s="11" t="s">
        <v>84</v>
      </c>
      <c r="B28" s="22" t="s">
        <v>85</v>
      </c>
      <c r="C28" s="11" t="s">
        <v>86</v>
      </c>
      <c r="D28" s="11"/>
      <c r="E28" s="13">
        <v>45986.0</v>
      </c>
      <c r="F28" s="14" t="s">
        <v>17</v>
      </c>
      <c r="G28" s="15" t="s">
        <v>21</v>
      </c>
      <c r="H28" s="16">
        <v>3036.0</v>
      </c>
      <c r="I28" s="17">
        <f t="shared" si="1"/>
        <v>6964</v>
      </c>
      <c r="J28" s="25" t="s">
        <v>1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33.75" customHeight="1">
      <c r="A29" s="11" t="s">
        <v>87</v>
      </c>
      <c r="B29" s="22" t="s">
        <v>88</v>
      </c>
      <c r="C29" s="11" t="s">
        <v>89</v>
      </c>
      <c r="D29" s="11"/>
      <c r="E29" s="13">
        <v>45986.0</v>
      </c>
      <c r="F29" s="14" t="s">
        <v>17</v>
      </c>
      <c r="G29" s="15" t="s">
        <v>21</v>
      </c>
      <c r="H29" s="16">
        <v>3731.0</v>
      </c>
      <c r="I29" s="17">
        <f t="shared" si="1"/>
        <v>6269</v>
      </c>
      <c r="J29" s="25" t="s">
        <v>1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33.75" customHeight="1">
      <c r="A30" s="11" t="s">
        <v>77</v>
      </c>
      <c r="B30" s="22" t="s">
        <v>31</v>
      </c>
      <c r="C30" s="24" t="s">
        <v>78</v>
      </c>
      <c r="D30" s="24"/>
      <c r="E30" s="13">
        <v>45986.0</v>
      </c>
      <c r="F30" s="14" t="s">
        <v>17</v>
      </c>
      <c r="G30" s="15" t="s">
        <v>21</v>
      </c>
      <c r="H30" s="16">
        <v>0.0</v>
      </c>
      <c r="I30" s="17">
        <f t="shared" si="1"/>
        <v>10000</v>
      </c>
      <c r="J30" s="25" t="s">
        <v>1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33.75" customHeight="1">
      <c r="A31" s="11" t="s">
        <v>90</v>
      </c>
      <c r="B31" s="22" t="s">
        <v>91</v>
      </c>
      <c r="C31" s="24" t="s">
        <v>92</v>
      </c>
      <c r="D31" s="24"/>
      <c r="E31" s="13">
        <v>45986.0</v>
      </c>
      <c r="F31" s="14" t="s">
        <v>26</v>
      </c>
      <c r="G31" s="27" t="s">
        <v>93</v>
      </c>
      <c r="H31" s="16">
        <v>12100.0</v>
      </c>
      <c r="I31" s="17">
        <f t="shared" si="1"/>
        <v>1109</v>
      </c>
      <c r="J31" s="25" t="s">
        <v>1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33.75" customHeight="1">
      <c r="A32" s="11" t="s">
        <v>69</v>
      </c>
      <c r="B32" s="22" t="s">
        <v>94</v>
      </c>
      <c r="C32" s="24" t="s">
        <v>71</v>
      </c>
      <c r="D32" s="24"/>
      <c r="E32" s="13">
        <v>45986.0</v>
      </c>
      <c r="F32" s="14" t="s">
        <v>26</v>
      </c>
      <c r="G32" s="15" t="s">
        <v>95</v>
      </c>
      <c r="H32" s="16">
        <v>11692.0</v>
      </c>
      <c r="I32" s="17">
        <f t="shared" si="1"/>
        <v>3434</v>
      </c>
      <c r="J32" s="25" t="s">
        <v>1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33.75" customHeight="1">
      <c r="A33" s="11" t="s">
        <v>24</v>
      </c>
      <c r="B33" s="22" t="s">
        <v>34</v>
      </c>
      <c r="C33" s="11" t="s">
        <v>96</v>
      </c>
      <c r="D33" s="11"/>
      <c r="E33" s="13">
        <v>45986.0</v>
      </c>
      <c r="F33" s="14" t="s">
        <v>17</v>
      </c>
      <c r="G33" s="15" t="s">
        <v>97</v>
      </c>
      <c r="H33" s="16">
        <v>43115.0</v>
      </c>
      <c r="I33" s="17">
        <f t="shared" si="1"/>
        <v>13845</v>
      </c>
      <c r="J33" s="25" t="s">
        <v>1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33.75" customHeight="1">
      <c r="A34" s="11" t="s">
        <v>90</v>
      </c>
      <c r="B34" s="22" t="s">
        <v>98</v>
      </c>
      <c r="C34" s="11" t="s">
        <v>92</v>
      </c>
      <c r="D34" s="11"/>
      <c r="E34" s="13">
        <v>45986.0</v>
      </c>
      <c r="F34" s="14" t="s">
        <v>99</v>
      </c>
      <c r="G34" s="15" t="s">
        <v>100</v>
      </c>
      <c r="H34" s="16">
        <v>17413.0</v>
      </c>
      <c r="I34" s="17">
        <f t="shared" si="1"/>
        <v>881</v>
      </c>
      <c r="J34" s="25" t="s">
        <v>1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33.75" customHeight="1">
      <c r="A35" s="11" t="s">
        <v>101</v>
      </c>
      <c r="B35" s="22" t="s">
        <v>15</v>
      </c>
      <c r="C35" s="11" t="s">
        <v>102</v>
      </c>
      <c r="D35" s="11"/>
      <c r="E35" s="13">
        <v>45986.0</v>
      </c>
      <c r="F35" s="14" t="s">
        <v>99</v>
      </c>
      <c r="G35" s="15" t="s">
        <v>103</v>
      </c>
      <c r="H35" s="16">
        <v>55509.0</v>
      </c>
      <c r="I35" s="17">
        <f t="shared" si="1"/>
        <v>12551</v>
      </c>
      <c r="J35" s="25" t="s">
        <v>1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33.75" customHeight="1">
      <c r="A36" s="11" t="s">
        <v>54</v>
      </c>
      <c r="B36" s="22" t="s">
        <v>104</v>
      </c>
      <c r="C36" s="24" t="s">
        <v>56</v>
      </c>
      <c r="D36" s="24"/>
      <c r="E36" s="13">
        <v>45986.0</v>
      </c>
      <c r="F36" s="14" t="s">
        <v>26</v>
      </c>
      <c r="G36" s="15" t="s">
        <v>105</v>
      </c>
      <c r="H36" s="16">
        <v>11236.0</v>
      </c>
      <c r="I36" s="17">
        <f t="shared" si="1"/>
        <v>2155</v>
      </c>
      <c r="J36" s="25" t="s">
        <v>1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33.75" customHeight="1">
      <c r="A37" s="11" t="s">
        <v>28</v>
      </c>
      <c r="B37" s="22" t="s">
        <v>49</v>
      </c>
      <c r="C37" s="11" t="s">
        <v>106</v>
      </c>
      <c r="D37" s="11"/>
      <c r="E37" s="13">
        <v>45987.0</v>
      </c>
      <c r="F37" s="14" t="s">
        <v>17</v>
      </c>
      <c r="G37" s="15" t="s">
        <v>51</v>
      </c>
      <c r="H37" s="16">
        <v>13217.0</v>
      </c>
      <c r="I37" s="17">
        <f t="shared" si="1"/>
        <v>1782</v>
      </c>
      <c r="J37" s="25" t="s">
        <v>1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33.75" customHeight="1">
      <c r="A38" s="11" t="s">
        <v>107</v>
      </c>
      <c r="B38" s="22" t="s">
        <v>49</v>
      </c>
      <c r="C38" s="24" t="s">
        <v>108</v>
      </c>
      <c r="D38" s="24"/>
      <c r="E38" s="13">
        <v>45987.0</v>
      </c>
      <c r="F38" s="14" t="s">
        <v>26</v>
      </c>
      <c r="G38" s="15" t="s">
        <v>21</v>
      </c>
      <c r="H38" s="16">
        <v>9010.0</v>
      </c>
      <c r="I38" s="17">
        <f t="shared" si="1"/>
        <v>990</v>
      </c>
      <c r="J38" s="25" t="s">
        <v>1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33.75" customHeight="1">
      <c r="A39" s="11" t="s">
        <v>109</v>
      </c>
      <c r="B39" s="22" t="s">
        <v>49</v>
      </c>
      <c r="C39" s="24" t="s">
        <v>108</v>
      </c>
      <c r="D39" s="24"/>
      <c r="E39" s="13">
        <v>45987.0</v>
      </c>
      <c r="F39" s="14" t="s">
        <v>26</v>
      </c>
      <c r="G39" s="15" t="s">
        <v>110</v>
      </c>
      <c r="H39" s="16">
        <v>17534.0</v>
      </c>
      <c r="I39" s="17">
        <f t="shared" si="1"/>
        <v>2466</v>
      </c>
      <c r="J39" s="25" t="s">
        <v>1</v>
      </c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33.75" customHeight="1">
      <c r="A40" s="11" t="s">
        <v>111</v>
      </c>
      <c r="B40" s="22" t="s">
        <v>49</v>
      </c>
      <c r="C40" s="24" t="s">
        <v>108</v>
      </c>
      <c r="D40" s="24"/>
      <c r="E40" s="13">
        <v>45987.0</v>
      </c>
      <c r="F40" s="14" t="s">
        <v>26</v>
      </c>
      <c r="G40" s="15" t="s">
        <v>21</v>
      </c>
      <c r="H40" s="16">
        <v>8480.0</v>
      </c>
      <c r="I40" s="17">
        <f t="shared" si="1"/>
        <v>1520</v>
      </c>
      <c r="J40" s="25" t="s">
        <v>1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33.75" customHeight="1">
      <c r="A41" s="11" t="s">
        <v>28</v>
      </c>
      <c r="B41" s="22" t="s">
        <v>49</v>
      </c>
      <c r="C41" s="11" t="s">
        <v>106</v>
      </c>
      <c r="D41" s="11"/>
      <c r="E41" s="13" t="s">
        <v>112</v>
      </c>
      <c r="F41" s="14" t="s">
        <v>17</v>
      </c>
      <c r="G41" s="15" t="s">
        <v>21</v>
      </c>
      <c r="H41" s="16">
        <v>8484.0</v>
      </c>
      <c r="I41" s="17">
        <f t="shared" si="1"/>
        <v>1516</v>
      </c>
      <c r="J41" s="25" t="s">
        <v>1</v>
      </c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33.75" customHeight="1">
      <c r="A42" s="11" t="s">
        <v>43</v>
      </c>
      <c r="B42" s="22" t="s">
        <v>88</v>
      </c>
      <c r="C42" s="11" t="s">
        <v>113</v>
      </c>
      <c r="D42" s="11"/>
      <c r="E42" s="13" t="s">
        <v>112</v>
      </c>
      <c r="F42" s="14" t="s">
        <v>26</v>
      </c>
      <c r="G42" s="15" t="s">
        <v>114</v>
      </c>
      <c r="H42" s="16">
        <v>25438.0</v>
      </c>
      <c r="I42" s="17">
        <f t="shared" si="1"/>
        <v>7674</v>
      </c>
      <c r="J42" s="25" t="s">
        <v>1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33.75" customHeight="1">
      <c r="A43" s="11" t="s">
        <v>115</v>
      </c>
      <c r="B43" s="22" t="s">
        <v>44</v>
      </c>
      <c r="C43" s="11" t="s">
        <v>116</v>
      </c>
      <c r="D43" s="11"/>
      <c r="E43" s="13" t="s">
        <v>112</v>
      </c>
      <c r="F43" s="14" t="s">
        <v>26</v>
      </c>
      <c r="G43" s="15" t="s">
        <v>117</v>
      </c>
      <c r="H43" s="16"/>
      <c r="I43" s="17">
        <f t="shared" si="1"/>
        <v>80000</v>
      </c>
      <c r="J43" s="25" t="s">
        <v>1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33.75" customHeight="1">
      <c r="A44" s="11" t="s">
        <v>115</v>
      </c>
      <c r="B44" s="22" t="s">
        <v>44</v>
      </c>
      <c r="C44" s="11" t="s">
        <v>118</v>
      </c>
      <c r="D44" s="11"/>
      <c r="E44" s="13" t="s">
        <v>112</v>
      </c>
      <c r="F44" s="14" t="s">
        <v>17</v>
      </c>
      <c r="G44" s="15" t="s">
        <v>117</v>
      </c>
      <c r="H44" s="16"/>
      <c r="I44" s="17">
        <f t="shared" si="1"/>
        <v>80000</v>
      </c>
      <c r="J44" s="25" t="s">
        <v>1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33.75" customHeight="1">
      <c r="A45" s="11" t="s">
        <v>119</v>
      </c>
      <c r="B45" s="22" t="s">
        <v>120</v>
      </c>
      <c r="C45" s="11" t="s">
        <v>121</v>
      </c>
      <c r="D45" s="11"/>
      <c r="E45" s="13" t="s">
        <v>112</v>
      </c>
      <c r="F45" s="14" t="s">
        <v>122</v>
      </c>
      <c r="G45" s="15" t="s">
        <v>123</v>
      </c>
      <c r="H45" s="16">
        <v>135113.0</v>
      </c>
      <c r="I45" s="17">
        <f t="shared" si="1"/>
        <v>22168</v>
      </c>
      <c r="J45" s="25" t="s">
        <v>1</v>
      </c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33.75" customHeight="1">
      <c r="A46" s="11" t="s">
        <v>124</v>
      </c>
      <c r="B46" s="22" t="s">
        <v>125</v>
      </c>
      <c r="C46" s="11" t="s">
        <v>126</v>
      </c>
      <c r="D46" s="11"/>
      <c r="E46" s="13">
        <v>45988.0</v>
      </c>
      <c r="F46" s="14" t="s">
        <v>99</v>
      </c>
      <c r="G46" s="15" t="s">
        <v>127</v>
      </c>
      <c r="H46" s="16">
        <v>60864.0</v>
      </c>
      <c r="I46" s="17">
        <f t="shared" si="1"/>
        <v>2536</v>
      </c>
      <c r="J46" s="25" t="s">
        <v>1</v>
      </c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33.75" customHeight="1">
      <c r="A47" s="11" t="s">
        <v>115</v>
      </c>
      <c r="B47" s="22" t="s">
        <v>128</v>
      </c>
      <c r="C47" s="11" t="s">
        <v>129</v>
      </c>
      <c r="D47" s="11"/>
      <c r="E47" s="13">
        <v>45988.0</v>
      </c>
      <c r="F47" s="14" t="s">
        <v>17</v>
      </c>
      <c r="G47" s="15" t="s">
        <v>130</v>
      </c>
      <c r="H47" s="28"/>
      <c r="I47" s="17">
        <f t="shared" si="1"/>
        <v>86133</v>
      </c>
      <c r="J47" s="25" t="s">
        <v>1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33.75" customHeight="1">
      <c r="A48" s="11" t="s">
        <v>115</v>
      </c>
      <c r="B48" s="22" t="s">
        <v>128</v>
      </c>
      <c r="C48" s="11" t="s">
        <v>131</v>
      </c>
      <c r="D48" s="11"/>
      <c r="E48" s="13">
        <v>45988.0</v>
      </c>
      <c r="F48" s="14" t="s">
        <v>99</v>
      </c>
      <c r="G48" s="15" t="s">
        <v>130</v>
      </c>
      <c r="H48" s="28"/>
      <c r="I48" s="17">
        <f t="shared" si="1"/>
        <v>86133</v>
      </c>
      <c r="J48" s="25" t="s">
        <v>1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33.75" customHeight="1">
      <c r="A49" s="11" t="s">
        <v>132</v>
      </c>
      <c r="B49" s="22" t="s">
        <v>34</v>
      </c>
      <c r="C49" s="11" t="s">
        <v>133</v>
      </c>
      <c r="D49" s="11"/>
      <c r="E49" s="13">
        <v>45988.0</v>
      </c>
      <c r="F49" s="14" t="s">
        <v>17</v>
      </c>
      <c r="G49" s="15" t="s">
        <v>134</v>
      </c>
      <c r="H49" s="16">
        <v>9069.0</v>
      </c>
      <c r="I49" s="17">
        <f t="shared" si="1"/>
        <v>3562</v>
      </c>
      <c r="J49" s="25" t="s">
        <v>1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33.75" customHeight="1">
      <c r="A50" s="11" t="s">
        <v>135</v>
      </c>
      <c r="B50" s="22" t="s">
        <v>15</v>
      </c>
      <c r="C50" s="11" t="s">
        <v>136</v>
      </c>
      <c r="D50" s="11"/>
      <c r="E50" s="13">
        <v>45988.0</v>
      </c>
      <c r="F50" s="14" t="s">
        <v>17</v>
      </c>
      <c r="G50" s="15" t="s">
        <v>137</v>
      </c>
      <c r="H50" s="16">
        <v>18754.0</v>
      </c>
      <c r="I50" s="17">
        <f t="shared" si="1"/>
        <v>676</v>
      </c>
      <c r="J50" s="25" t="s">
        <v>1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33.75" customHeight="1">
      <c r="A51" s="11" t="s">
        <v>46</v>
      </c>
      <c r="B51" s="22" t="s">
        <v>15</v>
      </c>
      <c r="C51" s="11" t="s">
        <v>138</v>
      </c>
      <c r="D51" s="11"/>
      <c r="E51" s="13">
        <v>45988.0</v>
      </c>
      <c r="F51" s="14" t="s">
        <v>26</v>
      </c>
      <c r="G51" s="15" t="s">
        <v>110</v>
      </c>
      <c r="H51" s="16">
        <v>3799.0</v>
      </c>
      <c r="I51" s="17">
        <f t="shared" si="1"/>
        <v>16201</v>
      </c>
      <c r="J51" s="25" t="s">
        <v>1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33.75" customHeight="1">
      <c r="A52" s="11" t="s">
        <v>139</v>
      </c>
      <c r="B52" s="22" t="s">
        <v>140</v>
      </c>
      <c r="C52" s="11" t="s">
        <v>141</v>
      </c>
      <c r="D52" s="11"/>
      <c r="E52" s="13">
        <v>45988.0</v>
      </c>
      <c r="F52" s="14"/>
      <c r="G52" s="15" t="s">
        <v>142</v>
      </c>
      <c r="H52" s="16">
        <v>10949.0</v>
      </c>
      <c r="I52" s="17">
        <f t="shared" si="1"/>
        <v>2303</v>
      </c>
      <c r="J52" s="25" t="s">
        <v>1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33.75" customHeight="1">
      <c r="A53" s="11" t="s">
        <v>143</v>
      </c>
      <c r="B53" s="22" t="s">
        <v>144</v>
      </c>
      <c r="C53" s="11" t="s">
        <v>145</v>
      </c>
      <c r="D53" s="11"/>
      <c r="E53" s="13" t="s">
        <v>146</v>
      </c>
      <c r="F53" s="14" t="s">
        <v>17</v>
      </c>
      <c r="G53" s="15" t="s">
        <v>147</v>
      </c>
      <c r="H53" s="16">
        <v>7442.0</v>
      </c>
      <c r="I53" s="17">
        <f t="shared" si="1"/>
        <v>2943</v>
      </c>
      <c r="J53" s="25" t="s">
        <v>1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33.75" customHeight="1">
      <c r="A54" s="11" t="s">
        <v>148</v>
      </c>
      <c r="B54" s="22" t="s">
        <v>49</v>
      </c>
      <c r="C54" s="11" t="s">
        <v>149</v>
      </c>
      <c r="D54" s="11"/>
      <c r="E54" s="13" t="s">
        <v>146</v>
      </c>
      <c r="F54" s="14" t="s">
        <v>26</v>
      </c>
      <c r="G54" s="15" t="s">
        <v>21</v>
      </c>
      <c r="H54" s="16">
        <v>8399.0</v>
      </c>
      <c r="I54" s="17">
        <f t="shared" si="1"/>
        <v>1601</v>
      </c>
      <c r="J54" s="25" t="s">
        <v>1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33.75" customHeight="1">
      <c r="A55" s="11" t="s">
        <v>150</v>
      </c>
      <c r="B55" s="22" t="s">
        <v>88</v>
      </c>
      <c r="C55" s="11" t="s">
        <v>151</v>
      </c>
      <c r="D55" s="11"/>
      <c r="E55" s="13" t="s">
        <v>146</v>
      </c>
      <c r="F55" s="14" t="s">
        <v>17</v>
      </c>
      <c r="G55" s="15" t="s">
        <v>21</v>
      </c>
      <c r="H55" s="16">
        <v>12496.0</v>
      </c>
      <c r="I55" s="17">
        <f t="shared" si="1"/>
        <v>-2496</v>
      </c>
      <c r="J55" s="25" t="s">
        <v>1</v>
      </c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33.75" customHeight="1">
      <c r="A56" s="11" t="s">
        <v>152</v>
      </c>
      <c r="B56" s="22" t="s">
        <v>153</v>
      </c>
      <c r="C56" s="11" t="s">
        <v>154</v>
      </c>
      <c r="D56" s="11"/>
      <c r="E56" s="13">
        <v>45989.0</v>
      </c>
      <c r="F56" s="14" t="s">
        <v>99</v>
      </c>
      <c r="G56" s="15" t="s">
        <v>21</v>
      </c>
      <c r="H56" s="28"/>
      <c r="I56" s="17">
        <f t="shared" si="1"/>
        <v>10000</v>
      </c>
      <c r="J56" s="25" t="s">
        <v>1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33.75" customHeight="1">
      <c r="A57" s="11" t="s">
        <v>77</v>
      </c>
      <c r="B57" s="22" t="s">
        <v>31</v>
      </c>
      <c r="C57" s="11" t="s">
        <v>155</v>
      </c>
      <c r="D57" s="11"/>
      <c r="E57" s="13" t="s">
        <v>146</v>
      </c>
      <c r="F57" s="14" t="s">
        <v>26</v>
      </c>
      <c r="G57" s="15" t="s">
        <v>156</v>
      </c>
      <c r="H57" s="16">
        <v>32470.0</v>
      </c>
      <c r="I57" s="17">
        <f t="shared" si="1"/>
        <v>17230</v>
      </c>
      <c r="J57" s="25" t="s">
        <v>1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33.75" customHeight="1">
      <c r="A58" s="11" t="s">
        <v>157</v>
      </c>
      <c r="B58" s="22" t="s">
        <v>125</v>
      </c>
      <c r="C58" s="11" t="s">
        <v>158</v>
      </c>
      <c r="D58" s="11"/>
      <c r="E58" s="13" t="s">
        <v>146</v>
      </c>
      <c r="F58" s="14" t="s">
        <v>99</v>
      </c>
      <c r="G58" s="15" t="s">
        <v>159</v>
      </c>
      <c r="H58" s="16">
        <v>5703.0</v>
      </c>
      <c r="I58" s="17">
        <f t="shared" si="1"/>
        <v>297</v>
      </c>
      <c r="J58" s="25" t="s">
        <v>1</v>
      </c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33.75" customHeight="1">
      <c r="A59" s="11" t="s">
        <v>160</v>
      </c>
      <c r="B59" s="22" t="s">
        <v>161</v>
      </c>
      <c r="C59" s="11" t="s">
        <v>162</v>
      </c>
      <c r="D59" s="11"/>
      <c r="E59" s="13" t="s">
        <v>146</v>
      </c>
      <c r="F59" s="14" t="s">
        <v>99</v>
      </c>
      <c r="G59" s="15" t="s">
        <v>21</v>
      </c>
      <c r="H59" s="16">
        <v>10507.0</v>
      </c>
      <c r="I59" s="17">
        <f t="shared" si="1"/>
        <v>-507</v>
      </c>
      <c r="J59" s="25" t="s">
        <v>1</v>
      </c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33.75" customHeight="1">
      <c r="A60" s="11" t="s">
        <v>24</v>
      </c>
      <c r="B60" s="22" t="s">
        <v>15</v>
      </c>
      <c r="C60" s="29" t="s">
        <v>163</v>
      </c>
      <c r="D60" s="29"/>
      <c r="E60" s="13" t="s">
        <v>146</v>
      </c>
      <c r="F60" s="14" t="s">
        <v>99</v>
      </c>
      <c r="G60" s="15" t="s">
        <v>164</v>
      </c>
      <c r="H60" s="16">
        <v>18942.0</v>
      </c>
      <c r="I60" s="17">
        <f t="shared" si="1"/>
        <v>721</v>
      </c>
      <c r="J60" s="25" t="s">
        <v>1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33.75" customHeight="1">
      <c r="A61" s="11" t="s">
        <v>40</v>
      </c>
      <c r="B61" s="22" t="s">
        <v>15</v>
      </c>
      <c r="C61" s="11" t="s">
        <v>165</v>
      </c>
      <c r="D61" s="11"/>
      <c r="E61" s="13" t="s">
        <v>146</v>
      </c>
      <c r="F61" s="14" t="s">
        <v>17</v>
      </c>
      <c r="G61" s="15" t="s">
        <v>166</v>
      </c>
      <c r="H61" s="16">
        <v>15032.0</v>
      </c>
      <c r="I61" s="17">
        <f t="shared" si="1"/>
        <v>409</v>
      </c>
      <c r="J61" s="25" t="s">
        <v>1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33.75" customHeight="1">
      <c r="A62" s="11" t="s">
        <v>167</v>
      </c>
      <c r="B62" s="22" t="s">
        <v>34</v>
      </c>
      <c r="C62" s="11" t="s">
        <v>168</v>
      </c>
      <c r="D62" s="11"/>
      <c r="E62" s="13" t="s">
        <v>146</v>
      </c>
      <c r="F62" s="14" t="s">
        <v>17</v>
      </c>
      <c r="G62" s="15" t="s">
        <v>169</v>
      </c>
      <c r="H62" s="16">
        <v>16209.0</v>
      </c>
      <c r="I62" s="17">
        <f t="shared" si="1"/>
        <v>430</v>
      </c>
      <c r="J62" s="25" t="s">
        <v>1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33.75" customHeight="1">
      <c r="A63" s="11" t="s">
        <v>170</v>
      </c>
      <c r="B63" s="22" t="s">
        <v>44</v>
      </c>
      <c r="C63" s="11" t="s">
        <v>171</v>
      </c>
      <c r="D63" s="11"/>
      <c r="E63" s="13" t="s">
        <v>172</v>
      </c>
      <c r="F63" s="14" t="s">
        <v>17</v>
      </c>
      <c r="G63" s="15" t="s">
        <v>173</v>
      </c>
      <c r="H63" s="16">
        <v>26574.0</v>
      </c>
      <c r="I63" s="17">
        <f t="shared" si="1"/>
        <v>10925</v>
      </c>
      <c r="J63" s="25" t="s">
        <v>1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33.75" customHeight="1">
      <c r="A64" s="11" t="s">
        <v>115</v>
      </c>
      <c r="B64" s="22" t="s">
        <v>31</v>
      </c>
      <c r="C64" s="11" t="s">
        <v>174</v>
      </c>
      <c r="D64" s="11"/>
      <c r="E64" s="13" t="s">
        <v>172</v>
      </c>
      <c r="F64" s="14" t="s">
        <v>17</v>
      </c>
      <c r="G64" s="15" t="s">
        <v>175</v>
      </c>
      <c r="H64" s="16">
        <v>23762.0</v>
      </c>
      <c r="I64" s="17">
        <f t="shared" si="1"/>
        <v>29738</v>
      </c>
      <c r="J64" s="25" t="s">
        <v>1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33.75" customHeight="1">
      <c r="A65" s="11" t="s">
        <v>115</v>
      </c>
      <c r="B65" s="22" t="s">
        <v>31</v>
      </c>
      <c r="C65" s="11" t="s">
        <v>176</v>
      </c>
      <c r="D65" s="11"/>
      <c r="E65" s="13" t="s">
        <v>172</v>
      </c>
      <c r="F65" s="14" t="s">
        <v>99</v>
      </c>
      <c r="G65" s="15" t="s">
        <v>175</v>
      </c>
      <c r="H65" s="16">
        <v>27435.0</v>
      </c>
      <c r="I65" s="17">
        <f t="shared" si="1"/>
        <v>26065</v>
      </c>
      <c r="J65" s="25" t="s">
        <v>1</v>
      </c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33.75" customHeight="1">
      <c r="A66" s="11" t="s">
        <v>132</v>
      </c>
      <c r="B66" s="22" t="s">
        <v>177</v>
      </c>
      <c r="C66" s="11" t="s">
        <v>178</v>
      </c>
      <c r="D66" s="11"/>
      <c r="E66" s="13" t="s">
        <v>172</v>
      </c>
      <c r="F66" s="14" t="s">
        <v>26</v>
      </c>
      <c r="G66" s="15" t="s">
        <v>179</v>
      </c>
      <c r="H66" s="16">
        <v>10173.0</v>
      </c>
      <c r="I66" s="17">
        <f t="shared" si="1"/>
        <v>2459</v>
      </c>
      <c r="J66" s="25" t="s">
        <v>1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33.75" customHeight="1">
      <c r="A67" s="11" t="s">
        <v>180</v>
      </c>
      <c r="B67" s="22" t="s">
        <v>181</v>
      </c>
      <c r="C67" s="11" t="s">
        <v>182</v>
      </c>
      <c r="D67" s="11"/>
      <c r="E67" s="13" t="s">
        <v>172</v>
      </c>
      <c r="F67" s="14" t="s">
        <v>99</v>
      </c>
      <c r="G67" s="15" t="s">
        <v>183</v>
      </c>
      <c r="H67" s="16">
        <v>46203.0</v>
      </c>
      <c r="I67" s="17">
        <f t="shared" si="1"/>
        <v>6668</v>
      </c>
      <c r="J67" s="25" t="s">
        <v>1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33.75" customHeight="1">
      <c r="A68" s="11" t="s">
        <v>184</v>
      </c>
      <c r="B68" s="22" t="s">
        <v>185</v>
      </c>
      <c r="C68" s="11" t="s">
        <v>186</v>
      </c>
      <c r="D68" s="11"/>
      <c r="E68" s="13" t="s">
        <v>172</v>
      </c>
      <c r="F68" s="14" t="s">
        <v>99</v>
      </c>
      <c r="G68" s="15" t="s">
        <v>187</v>
      </c>
      <c r="H68" s="16">
        <v>13071.0</v>
      </c>
      <c r="I68" s="17">
        <f t="shared" si="1"/>
        <v>402</v>
      </c>
      <c r="J68" s="25" t="s">
        <v>1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33.75" customHeight="1">
      <c r="A69" s="11" t="s">
        <v>188</v>
      </c>
      <c r="B69" s="22" t="s">
        <v>189</v>
      </c>
      <c r="C69" s="11" t="s">
        <v>190</v>
      </c>
      <c r="D69" s="11"/>
      <c r="E69" s="13" t="s">
        <v>172</v>
      </c>
      <c r="F69" s="14" t="s">
        <v>17</v>
      </c>
      <c r="G69" s="15" t="s">
        <v>191</v>
      </c>
      <c r="H69" s="16">
        <v>5507.0</v>
      </c>
      <c r="I69" s="17">
        <f t="shared" si="1"/>
        <v>401</v>
      </c>
      <c r="J69" s="25" t="s">
        <v>1</v>
      </c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33.75" customHeight="1">
      <c r="A70" s="11" t="s">
        <v>46</v>
      </c>
      <c r="B70" s="22" t="s">
        <v>49</v>
      </c>
      <c r="C70" s="11" t="s">
        <v>138</v>
      </c>
      <c r="D70" s="11"/>
      <c r="E70" s="13" t="s">
        <v>192</v>
      </c>
      <c r="F70" s="14" t="s">
        <v>26</v>
      </c>
      <c r="G70" s="15" t="s">
        <v>193</v>
      </c>
      <c r="H70" s="16">
        <v>3234.0</v>
      </c>
      <c r="I70" s="17">
        <f t="shared" si="1"/>
        <v>778</v>
      </c>
      <c r="J70" s="25" t="s">
        <v>1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33.75" customHeight="1">
      <c r="A71" s="11" t="s">
        <v>46</v>
      </c>
      <c r="B71" s="22" t="s">
        <v>88</v>
      </c>
      <c r="C71" s="11" t="s">
        <v>138</v>
      </c>
      <c r="D71" s="11"/>
      <c r="E71" s="13" t="s">
        <v>192</v>
      </c>
      <c r="F71" s="14" t="s">
        <v>26</v>
      </c>
      <c r="G71" s="15" t="s">
        <v>48</v>
      </c>
      <c r="H71" s="16">
        <v>3208.0</v>
      </c>
      <c r="I71" s="17">
        <f t="shared" si="1"/>
        <v>340</v>
      </c>
      <c r="J71" s="25" t="s">
        <v>1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33.75" customHeight="1">
      <c r="A72" s="11" t="s">
        <v>194</v>
      </c>
      <c r="B72" s="22" t="s">
        <v>195</v>
      </c>
      <c r="C72" s="11" t="s">
        <v>196</v>
      </c>
      <c r="D72" s="11"/>
      <c r="E72" s="13" t="s">
        <v>192</v>
      </c>
      <c r="F72" s="14" t="s">
        <v>26</v>
      </c>
      <c r="G72" s="15" t="s">
        <v>197</v>
      </c>
      <c r="H72" s="16">
        <v>20601.0</v>
      </c>
      <c r="I72" s="17">
        <f t="shared" si="1"/>
        <v>9385</v>
      </c>
      <c r="J72" s="25" t="s">
        <v>1</v>
      </c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33.75" customHeight="1">
      <c r="A73" s="11" t="s">
        <v>46</v>
      </c>
      <c r="B73" s="22" t="s">
        <v>34</v>
      </c>
      <c r="C73" s="11" t="s">
        <v>138</v>
      </c>
      <c r="D73" s="11"/>
      <c r="E73" s="13" t="s">
        <v>192</v>
      </c>
      <c r="F73" s="14" t="s">
        <v>26</v>
      </c>
      <c r="G73" s="15" t="s">
        <v>48</v>
      </c>
      <c r="H73" s="16"/>
      <c r="I73" s="17">
        <f t="shared" si="1"/>
        <v>3548</v>
      </c>
      <c r="J73" s="25" t="s">
        <v>1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33.75" customHeight="1">
      <c r="A74" s="11" t="s">
        <v>46</v>
      </c>
      <c r="B74" s="22" t="s">
        <v>15</v>
      </c>
      <c r="C74" s="11" t="s">
        <v>138</v>
      </c>
      <c r="D74" s="11"/>
      <c r="E74" s="13" t="s">
        <v>192</v>
      </c>
      <c r="F74" s="14" t="s">
        <v>17</v>
      </c>
      <c r="G74" s="15" t="s">
        <v>193</v>
      </c>
      <c r="H74" s="16">
        <v>3699.0</v>
      </c>
      <c r="I74" s="17">
        <f t="shared" si="1"/>
        <v>313</v>
      </c>
      <c r="J74" s="25" t="s">
        <v>1</v>
      </c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33.75" customHeight="1">
      <c r="A75" s="11" t="s">
        <v>46</v>
      </c>
      <c r="B75" s="22" t="s">
        <v>198</v>
      </c>
      <c r="C75" s="11" t="s">
        <v>138</v>
      </c>
      <c r="D75" s="11"/>
      <c r="E75" s="13" t="s">
        <v>192</v>
      </c>
      <c r="F75" s="14" t="s">
        <v>17</v>
      </c>
      <c r="G75" s="15" t="s">
        <v>193</v>
      </c>
      <c r="H75" s="16">
        <v>3293.0</v>
      </c>
      <c r="I75" s="17">
        <f t="shared" si="1"/>
        <v>719</v>
      </c>
      <c r="J75" s="25" t="s">
        <v>1</v>
      </c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33.75" customHeight="1">
      <c r="A76" s="11" t="s">
        <v>46</v>
      </c>
      <c r="B76" s="22" t="s">
        <v>25</v>
      </c>
      <c r="C76" s="11" t="s">
        <v>138</v>
      </c>
      <c r="D76" s="11"/>
      <c r="E76" s="13" t="s">
        <v>192</v>
      </c>
      <c r="F76" s="14" t="s">
        <v>26</v>
      </c>
      <c r="G76" s="15" t="s">
        <v>48</v>
      </c>
      <c r="H76" s="16">
        <v>3280.0</v>
      </c>
      <c r="I76" s="17">
        <f t="shared" si="1"/>
        <v>268</v>
      </c>
      <c r="J76" s="25" t="s">
        <v>1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33.75" customHeight="1">
      <c r="A77" s="11" t="s">
        <v>46</v>
      </c>
      <c r="B77" s="22" t="s">
        <v>199</v>
      </c>
      <c r="C77" s="11" t="s">
        <v>138</v>
      </c>
      <c r="D77" s="11"/>
      <c r="E77" s="13" t="s">
        <v>192</v>
      </c>
      <c r="F77" s="14" t="s">
        <v>26</v>
      </c>
      <c r="G77" s="15" t="s">
        <v>193</v>
      </c>
      <c r="H77" s="16">
        <v>3306.0</v>
      </c>
      <c r="I77" s="17">
        <f t="shared" si="1"/>
        <v>706</v>
      </c>
      <c r="J77" s="25" t="s">
        <v>1</v>
      </c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33.75" customHeight="1">
      <c r="A78" s="11" t="s">
        <v>115</v>
      </c>
      <c r="B78" s="22" t="s">
        <v>200</v>
      </c>
      <c r="C78" s="11" t="s">
        <v>201</v>
      </c>
      <c r="D78" s="11"/>
      <c r="E78" s="13" t="s">
        <v>192</v>
      </c>
      <c r="F78" s="14" t="s">
        <v>99</v>
      </c>
      <c r="G78" s="15" t="s">
        <v>202</v>
      </c>
      <c r="H78" s="16">
        <v>73731.0</v>
      </c>
      <c r="I78" s="17">
        <f t="shared" si="1"/>
        <v>26269</v>
      </c>
      <c r="J78" s="25" t="s">
        <v>1</v>
      </c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33.75" customHeight="1">
      <c r="A79" s="11" t="s">
        <v>28</v>
      </c>
      <c r="B79" s="22" t="s">
        <v>49</v>
      </c>
      <c r="C79" s="11" t="s">
        <v>50</v>
      </c>
      <c r="D79" s="11"/>
      <c r="E79" s="13">
        <v>45992.0</v>
      </c>
      <c r="F79" s="14" t="s">
        <v>99</v>
      </c>
      <c r="G79" s="15" t="s">
        <v>203</v>
      </c>
      <c r="H79" s="16">
        <v>12566.0</v>
      </c>
      <c r="I79" s="17">
        <f t="shared" si="1"/>
        <v>2432</v>
      </c>
      <c r="J79" s="25" t="s">
        <v>1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33.75" customHeight="1">
      <c r="A80" s="11" t="s">
        <v>90</v>
      </c>
      <c r="B80" s="22" t="s">
        <v>88</v>
      </c>
      <c r="C80" s="11" t="s">
        <v>204</v>
      </c>
      <c r="D80" s="11"/>
      <c r="E80" s="13">
        <v>45992.0</v>
      </c>
      <c r="F80" s="14" t="s">
        <v>17</v>
      </c>
      <c r="G80" s="15" t="s">
        <v>205</v>
      </c>
      <c r="H80" s="16">
        <v>11126.0</v>
      </c>
      <c r="I80" s="17">
        <f t="shared" si="1"/>
        <v>781</v>
      </c>
      <c r="J80" s="25" t="s">
        <v>1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33.75" customHeight="1">
      <c r="A81" s="11" t="s">
        <v>206</v>
      </c>
      <c r="B81" s="22" t="s">
        <v>37</v>
      </c>
      <c r="C81" s="11" t="s">
        <v>207</v>
      </c>
      <c r="D81" s="11"/>
      <c r="E81" s="13">
        <v>45992.0</v>
      </c>
      <c r="F81" s="14" t="s">
        <v>17</v>
      </c>
      <c r="G81" s="15" t="s">
        <v>208</v>
      </c>
      <c r="H81" s="16">
        <v>4168.0</v>
      </c>
      <c r="I81" s="17">
        <f t="shared" si="1"/>
        <v>832</v>
      </c>
      <c r="J81" s="25" t="s">
        <v>1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33.75" customHeight="1">
      <c r="A82" s="11" t="s">
        <v>28</v>
      </c>
      <c r="B82" s="22" t="s">
        <v>49</v>
      </c>
      <c r="C82" s="11" t="s">
        <v>209</v>
      </c>
      <c r="D82" s="11"/>
      <c r="E82" s="13">
        <v>45993.0</v>
      </c>
      <c r="F82" s="14" t="s">
        <v>17</v>
      </c>
      <c r="G82" s="15" t="s">
        <v>51</v>
      </c>
      <c r="H82" s="16">
        <v>14496.0</v>
      </c>
      <c r="I82" s="17">
        <f t="shared" si="1"/>
        <v>503</v>
      </c>
      <c r="J82" s="25" t="s">
        <v>1</v>
      </c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33.75" customHeight="1">
      <c r="A83" s="11" t="s">
        <v>210</v>
      </c>
      <c r="B83" s="30" t="s">
        <v>85</v>
      </c>
      <c r="C83" s="31" t="s">
        <v>211</v>
      </c>
      <c r="D83" s="11"/>
      <c r="E83" s="13">
        <v>45993.0</v>
      </c>
      <c r="F83" s="14" t="s">
        <v>99</v>
      </c>
      <c r="G83" s="15" t="s">
        <v>21</v>
      </c>
      <c r="H83" s="16">
        <v>9244.0</v>
      </c>
      <c r="I83" s="17">
        <f t="shared" si="1"/>
        <v>756</v>
      </c>
      <c r="J83" s="25" t="s">
        <v>1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11" t="s">
        <v>135</v>
      </c>
      <c r="B84" s="22" t="s">
        <v>88</v>
      </c>
      <c r="C84" s="11" t="s">
        <v>212</v>
      </c>
      <c r="D84" s="11"/>
      <c r="E84" s="13">
        <v>45993.0</v>
      </c>
      <c r="F84" s="14" t="s">
        <v>99</v>
      </c>
      <c r="G84" s="15" t="s">
        <v>213</v>
      </c>
      <c r="H84" s="16">
        <v>19372.0</v>
      </c>
      <c r="I84" s="17">
        <f t="shared" si="1"/>
        <v>1454</v>
      </c>
      <c r="J84" s="25" t="s">
        <v>1</v>
      </c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33.75" customHeight="1">
      <c r="A85" s="11" t="s">
        <v>214</v>
      </c>
      <c r="B85" s="30" t="s">
        <v>31</v>
      </c>
      <c r="C85" s="32" t="s">
        <v>215</v>
      </c>
      <c r="D85" s="33"/>
      <c r="E85" s="13">
        <v>45993.0</v>
      </c>
      <c r="F85" s="14" t="s">
        <v>99</v>
      </c>
      <c r="G85" s="15" t="s">
        <v>21</v>
      </c>
      <c r="H85" s="16">
        <v>6211.0</v>
      </c>
      <c r="I85" s="17">
        <f t="shared" si="1"/>
        <v>3789</v>
      </c>
      <c r="J85" s="25" t="s">
        <v>1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33.75" customHeight="1">
      <c r="A86" s="11" t="s">
        <v>28</v>
      </c>
      <c r="B86" s="30" t="s">
        <v>91</v>
      </c>
      <c r="C86" s="34" t="s">
        <v>209</v>
      </c>
      <c r="D86" s="35"/>
      <c r="E86" s="13">
        <v>45993.0</v>
      </c>
      <c r="F86" s="14" t="s">
        <v>26</v>
      </c>
      <c r="G86" s="15" t="s">
        <v>21</v>
      </c>
      <c r="H86" s="16">
        <v>8435.0</v>
      </c>
      <c r="I86" s="17">
        <f t="shared" si="1"/>
        <v>1565</v>
      </c>
      <c r="J86" s="25" t="s">
        <v>1</v>
      </c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33.75" customHeight="1">
      <c r="A87" s="11" t="s">
        <v>216</v>
      </c>
      <c r="B87" s="22" t="s">
        <v>125</v>
      </c>
      <c r="C87" s="36" t="s">
        <v>217</v>
      </c>
      <c r="D87" s="36"/>
      <c r="E87" s="13">
        <v>45993.0</v>
      </c>
      <c r="F87" s="14" t="s">
        <v>99</v>
      </c>
      <c r="G87" s="15" t="s">
        <v>218</v>
      </c>
      <c r="H87" s="16">
        <v>27120.0</v>
      </c>
      <c r="I87" s="17">
        <f t="shared" si="1"/>
        <v>719</v>
      </c>
      <c r="J87" s="25" t="s">
        <v>1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33.75" customHeight="1">
      <c r="A88" s="11" t="s">
        <v>115</v>
      </c>
      <c r="B88" s="22" t="s">
        <v>98</v>
      </c>
      <c r="C88" s="37" t="s">
        <v>219</v>
      </c>
      <c r="D88" s="37"/>
      <c r="E88" s="13">
        <v>45993.0</v>
      </c>
      <c r="F88" s="14" t="s">
        <v>220</v>
      </c>
      <c r="G88" s="15" t="s">
        <v>221</v>
      </c>
      <c r="H88" s="28"/>
      <c r="I88" s="17">
        <f t="shared" si="1"/>
        <v>512000</v>
      </c>
      <c r="J88" s="25" t="s">
        <v>1</v>
      </c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33.75" customHeight="1">
      <c r="A89" s="11" t="s">
        <v>101</v>
      </c>
      <c r="B89" s="22" t="s">
        <v>15</v>
      </c>
      <c r="C89" s="11" t="s">
        <v>222</v>
      </c>
      <c r="D89" s="11"/>
      <c r="E89" s="13">
        <v>45993.0</v>
      </c>
      <c r="F89" s="14" t="s">
        <v>26</v>
      </c>
      <c r="G89" s="15" t="s">
        <v>223</v>
      </c>
      <c r="H89" s="28"/>
      <c r="I89" s="17">
        <f t="shared" si="1"/>
        <v>12551</v>
      </c>
      <c r="J89" s="25" t="s">
        <v>1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33.75" customHeight="1">
      <c r="A90" s="11" t="s">
        <v>224</v>
      </c>
      <c r="B90" s="22" t="s">
        <v>25</v>
      </c>
      <c r="C90" s="11" t="s">
        <v>225</v>
      </c>
      <c r="D90" s="11"/>
      <c r="E90" s="13">
        <v>45994.0</v>
      </c>
      <c r="F90" s="14" t="s">
        <v>17</v>
      </c>
      <c r="G90" s="15" t="s">
        <v>21</v>
      </c>
      <c r="H90" s="28"/>
      <c r="I90" s="17">
        <f t="shared" si="1"/>
        <v>10000</v>
      </c>
      <c r="J90" s="25" t="s">
        <v>1</v>
      </c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33.75" customHeight="1">
      <c r="A91" s="11" t="s">
        <v>28</v>
      </c>
      <c r="B91" s="22" t="s">
        <v>49</v>
      </c>
      <c r="C91" s="11" t="s">
        <v>226</v>
      </c>
      <c r="D91" s="11"/>
      <c r="E91" s="13">
        <v>45994.0</v>
      </c>
      <c r="F91" s="14" t="s">
        <v>17</v>
      </c>
      <c r="G91" s="27"/>
      <c r="H91" s="16">
        <v>12919.0</v>
      </c>
      <c r="I91" s="17">
        <f t="shared" si="1"/>
        <v>-12919</v>
      </c>
      <c r="J91" s="25" t="s">
        <v>1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33.75" customHeight="1">
      <c r="A92" s="11" t="s">
        <v>36</v>
      </c>
      <c r="B92" s="22" t="s">
        <v>85</v>
      </c>
      <c r="C92" s="11" t="s">
        <v>227</v>
      </c>
      <c r="D92" s="11"/>
      <c r="E92" s="13">
        <v>45994.0</v>
      </c>
      <c r="F92" s="14" t="s">
        <v>99</v>
      </c>
      <c r="G92" s="27"/>
      <c r="H92" s="16">
        <v>6111.0</v>
      </c>
      <c r="I92" s="17">
        <f t="shared" si="1"/>
        <v>-6111</v>
      </c>
      <c r="J92" s="25" t="s">
        <v>1</v>
      </c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33.75" customHeight="1">
      <c r="A93" s="11" t="s">
        <v>228</v>
      </c>
      <c r="B93" s="22" t="s">
        <v>31</v>
      </c>
      <c r="C93" s="11" t="s">
        <v>229</v>
      </c>
      <c r="D93" s="11"/>
      <c r="E93" s="13">
        <v>45994.0</v>
      </c>
      <c r="F93" s="14" t="s">
        <v>99</v>
      </c>
      <c r="G93" s="15"/>
      <c r="H93" s="16">
        <v>10251.0</v>
      </c>
      <c r="I93" s="17">
        <f t="shared" si="1"/>
        <v>-10251</v>
      </c>
      <c r="J93" s="25" t="s"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33.75" customHeight="1">
      <c r="A94" s="11" t="s">
        <v>230</v>
      </c>
      <c r="B94" s="22" t="s">
        <v>31</v>
      </c>
      <c r="C94" s="11" t="s">
        <v>231</v>
      </c>
      <c r="D94" s="11"/>
      <c r="E94" s="13">
        <v>45994.0</v>
      </c>
      <c r="F94" s="14" t="s">
        <v>99</v>
      </c>
      <c r="G94" s="15" t="s">
        <v>232</v>
      </c>
      <c r="H94" s="16">
        <v>11633.0</v>
      </c>
      <c r="I94" s="17">
        <f t="shared" si="1"/>
        <v>817</v>
      </c>
      <c r="J94" s="25" t="s"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33.75" customHeight="1">
      <c r="A95" s="11" t="s">
        <v>233</v>
      </c>
      <c r="B95" s="22" t="s">
        <v>31</v>
      </c>
      <c r="C95" s="11" t="s">
        <v>234</v>
      </c>
      <c r="D95" s="11"/>
      <c r="E95" s="13">
        <v>45994.0</v>
      </c>
      <c r="F95" s="14" t="s">
        <v>17</v>
      </c>
      <c r="G95" s="15" t="s">
        <v>21</v>
      </c>
      <c r="H95" s="16">
        <v>4967.0</v>
      </c>
      <c r="I95" s="17">
        <f t="shared" si="1"/>
        <v>5033</v>
      </c>
      <c r="J95" s="25" t="s">
        <v>1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33.75" customHeight="1">
      <c r="A96" s="11" t="s">
        <v>14</v>
      </c>
      <c r="B96" s="22" t="s">
        <v>125</v>
      </c>
      <c r="C96" s="11" t="s">
        <v>235</v>
      </c>
      <c r="D96" s="11"/>
      <c r="E96" s="13">
        <v>45994.0</v>
      </c>
      <c r="F96" s="14" t="s">
        <v>17</v>
      </c>
      <c r="G96" s="38" t="s">
        <v>236</v>
      </c>
      <c r="H96" s="16">
        <v>24375.0</v>
      </c>
      <c r="I96" s="17">
        <v>78000.0</v>
      </c>
      <c r="J96" s="25" t="s">
        <v>1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33.75" customHeight="1">
      <c r="A97" s="11" t="s">
        <v>36</v>
      </c>
      <c r="B97" s="22" t="s">
        <v>237</v>
      </c>
      <c r="C97" s="11" t="s">
        <v>227</v>
      </c>
      <c r="D97" s="11"/>
      <c r="E97" s="13">
        <v>45994.0</v>
      </c>
      <c r="F97" s="14" t="s">
        <v>99</v>
      </c>
      <c r="G97" s="27"/>
      <c r="H97" s="16">
        <v>12576.0</v>
      </c>
      <c r="I97" s="39"/>
      <c r="J97" s="25" t="s">
        <v>1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33.75" customHeight="1">
      <c r="A98" s="11" t="s">
        <v>24</v>
      </c>
      <c r="B98" s="22" t="s">
        <v>34</v>
      </c>
      <c r="C98" s="11" t="s">
        <v>238</v>
      </c>
      <c r="D98" s="11"/>
      <c r="E98" s="13">
        <v>45994.0</v>
      </c>
      <c r="F98" s="14" t="s">
        <v>99</v>
      </c>
      <c r="G98" s="15" t="s">
        <v>239</v>
      </c>
      <c r="H98" s="16">
        <v>61446.0</v>
      </c>
      <c r="I98" s="17">
        <f t="shared" ref="I98:I100" si="2">G98-H98</f>
        <v>8556</v>
      </c>
      <c r="J98" s="25" t="s">
        <v>1</v>
      </c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33.75" customHeight="1">
      <c r="A99" s="11" t="s">
        <v>40</v>
      </c>
      <c r="B99" s="22" t="s">
        <v>34</v>
      </c>
      <c r="C99" s="11" t="s">
        <v>240</v>
      </c>
      <c r="D99" s="11"/>
      <c r="E99" s="13">
        <v>45994.0</v>
      </c>
      <c r="F99" s="14" t="s">
        <v>17</v>
      </c>
      <c r="G99" s="15" t="s">
        <v>241</v>
      </c>
      <c r="H99" s="16">
        <v>41532.0</v>
      </c>
      <c r="I99" s="17">
        <f t="shared" si="2"/>
        <v>9025</v>
      </c>
      <c r="J99" s="25" t="s">
        <v>1</v>
      </c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33.75" customHeight="1">
      <c r="A100" s="11" t="s">
        <v>36</v>
      </c>
      <c r="B100" s="22" t="s">
        <v>34</v>
      </c>
      <c r="C100" s="11" t="s">
        <v>227</v>
      </c>
      <c r="D100" s="11"/>
      <c r="E100" s="13">
        <v>45994.0</v>
      </c>
      <c r="F100" s="14" t="s">
        <v>99</v>
      </c>
      <c r="G100" s="27"/>
      <c r="H100" s="16">
        <v>19000.0</v>
      </c>
      <c r="I100" s="17">
        <f t="shared" si="2"/>
        <v>-19000</v>
      </c>
      <c r="J100" s="25" t="s">
        <v>1</v>
      </c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33.75" customHeight="1">
      <c r="A101" s="11" t="s">
        <v>101</v>
      </c>
      <c r="B101" s="22" t="s">
        <v>15</v>
      </c>
      <c r="C101" s="11" t="s">
        <v>222</v>
      </c>
      <c r="D101" s="11"/>
      <c r="E101" s="13">
        <v>45994.0</v>
      </c>
      <c r="F101" s="14" t="s">
        <v>26</v>
      </c>
      <c r="G101" s="15" t="s">
        <v>223</v>
      </c>
      <c r="H101" s="16">
        <v>10.304</v>
      </c>
      <c r="I101" s="17"/>
      <c r="J101" s="25" t="s">
        <v>1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33.75" customHeight="1">
      <c r="A102" s="11" t="s">
        <v>14</v>
      </c>
      <c r="B102" s="22" t="s">
        <v>140</v>
      </c>
      <c r="C102" s="11" t="s">
        <v>242</v>
      </c>
      <c r="D102" s="11"/>
      <c r="E102" s="13">
        <v>45994.0</v>
      </c>
      <c r="F102" s="14" t="s">
        <v>17</v>
      </c>
      <c r="G102" s="27"/>
      <c r="H102" s="16">
        <v>46455.0</v>
      </c>
      <c r="I102" s="17">
        <f t="shared" ref="I102:I281" si="3">G102-H102</f>
        <v>-46455</v>
      </c>
      <c r="J102" s="25" t="s">
        <v>1</v>
      </c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33.75" customHeight="1">
      <c r="A103" s="11" t="s">
        <v>243</v>
      </c>
      <c r="B103" s="22" t="s">
        <v>140</v>
      </c>
      <c r="C103" s="11" t="s">
        <v>244</v>
      </c>
      <c r="D103" s="11"/>
      <c r="E103" s="13">
        <v>45994.0</v>
      </c>
      <c r="F103" s="23"/>
      <c r="G103" s="27"/>
      <c r="H103" s="16">
        <v>16122.0</v>
      </c>
      <c r="I103" s="17">
        <f t="shared" si="3"/>
        <v>-16122</v>
      </c>
      <c r="J103" s="25" t="s">
        <v>1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33.75" customHeight="1">
      <c r="A104" s="11" t="s">
        <v>36</v>
      </c>
      <c r="B104" s="22" t="s">
        <v>19</v>
      </c>
      <c r="C104" s="11" t="s">
        <v>227</v>
      </c>
      <c r="D104" s="11"/>
      <c r="E104" s="13">
        <v>45994.0</v>
      </c>
      <c r="F104" s="23"/>
      <c r="G104" s="27"/>
      <c r="H104" s="16">
        <v>5837.0</v>
      </c>
      <c r="I104" s="17">
        <f t="shared" si="3"/>
        <v>-5837</v>
      </c>
      <c r="J104" s="25" t="s">
        <v>1</v>
      </c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33.75" customHeight="1">
      <c r="A105" s="11" t="s">
        <v>115</v>
      </c>
      <c r="B105" s="22" t="s">
        <v>245</v>
      </c>
      <c r="C105" s="11" t="s">
        <v>246</v>
      </c>
      <c r="D105" s="11"/>
      <c r="E105" s="13">
        <v>45994.0</v>
      </c>
      <c r="F105" s="14" t="s">
        <v>17</v>
      </c>
      <c r="G105" s="15" t="s">
        <v>247</v>
      </c>
      <c r="H105" s="16">
        <v>43423.0</v>
      </c>
      <c r="I105" s="17">
        <f t="shared" si="3"/>
        <v>26908</v>
      </c>
      <c r="J105" s="25" t="s">
        <v>1</v>
      </c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33.75" customHeight="1">
      <c r="A106" s="11" t="s">
        <v>115</v>
      </c>
      <c r="B106" s="22" t="s">
        <v>248</v>
      </c>
      <c r="C106" s="11" t="s">
        <v>249</v>
      </c>
      <c r="D106" s="11"/>
      <c r="E106" s="13">
        <v>45994.0</v>
      </c>
      <c r="F106" s="14" t="s">
        <v>17</v>
      </c>
      <c r="G106" s="15" t="s">
        <v>250</v>
      </c>
      <c r="H106" s="16">
        <v>46405.0</v>
      </c>
      <c r="I106" s="17">
        <f t="shared" si="3"/>
        <v>23258</v>
      </c>
      <c r="J106" s="25" t="s">
        <v>1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33.75" customHeight="1">
      <c r="A107" s="11" t="s">
        <v>251</v>
      </c>
      <c r="B107" s="22" t="s">
        <v>19</v>
      </c>
      <c r="C107" s="11" t="s">
        <v>252</v>
      </c>
      <c r="D107" s="11"/>
      <c r="E107" s="13">
        <v>45994.0</v>
      </c>
      <c r="F107" s="23"/>
      <c r="G107" s="27"/>
      <c r="H107" s="16">
        <v>7465.0</v>
      </c>
      <c r="I107" s="17">
        <f t="shared" si="3"/>
        <v>-7465</v>
      </c>
      <c r="J107" s="40" t="s">
        <v>1</v>
      </c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33.75" customHeight="1">
      <c r="A108" s="11" t="s">
        <v>251</v>
      </c>
      <c r="B108" s="22" t="s">
        <v>248</v>
      </c>
      <c r="C108" s="11" t="s">
        <v>252</v>
      </c>
      <c r="D108" s="11"/>
      <c r="E108" s="13">
        <v>45994.0</v>
      </c>
      <c r="F108" s="23"/>
      <c r="G108" s="27"/>
      <c r="H108" s="16">
        <v>8612.0</v>
      </c>
      <c r="I108" s="17">
        <f t="shared" si="3"/>
        <v>-8612</v>
      </c>
      <c r="J108" s="40" t="s">
        <v>1</v>
      </c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33.75" customHeight="1">
      <c r="A109" s="11" t="s">
        <v>28</v>
      </c>
      <c r="B109" s="22" t="s">
        <v>49</v>
      </c>
      <c r="C109" s="11" t="s">
        <v>253</v>
      </c>
      <c r="D109" s="11"/>
      <c r="E109" s="13">
        <v>45995.0</v>
      </c>
      <c r="F109" s="14" t="s">
        <v>17</v>
      </c>
      <c r="G109" s="27"/>
      <c r="H109" s="16">
        <v>8686.0</v>
      </c>
      <c r="I109" s="17">
        <f t="shared" si="3"/>
        <v>-8686</v>
      </c>
      <c r="J109" s="40" t="s">
        <v>1</v>
      </c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33.75" customHeight="1">
      <c r="A110" s="11" t="s">
        <v>254</v>
      </c>
      <c r="B110" s="22" t="s">
        <v>125</v>
      </c>
      <c r="C110" s="11" t="s">
        <v>255</v>
      </c>
      <c r="D110" s="11"/>
      <c r="E110" s="13">
        <v>45995.0</v>
      </c>
      <c r="F110" s="14" t="s">
        <v>99</v>
      </c>
      <c r="G110" s="27"/>
      <c r="H110" s="16">
        <v>9225.0</v>
      </c>
      <c r="I110" s="17">
        <f t="shared" si="3"/>
        <v>-9225</v>
      </c>
      <c r="J110" s="40" t="s">
        <v>1</v>
      </c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33.75" customHeight="1">
      <c r="A111" s="11" t="s">
        <v>28</v>
      </c>
      <c r="B111" s="22" t="s">
        <v>91</v>
      </c>
      <c r="C111" s="11" t="s">
        <v>253</v>
      </c>
      <c r="D111" s="11"/>
      <c r="E111" s="13">
        <v>45995.0</v>
      </c>
      <c r="F111" s="14" t="s">
        <v>17</v>
      </c>
      <c r="G111" s="27"/>
      <c r="H111" s="16">
        <v>8698.0</v>
      </c>
      <c r="I111" s="17">
        <f t="shared" si="3"/>
        <v>-8698</v>
      </c>
      <c r="J111" s="25" t="s">
        <v>1</v>
      </c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33.75" customHeight="1">
      <c r="A112" s="11" t="s">
        <v>230</v>
      </c>
      <c r="B112" s="22" t="s">
        <v>49</v>
      </c>
      <c r="C112" s="11" t="s">
        <v>256</v>
      </c>
      <c r="D112" s="11"/>
      <c r="E112" s="13">
        <v>45996.0</v>
      </c>
      <c r="F112" s="14" t="s">
        <v>99</v>
      </c>
      <c r="G112" s="27"/>
      <c r="H112" s="16">
        <v>11501.0</v>
      </c>
      <c r="I112" s="17">
        <f t="shared" si="3"/>
        <v>-11501</v>
      </c>
      <c r="J112" s="40" t="s">
        <v>1</v>
      </c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33.75" customHeight="1">
      <c r="A113" s="11" t="s">
        <v>194</v>
      </c>
      <c r="B113" s="22" t="s">
        <v>85</v>
      </c>
      <c r="C113" s="11" t="s">
        <v>257</v>
      </c>
      <c r="D113" s="11"/>
      <c r="E113" s="13">
        <v>45996.0</v>
      </c>
      <c r="F113" s="14" t="s">
        <v>26</v>
      </c>
      <c r="G113" s="27"/>
      <c r="H113" s="16">
        <v>9161.0</v>
      </c>
      <c r="I113" s="17">
        <f t="shared" si="3"/>
        <v>-9161</v>
      </c>
      <c r="J113" s="25" t="s">
        <v>1</v>
      </c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33.75" customHeight="1">
      <c r="A114" s="11" t="s">
        <v>28</v>
      </c>
      <c r="B114" s="22" t="s">
        <v>85</v>
      </c>
      <c r="C114" s="11" t="s">
        <v>258</v>
      </c>
      <c r="D114" s="11"/>
      <c r="E114" s="13">
        <v>45996.0</v>
      </c>
      <c r="F114" s="14" t="s">
        <v>17</v>
      </c>
      <c r="G114" s="27"/>
      <c r="H114" s="16">
        <v>9569.0</v>
      </c>
      <c r="I114" s="17">
        <f t="shared" si="3"/>
        <v>-9569</v>
      </c>
      <c r="J114" s="25" t="s">
        <v>1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33.75" customHeight="1">
      <c r="A115" s="11" t="s">
        <v>259</v>
      </c>
      <c r="B115" s="22" t="s">
        <v>260</v>
      </c>
      <c r="C115" s="11" t="s">
        <v>261</v>
      </c>
      <c r="D115" s="11"/>
      <c r="E115" s="13">
        <v>45996.0</v>
      </c>
      <c r="F115" s="14" t="s">
        <v>26</v>
      </c>
      <c r="G115" s="27"/>
      <c r="H115" s="28"/>
      <c r="I115" s="17">
        <f t="shared" si="3"/>
        <v>0</v>
      </c>
      <c r="J115" s="25" t="s">
        <v>1</v>
      </c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33.75" customHeight="1">
      <c r="A116" s="11" t="s">
        <v>228</v>
      </c>
      <c r="B116" s="22" t="s">
        <v>31</v>
      </c>
      <c r="C116" s="42" t="s">
        <v>262</v>
      </c>
      <c r="D116" s="42"/>
      <c r="E116" s="13">
        <v>45996.0</v>
      </c>
      <c r="F116" s="14" t="s">
        <v>99</v>
      </c>
      <c r="G116" s="27"/>
      <c r="H116" s="16">
        <v>11953.0</v>
      </c>
      <c r="I116" s="17">
        <f t="shared" si="3"/>
        <v>-11953</v>
      </c>
      <c r="J116" s="25" t="s">
        <v>1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33.75" customHeight="1">
      <c r="A117" s="11" t="s">
        <v>263</v>
      </c>
      <c r="B117" s="22" t="s">
        <v>91</v>
      </c>
      <c r="C117" s="11" t="s">
        <v>264</v>
      </c>
      <c r="D117" s="11"/>
      <c r="E117" s="13">
        <v>45996.0</v>
      </c>
      <c r="F117" s="14" t="s">
        <v>26</v>
      </c>
      <c r="G117" s="15" t="s">
        <v>110</v>
      </c>
      <c r="H117" s="16">
        <v>13672.0</v>
      </c>
      <c r="I117" s="17">
        <f t="shared" si="3"/>
        <v>6328</v>
      </c>
      <c r="J117" s="25" t="s">
        <v>1</v>
      </c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33.75" customHeight="1">
      <c r="A118" s="11" t="s">
        <v>150</v>
      </c>
      <c r="B118" s="22" t="s">
        <v>91</v>
      </c>
      <c r="C118" s="11" t="s">
        <v>265</v>
      </c>
      <c r="D118" s="11"/>
      <c r="E118" s="13">
        <v>45996.0</v>
      </c>
      <c r="F118" s="14" t="s">
        <v>17</v>
      </c>
      <c r="G118" s="15" t="s">
        <v>72</v>
      </c>
      <c r="H118" s="16">
        <v>13736.0</v>
      </c>
      <c r="I118" s="17">
        <f t="shared" si="3"/>
        <v>1264</v>
      </c>
      <c r="J118" s="25" t="s">
        <v>1</v>
      </c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33.75" customHeight="1">
      <c r="A119" s="11" t="s">
        <v>266</v>
      </c>
      <c r="B119" s="22" t="s">
        <v>237</v>
      </c>
      <c r="C119" s="11" t="s">
        <v>267</v>
      </c>
      <c r="D119" s="11"/>
      <c r="E119" s="13">
        <v>45996.0</v>
      </c>
      <c r="F119" s="14" t="s">
        <v>17</v>
      </c>
      <c r="G119" s="27"/>
      <c r="H119" s="16">
        <v>14836.0</v>
      </c>
      <c r="I119" s="17">
        <f t="shared" si="3"/>
        <v>-14836</v>
      </c>
      <c r="J119" s="25" t="s">
        <v>1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33.75" customHeight="1">
      <c r="A120" s="11" t="s">
        <v>268</v>
      </c>
      <c r="B120" s="22" t="s">
        <v>237</v>
      </c>
      <c r="C120" s="11" t="s">
        <v>269</v>
      </c>
      <c r="D120" s="11"/>
      <c r="E120" s="13">
        <v>45996.0</v>
      </c>
      <c r="F120" s="14" t="s">
        <v>26</v>
      </c>
      <c r="G120" s="27"/>
      <c r="H120" s="16">
        <v>10987.0</v>
      </c>
      <c r="I120" s="17">
        <f t="shared" si="3"/>
        <v>-10987</v>
      </c>
      <c r="J120" s="25" t="s">
        <v>1</v>
      </c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33.75" customHeight="1">
      <c r="A121" s="11" t="s">
        <v>270</v>
      </c>
      <c r="B121" s="22" t="s">
        <v>237</v>
      </c>
      <c r="C121" s="11" t="s">
        <v>271</v>
      </c>
      <c r="D121" s="11"/>
      <c r="E121" s="13">
        <v>45789.0</v>
      </c>
      <c r="F121" s="14" t="s">
        <v>26</v>
      </c>
      <c r="G121" s="15" t="s">
        <v>272</v>
      </c>
      <c r="H121" s="16">
        <v>36400.0</v>
      </c>
      <c r="I121" s="17">
        <f t="shared" si="3"/>
        <v>13600</v>
      </c>
      <c r="J121" s="25" t="s">
        <v>1</v>
      </c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33.75" customHeight="1">
      <c r="A122" s="11" t="s">
        <v>132</v>
      </c>
      <c r="B122" s="22" t="s">
        <v>34</v>
      </c>
      <c r="C122" s="33" t="s">
        <v>273</v>
      </c>
      <c r="D122" s="33"/>
      <c r="E122" s="13">
        <v>45996.0</v>
      </c>
      <c r="F122" s="14" t="s">
        <v>17</v>
      </c>
      <c r="G122" s="15" t="s">
        <v>179</v>
      </c>
      <c r="H122" s="16">
        <v>10504.0</v>
      </c>
      <c r="I122" s="17">
        <f t="shared" si="3"/>
        <v>2128</v>
      </c>
      <c r="J122" s="25" t="s">
        <v>1</v>
      </c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33.75" customHeight="1">
      <c r="A123" s="11" t="s">
        <v>40</v>
      </c>
      <c r="B123" s="30" t="s">
        <v>34</v>
      </c>
      <c r="C123" s="43" t="s">
        <v>274</v>
      </c>
      <c r="D123" s="29"/>
      <c r="E123" s="13">
        <v>45789.0</v>
      </c>
      <c r="F123" s="14" t="s">
        <v>99</v>
      </c>
      <c r="G123" s="15" t="s">
        <v>241</v>
      </c>
      <c r="H123" s="16">
        <v>46751.0</v>
      </c>
      <c r="I123" s="17">
        <f t="shared" si="3"/>
        <v>3806</v>
      </c>
      <c r="J123" s="25" t="s">
        <v>1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33.75" customHeight="1">
      <c r="A124" s="11" t="s">
        <v>150</v>
      </c>
      <c r="B124" s="22" t="s">
        <v>88</v>
      </c>
      <c r="C124" s="35" t="s">
        <v>265</v>
      </c>
      <c r="D124" s="35"/>
      <c r="E124" s="13">
        <v>45997.0</v>
      </c>
      <c r="F124" s="14" t="s">
        <v>17</v>
      </c>
      <c r="G124" s="15" t="s">
        <v>275</v>
      </c>
      <c r="H124" s="16">
        <v>12881.0</v>
      </c>
      <c r="I124" s="17">
        <f t="shared" si="3"/>
        <v>1119</v>
      </c>
      <c r="J124" s="25" t="s">
        <v>1</v>
      </c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33.75" customHeight="1">
      <c r="A125" s="11" t="s">
        <v>276</v>
      </c>
      <c r="B125" s="22" t="s">
        <v>31</v>
      </c>
      <c r="C125" s="11" t="s">
        <v>277</v>
      </c>
      <c r="D125" s="11"/>
      <c r="E125" s="13">
        <v>45998.0</v>
      </c>
      <c r="F125" s="14" t="s">
        <v>99</v>
      </c>
      <c r="G125" s="15" t="s">
        <v>278</v>
      </c>
      <c r="H125" s="16">
        <v>30631.0</v>
      </c>
      <c r="I125" s="17">
        <f t="shared" si="3"/>
        <v>9369</v>
      </c>
      <c r="J125" s="25" t="s">
        <v>1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33.75" customHeight="1">
      <c r="A126" s="11" t="s">
        <v>279</v>
      </c>
      <c r="B126" s="22" t="s">
        <v>91</v>
      </c>
      <c r="C126" s="11" t="s">
        <v>280</v>
      </c>
      <c r="D126" s="11"/>
      <c r="E126" s="13">
        <v>45998.0</v>
      </c>
      <c r="F126" s="14" t="s">
        <v>26</v>
      </c>
      <c r="G126" s="15" t="s">
        <v>21</v>
      </c>
      <c r="H126" s="16">
        <v>9424.0</v>
      </c>
      <c r="I126" s="17">
        <f t="shared" si="3"/>
        <v>576</v>
      </c>
      <c r="J126" s="25" t="s">
        <v>1</v>
      </c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33.75" customHeight="1">
      <c r="A127" s="11" t="s">
        <v>270</v>
      </c>
      <c r="B127" s="22" t="s">
        <v>4</v>
      </c>
      <c r="C127" s="11" t="s">
        <v>281</v>
      </c>
      <c r="D127" s="11"/>
      <c r="E127" s="13">
        <v>45998.0</v>
      </c>
      <c r="F127" s="14" t="s">
        <v>17</v>
      </c>
      <c r="G127" s="15" t="s">
        <v>282</v>
      </c>
      <c r="H127" s="16">
        <v>34300.0</v>
      </c>
      <c r="I127" s="17">
        <f t="shared" si="3"/>
        <v>24668</v>
      </c>
      <c r="J127" s="25" t="s">
        <v>1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33.75" customHeight="1">
      <c r="A128" s="11" t="s">
        <v>283</v>
      </c>
      <c r="B128" s="22" t="s">
        <v>284</v>
      </c>
      <c r="C128" s="11" t="s">
        <v>285</v>
      </c>
      <c r="D128" s="11"/>
      <c r="E128" s="13">
        <v>45998.0</v>
      </c>
      <c r="F128" s="14" t="s">
        <v>26</v>
      </c>
      <c r="G128" s="15" t="s">
        <v>272</v>
      </c>
      <c r="H128" s="16">
        <v>45649.0</v>
      </c>
      <c r="I128" s="17">
        <f t="shared" si="3"/>
        <v>4351</v>
      </c>
      <c r="J128" s="25" t="s">
        <v>1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33.75" customHeight="1">
      <c r="A129" s="11" t="s">
        <v>283</v>
      </c>
      <c r="B129" s="22" t="s">
        <v>284</v>
      </c>
      <c r="C129" s="11" t="s">
        <v>286</v>
      </c>
      <c r="D129" s="11"/>
      <c r="E129" s="13">
        <v>45998.0</v>
      </c>
      <c r="F129" s="14" t="s">
        <v>287</v>
      </c>
      <c r="G129" s="15" t="s">
        <v>272</v>
      </c>
      <c r="H129" s="16">
        <v>43871.0</v>
      </c>
      <c r="I129" s="17">
        <f t="shared" si="3"/>
        <v>6129</v>
      </c>
      <c r="J129" s="25" t="s"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33.75" customHeight="1">
      <c r="A130" s="11" t="s">
        <v>288</v>
      </c>
      <c r="B130" s="22" t="s">
        <v>237</v>
      </c>
      <c r="C130" s="11" t="s">
        <v>289</v>
      </c>
      <c r="D130" s="11"/>
      <c r="E130" s="13">
        <v>45998.0</v>
      </c>
      <c r="F130" s="14" t="s">
        <v>17</v>
      </c>
      <c r="G130" s="15" t="s">
        <v>290</v>
      </c>
      <c r="H130" s="16">
        <v>27820.0</v>
      </c>
      <c r="I130" s="17">
        <f t="shared" si="3"/>
        <v>1648</v>
      </c>
      <c r="J130" s="25" t="s"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33.75" customHeight="1">
      <c r="A131" s="11" t="s">
        <v>263</v>
      </c>
      <c r="B131" s="22" t="s">
        <v>15</v>
      </c>
      <c r="C131" s="11" t="s">
        <v>291</v>
      </c>
      <c r="D131" s="11"/>
      <c r="E131" s="13">
        <v>45998.0</v>
      </c>
      <c r="F131" s="14" t="s">
        <v>99</v>
      </c>
      <c r="G131" s="15" t="s">
        <v>292</v>
      </c>
      <c r="H131" s="16">
        <v>4977.0</v>
      </c>
      <c r="I131" s="17">
        <f t="shared" si="3"/>
        <v>1352</v>
      </c>
      <c r="J131" s="25" t="s">
        <v>1</v>
      </c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33.75" customHeight="1">
      <c r="A132" s="11" t="s">
        <v>28</v>
      </c>
      <c r="B132" s="22" t="s">
        <v>293</v>
      </c>
      <c r="C132" s="11" t="s">
        <v>294</v>
      </c>
      <c r="D132" s="11"/>
      <c r="E132" s="13">
        <v>45999.0</v>
      </c>
      <c r="F132" s="14" t="s">
        <v>17</v>
      </c>
      <c r="G132" s="15" t="s">
        <v>21</v>
      </c>
      <c r="H132" s="16">
        <v>4754.0</v>
      </c>
      <c r="I132" s="17">
        <f t="shared" si="3"/>
        <v>5246</v>
      </c>
      <c r="J132" s="25" t="s">
        <v>1</v>
      </c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33.75" customHeight="1">
      <c r="A133" s="11" t="s">
        <v>295</v>
      </c>
      <c r="B133" s="22" t="s">
        <v>31</v>
      </c>
      <c r="C133" s="11" t="s">
        <v>296</v>
      </c>
      <c r="D133" s="11"/>
      <c r="E133" s="13">
        <v>45999.0</v>
      </c>
      <c r="F133" s="14" t="s">
        <v>99</v>
      </c>
      <c r="G133" s="15" t="s">
        <v>21</v>
      </c>
      <c r="H133" s="16">
        <v>8993.0</v>
      </c>
      <c r="I133" s="17">
        <f t="shared" si="3"/>
        <v>1007</v>
      </c>
      <c r="J133" s="25" t="s">
        <v>1</v>
      </c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33.75" customHeight="1">
      <c r="A134" s="11" t="s">
        <v>28</v>
      </c>
      <c r="B134" s="22" t="s">
        <v>181</v>
      </c>
      <c r="C134" s="11" t="s">
        <v>294</v>
      </c>
      <c r="D134" s="11"/>
      <c r="E134" s="13">
        <v>45881.0</v>
      </c>
      <c r="F134" s="14" t="s">
        <v>17</v>
      </c>
      <c r="G134" s="15" t="s">
        <v>110</v>
      </c>
      <c r="H134" s="16">
        <v>9270.0</v>
      </c>
      <c r="I134" s="17">
        <f t="shared" si="3"/>
        <v>10730</v>
      </c>
      <c r="J134" s="25" t="s">
        <v>1</v>
      </c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33.75" customHeight="1">
      <c r="A135" s="11" t="s">
        <v>297</v>
      </c>
      <c r="B135" s="22" t="s">
        <v>98</v>
      </c>
      <c r="C135" s="11" t="s">
        <v>298</v>
      </c>
      <c r="D135" s="11"/>
      <c r="E135" s="13">
        <v>45999.0</v>
      </c>
      <c r="F135" s="14" t="s">
        <v>26</v>
      </c>
      <c r="G135" s="15" t="s">
        <v>299</v>
      </c>
      <c r="H135" s="16">
        <v>39878.0</v>
      </c>
      <c r="I135" s="17">
        <f t="shared" si="3"/>
        <v>35122</v>
      </c>
      <c r="J135" s="25" t="s">
        <v>1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33.75" customHeight="1">
      <c r="A136" s="11" t="s">
        <v>297</v>
      </c>
      <c r="B136" s="22" t="s">
        <v>98</v>
      </c>
      <c r="C136" s="11" t="s">
        <v>300</v>
      </c>
      <c r="D136" s="11"/>
      <c r="E136" s="13">
        <v>45999.0</v>
      </c>
      <c r="F136" s="14" t="s">
        <v>17</v>
      </c>
      <c r="G136" s="15" t="s">
        <v>299</v>
      </c>
      <c r="H136" s="16">
        <v>34784.0</v>
      </c>
      <c r="I136" s="17">
        <f t="shared" si="3"/>
        <v>40216</v>
      </c>
      <c r="J136" s="25" t="s">
        <v>1</v>
      </c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33.75" customHeight="1">
      <c r="A137" s="11" t="s">
        <v>40</v>
      </c>
      <c r="B137" s="22" t="s">
        <v>34</v>
      </c>
      <c r="C137" s="11" t="s">
        <v>301</v>
      </c>
      <c r="D137" s="11"/>
      <c r="E137" s="13">
        <v>45999.0</v>
      </c>
      <c r="F137" s="14" t="s">
        <v>287</v>
      </c>
      <c r="G137" s="15" t="s">
        <v>302</v>
      </c>
      <c r="H137" s="16">
        <v>43531.0</v>
      </c>
      <c r="I137" s="17">
        <f t="shared" si="3"/>
        <v>22602</v>
      </c>
      <c r="J137" s="25" t="s">
        <v>1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33.75" customHeight="1">
      <c r="A138" s="11" t="s">
        <v>40</v>
      </c>
      <c r="B138" s="22" t="s">
        <v>34</v>
      </c>
      <c r="C138" s="11" t="s">
        <v>303</v>
      </c>
      <c r="D138" s="11"/>
      <c r="E138" s="13">
        <v>45999.0</v>
      </c>
      <c r="F138" s="14" t="s">
        <v>17</v>
      </c>
      <c r="G138" s="15" t="s">
        <v>302</v>
      </c>
      <c r="H138" s="16">
        <v>38589.0</v>
      </c>
      <c r="I138" s="17">
        <f t="shared" si="3"/>
        <v>27544</v>
      </c>
      <c r="J138" s="25" t="s">
        <v>1</v>
      </c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33.75" customHeight="1">
      <c r="A139" s="11" t="s">
        <v>40</v>
      </c>
      <c r="B139" s="22" t="s">
        <v>34</v>
      </c>
      <c r="C139" s="11" t="s">
        <v>304</v>
      </c>
      <c r="D139" s="11"/>
      <c r="E139" s="13">
        <v>45999.0</v>
      </c>
      <c r="F139" s="14" t="s">
        <v>99</v>
      </c>
      <c r="G139" s="15" t="s">
        <v>302</v>
      </c>
      <c r="H139" s="16">
        <v>52481.0</v>
      </c>
      <c r="I139" s="17">
        <f t="shared" si="3"/>
        <v>13652</v>
      </c>
      <c r="J139" s="25" t="s">
        <v>1</v>
      </c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33.75" customHeight="1">
      <c r="A140" s="11" t="s">
        <v>305</v>
      </c>
      <c r="B140" s="22" t="s">
        <v>15</v>
      </c>
      <c r="C140" s="11" t="s">
        <v>306</v>
      </c>
      <c r="D140" s="11"/>
      <c r="E140" s="13">
        <v>45999.0</v>
      </c>
      <c r="F140" s="14" t="s">
        <v>99</v>
      </c>
      <c r="G140" s="15" t="s">
        <v>307</v>
      </c>
      <c r="H140" s="16">
        <v>14367.0</v>
      </c>
      <c r="I140" s="17">
        <f t="shared" si="3"/>
        <v>1209</v>
      </c>
      <c r="J140" s="25" t="s">
        <v>1</v>
      </c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33.75" customHeight="1">
      <c r="A141" s="11" t="s">
        <v>243</v>
      </c>
      <c r="B141" s="22" t="s">
        <v>15</v>
      </c>
      <c r="C141" s="11" t="s">
        <v>308</v>
      </c>
      <c r="D141" s="11"/>
      <c r="E141" s="13">
        <v>45999.0</v>
      </c>
      <c r="F141" s="14" t="s">
        <v>17</v>
      </c>
      <c r="G141" s="15" t="s">
        <v>307</v>
      </c>
      <c r="H141" s="16">
        <v>9445.0</v>
      </c>
      <c r="I141" s="17">
        <f t="shared" si="3"/>
        <v>6131</v>
      </c>
      <c r="J141" s="25" t="s">
        <v>1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33.75" customHeight="1">
      <c r="A142" s="11" t="s">
        <v>28</v>
      </c>
      <c r="B142" s="22" t="s">
        <v>49</v>
      </c>
      <c r="C142" s="11" t="s">
        <v>309</v>
      </c>
      <c r="D142" s="11"/>
      <c r="E142" s="13">
        <v>46000.0</v>
      </c>
      <c r="F142" s="14" t="s">
        <v>26</v>
      </c>
      <c r="G142" s="15" t="s">
        <v>203</v>
      </c>
      <c r="H142" s="16">
        <v>14018.0</v>
      </c>
      <c r="I142" s="17">
        <f t="shared" si="3"/>
        <v>980</v>
      </c>
      <c r="J142" s="25" t="s">
        <v>1</v>
      </c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33.75" customHeight="1">
      <c r="A143" s="11" t="s">
        <v>109</v>
      </c>
      <c r="B143" s="22" t="s">
        <v>49</v>
      </c>
      <c r="C143" s="11" t="s">
        <v>310</v>
      </c>
      <c r="D143" s="11"/>
      <c r="E143" s="13">
        <v>45999.0</v>
      </c>
      <c r="F143" s="14" t="s">
        <v>26</v>
      </c>
      <c r="G143" s="15" t="s">
        <v>110</v>
      </c>
      <c r="H143" s="16">
        <v>18546.0</v>
      </c>
      <c r="I143" s="17">
        <f t="shared" si="3"/>
        <v>1454</v>
      </c>
      <c r="J143" s="25" t="s">
        <v>1</v>
      </c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33.75" customHeight="1">
      <c r="A144" s="11" t="s">
        <v>311</v>
      </c>
      <c r="B144" s="22" t="s">
        <v>31</v>
      </c>
      <c r="C144" s="11" t="s">
        <v>312</v>
      </c>
      <c r="D144" s="11"/>
      <c r="E144" s="13">
        <v>46000.0</v>
      </c>
      <c r="F144" s="14" t="s">
        <v>26</v>
      </c>
      <c r="G144" s="15" t="s">
        <v>21</v>
      </c>
      <c r="H144" s="16">
        <v>5805.0</v>
      </c>
      <c r="I144" s="17">
        <f t="shared" si="3"/>
        <v>4195</v>
      </c>
      <c r="J144" s="25" t="s">
        <v>1</v>
      </c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33.75" customHeight="1">
      <c r="A145" s="11" t="s">
        <v>36</v>
      </c>
      <c r="B145" s="22" t="s">
        <v>31</v>
      </c>
      <c r="C145" s="11" t="s">
        <v>313</v>
      </c>
      <c r="D145" s="11"/>
      <c r="E145" s="13">
        <v>46000.0</v>
      </c>
      <c r="F145" s="14" t="s">
        <v>99</v>
      </c>
      <c r="G145" s="15" t="s">
        <v>314</v>
      </c>
      <c r="H145" s="16">
        <v>29980.0</v>
      </c>
      <c r="I145" s="17">
        <f t="shared" si="3"/>
        <v>10022</v>
      </c>
      <c r="J145" s="25" t="s">
        <v>1</v>
      </c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33.75" customHeight="1">
      <c r="A146" s="11" t="s">
        <v>36</v>
      </c>
      <c r="B146" s="22" t="s">
        <v>91</v>
      </c>
      <c r="C146" s="11" t="s">
        <v>315</v>
      </c>
      <c r="D146" s="11"/>
      <c r="E146" s="13">
        <v>46000.0</v>
      </c>
      <c r="F146" s="14" t="s">
        <v>99</v>
      </c>
      <c r="G146" s="15" t="s">
        <v>316</v>
      </c>
      <c r="H146" s="16">
        <v>5526.0</v>
      </c>
      <c r="I146" s="17">
        <f t="shared" si="3"/>
        <v>1477</v>
      </c>
      <c r="J146" s="25" t="s">
        <v>1</v>
      </c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33.75" customHeight="1">
      <c r="A147" s="11" t="s">
        <v>28</v>
      </c>
      <c r="B147" s="22" t="s">
        <v>91</v>
      </c>
      <c r="C147" s="11" t="s">
        <v>317</v>
      </c>
      <c r="D147" s="11"/>
      <c r="E147" s="13">
        <v>46000.0</v>
      </c>
      <c r="F147" s="14" t="s">
        <v>17</v>
      </c>
      <c r="G147" s="15" t="s">
        <v>21</v>
      </c>
      <c r="H147" s="16">
        <v>9111.0</v>
      </c>
      <c r="I147" s="17">
        <f t="shared" si="3"/>
        <v>889</v>
      </c>
      <c r="J147" s="25" t="s">
        <v>1</v>
      </c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33.75" customHeight="1">
      <c r="A148" s="11" t="s">
        <v>36</v>
      </c>
      <c r="B148" s="22" t="s">
        <v>125</v>
      </c>
      <c r="C148" s="11" t="s">
        <v>318</v>
      </c>
      <c r="D148" s="11"/>
      <c r="E148" s="13">
        <v>46000.0</v>
      </c>
      <c r="F148" s="14" t="s">
        <v>99</v>
      </c>
      <c r="G148" s="15" t="s">
        <v>314</v>
      </c>
      <c r="H148" s="16">
        <v>29554.0</v>
      </c>
      <c r="I148" s="17">
        <f t="shared" si="3"/>
        <v>10448</v>
      </c>
      <c r="J148" s="25" t="s">
        <v>1</v>
      </c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33.75" customHeight="1">
      <c r="A149" s="11" t="s">
        <v>36</v>
      </c>
      <c r="B149" s="22" t="s">
        <v>161</v>
      </c>
      <c r="C149" s="11" t="s">
        <v>318</v>
      </c>
      <c r="D149" s="11"/>
      <c r="E149" s="13">
        <v>46000.0</v>
      </c>
      <c r="F149" s="14" t="s">
        <v>99</v>
      </c>
      <c r="G149" s="15" t="s">
        <v>319</v>
      </c>
      <c r="H149" s="16">
        <v>2758.0</v>
      </c>
      <c r="I149" s="17">
        <f t="shared" si="3"/>
        <v>746</v>
      </c>
      <c r="J149" s="25" t="s">
        <v>1</v>
      </c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33.75" customHeight="1">
      <c r="A150" s="11" t="s">
        <v>36</v>
      </c>
      <c r="B150" s="22" t="s">
        <v>320</v>
      </c>
      <c r="C150" s="11" t="s">
        <v>321</v>
      </c>
      <c r="D150" s="11"/>
      <c r="E150" s="13">
        <v>46000.0</v>
      </c>
      <c r="F150" s="14" t="s">
        <v>99</v>
      </c>
      <c r="G150" s="15" t="s">
        <v>322</v>
      </c>
      <c r="H150" s="16">
        <v>31743.0</v>
      </c>
      <c r="I150" s="17">
        <f t="shared" si="3"/>
        <v>10713</v>
      </c>
      <c r="J150" s="25" t="s">
        <v>1</v>
      </c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33.75" customHeight="1">
      <c r="A151" s="11" t="s">
        <v>279</v>
      </c>
      <c r="B151" s="22" t="s">
        <v>323</v>
      </c>
      <c r="C151" s="11" t="s">
        <v>324</v>
      </c>
      <c r="D151" s="11"/>
      <c r="E151" s="13">
        <v>46000.0</v>
      </c>
      <c r="F151" s="14" t="s">
        <v>17</v>
      </c>
      <c r="G151" s="15" t="s">
        <v>21</v>
      </c>
      <c r="H151" s="16">
        <v>9233.0</v>
      </c>
      <c r="I151" s="17">
        <f t="shared" si="3"/>
        <v>767</v>
      </c>
      <c r="J151" s="25" t="s">
        <v>1</v>
      </c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33.75" customHeight="1">
      <c r="A152" s="11" t="s">
        <v>295</v>
      </c>
      <c r="B152" s="22" t="s">
        <v>15</v>
      </c>
      <c r="C152" s="11" t="s">
        <v>296</v>
      </c>
      <c r="D152" s="11"/>
      <c r="E152" s="13">
        <v>46000.0</v>
      </c>
      <c r="F152" s="14" t="s">
        <v>17</v>
      </c>
      <c r="G152" s="15" t="s">
        <v>325</v>
      </c>
      <c r="H152" s="16">
        <v>11996.0</v>
      </c>
      <c r="I152" s="17">
        <f t="shared" si="3"/>
        <v>1962</v>
      </c>
      <c r="J152" s="25" t="s">
        <v>1</v>
      </c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33.75" customHeight="1">
      <c r="A153" s="11" t="s">
        <v>297</v>
      </c>
      <c r="B153" s="22" t="s">
        <v>98</v>
      </c>
      <c r="C153" s="11" t="s">
        <v>326</v>
      </c>
      <c r="D153" s="11"/>
      <c r="E153" s="13">
        <v>46000.0</v>
      </c>
      <c r="F153" s="14" t="s">
        <v>287</v>
      </c>
      <c r="G153" s="15" t="s">
        <v>299</v>
      </c>
      <c r="H153" s="16">
        <v>40318.0</v>
      </c>
      <c r="I153" s="17">
        <f t="shared" si="3"/>
        <v>34682</v>
      </c>
      <c r="J153" s="25" t="s">
        <v>1</v>
      </c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33.75" customHeight="1">
      <c r="A154" s="11" t="s">
        <v>297</v>
      </c>
      <c r="B154" s="22" t="s">
        <v>98</v>
      </c>
      <c r="C154" s="11" t="s">
        <v>327</v>
      </c>
      <c r="D154" s="11"/>
      <c r="E154" s="13">
        <v>46000.0</v>
      </c>
      <c r="F154" s="14" t="s">
        <v>287</v>
      </c>
      <c r="G154" s="15" t="s">
        <v>299</v>
      </c>
      <c r="H154" s="16">
        <v>20771.0</v>
      </c>
      <c r="I154" s="17">
        <f t="shared" si="3"/>
        <v>54229</v>
      </c>
      <c r="J154" s="25" t="s">
        <v>1</v>
      </c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33.75" customHeight="1">
      <c r="A155" s="11" t="s">
        <v>328</v>
      </c>
      <c r="B155" s="22" t="s">
        <v>98</v>
      </c>
      <c r="C155" s="11" t="s">
        <v>329</v>
      </c>
      <c r="D155" s="11"/>
      <c r="E155" s="13">
        <v>46000.0</v>
      </c>
      <c r="F155" s="14" t="s">
        <v>17</v>
      </c>
      <c r="G155" s="15" t="s">
        <v>330</v>
      </c>
      <c r="H155" s="16">
        <v>7992.0</v>
      </c>
      <c r="I155" s="17">
        <f t="shared" si="3"/>
        <v>1631</v>
      </c>
      <c r="J155" s="25" t="s">
        <v>1</v>
      </c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33.75" customHeight="1">
      <c r="A156" s="11" t="s">
        <v>331</v>
      </c>
      <c r="B156" s="22" t="s">
        <v>15</v>
      </c>
      <c r="C156" s="11" t="s">
        <v>332</v>
      </c>
      <c r="D156" s="11"/>
      <c r="E156" s="13">
        <v>46000.0</v>
      </c>
      <c r="F156" s="14" t="s">
        <v>17</v>
      </c>
      <c r="G156" s="15" t="s">
        <v>21</v>
      </c>
      <c r="H156" s="16">
        <v>9414.0</v>
      </c>
      <c r="I156" s="17">
        <f t="shared" si="3"/>
        <v>586</v>
      </c>
      <c r="J156" s="25" t="s">
        <v>1</v>
      </c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33.75" customHeight="1">
      <c r="A157" s="11" t="s">
        <v>36</v>
      </c>
      <c r="B157" s="22" t="s">
        <v>15</v>
      </c>
      <c r="C157" s="11" t="s">
        <v>333</v>
      </c>
      <c r="D157" s="11"/>
      <c r="E157" s="13">
        <v>46000.0</v>
      </c>
      <c r="F157" s="14" t="s">
        <v>99</v>
      </c>
      <c r="G157" s="15" t="s">
        <v>334</v>
      </c>
      <c r="H157" s="16">
        <v>8800.0</v>
      </c>
      <c r="I157" s="17">
        <f t="shared" si="3"/>
        <v>2384</v>
      </c>
      <c r="J157" s="25" t="s">
        <v>1</v>
      </c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33.75" customHeight="1">
      <c r="A158" s="11" t="s">
        <v>210</v>
      </c>
      <c r="B158" s="22" t="s">
        <v>85</v>
      </c>
      <c r="C158" s="11" t="s">
        <v>335</v>
      </c>
      <c r="D158" s="11"/>
      <c r="E158" s="13">
        <v>46001.0</v>
      </c>
      <c r="F158" s="14" t="s">
        <v>99</v>
      </c>
      <c r="G158" s="15" t="s">
        <v>336</v>
      </c>
      <c r="H158" s="16">
        <v>12962.0</v>
      </c>
      <c r="I158" s="17">
        <f t="shared" si="3"/>
        <v>-1962</v>
      </c>
      <c r="J158" s="25" t="s">
        <v>1</v>
      </c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33.75" customHeight="1">
      <c r="A159" s="11" t="s">
        <v>230</v>
      </c>
      <c r="B159" s="22" t="s">
        <v>31</v>
      </c>
      <c r="C159" s="11" t="s">
        <v>337</v>
      </c>
      <c r="D159" s="11"/>
      <c r="E159" s="13">
        <v>46001.0</v>
      </c>
      <c r="F159" s="14" t="s">
        <v>17</v>
      </c>
      <c r="G159" s="15" t="s">
        <v>338</v>
      </c>
      <c r="H159" s="16">
        <v>10803.0</v>
      </c>
      <c r="I159" s="17">
        <f t="shared" si="3"/>
        <v>809</v>
      </c>
      <c r="J159" s="25" t="s">
        <v>1</v>
      </c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33.75" customHeight="1">
      <c r="A160" s="11" t="s">
        <v>279</v>
      </c>
      <c r="B160" s="22" t="s">
        <v>31</v>
      </c>
      <c r="C160" s="11" t="s">
        <v>339</v>
      </c>
      <c r="D160" s="11"/>
      <c r="E160" s="13">
        <v>46001.0</v>
      </c>
      <c r="F160" s="14" t="s">
        <v>17</v>
      </c>
      <c r="G160" s="15" t="s">
        <v>21</v>
      </c>
      <c r="H160" s="16">
        <v>8030.0</v>
      </c>
      <c r="I160" s="17">
        <f t="shared" si="3"/>
        <v>1970</v>
      </c>
      <c r="J160" s="25" t="s">
        <v>1</v>
      </c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33.75" customHeight="1">
      <c r="A161" s="11" t="s">
        <v>340</v>
      </c>
      <c r="B161" s="22" t="s">
        <v>37</v>
      </c>
      <c r="C161" s="11" t="s">
        <v>341</v>
      </c>
      <c r="D161" s="11"/>
      <c r="E161" s="13">
        <v>46001.0</v>
      </c>
      <c r="F161" s="14" t="s">
        <v>99</v>
      </c>
      <c r="G161" s="15" t="s">
        <v>342</v>
      </c>
      <c r="H161" s="16">
        <v>8050.0</v>
      </c>
      <c r="I161" s="17">
        <f t="shared" si="3"/>
        <v>734</v>
      </c>
      <c r="J161" s="25" t="s">
        <v>1</v>
      </c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33.75" customHeight="1">
      <c r="A162" s="11" t="s">
        <v>343</v>
      </c>
      <c r="B162" s="22" t="s">
        <v>37</v>
      </c>
      <c r="C162" s="11" t="s">
        <v>344</v>
      </c>
      <c r="D162" s="11"/>
      <c r="E162" s="13">
        <v>46001.0</v>
      </c>
      <c r="F162" s="14" t="s">
        <v>99</v>
      </c>
      <c r="G162" s="15" t="s">
        <v>345</v>
      </c>
      <c r="H162" s="16">
        <v>10306.0</v>
      </c>
      <c r="I162" s="17">
        <f t="shared" si="3"/>
        <v>321</v>
      </c>
      <c r="J162" s="25" t="s">
        <v>1</v>
      </c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33.75" customHeight="1">
      <c r="A163" s="11" t="s">
        <v>28</v>
      </c>
      <c r="B163" s="22" t="s">
        <v>293</v>
      </c>
      <c r="C163" s="11" t="s">
        <v>346</v>
      </c>
      <c r="D163" s="11"/>
      <c r="E163" s="13">
        <v>46001.0</v>
      </c>
      <c r="F163" s="14" t="s">
        <v>26</v>
      </c>
      <c r="G163" s="15" t="s">
        <v>51</v>
      </c>
      <c r="H163" s="16" t="s">
        <v>347</v>
      </c>
      <c r="I163" s="17" t="str">
        <f t="shared" si="3"/>
        <v>#VALUE!</v>
      </c>
      <c r="J163" s="25" t="s">
        <v>1</v>
      </c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33.75" customHeight="1">
      <c r="A164" s="44" t="s">
        <v>135</v>
      </c>
      <c r="B164" s="45" t="s">
        <v>237</v>
      </c>
      <c r="C164" s="44" t="s">
        <v>348</v>
      </c>
      <c r="D164" s="44"/>
      <c r="E164" s="13">
        <v>46001.0</v>
      </c>
      <c r="F164" s="46" t="s">
        <v>287</v>
      </c>
      <c r="G164" s="47" t="s">
        <v>213</v>
      </c>
      <c r="H164" s="16">
        <v>19370.0</v>
      </c>
      <c r="I164" s="48">
        <f t="shared" si="3"/>
        <v>1456</v>
      </c>
      <c r="J164" s="49" t="s">
        <v>1</v>
      </c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33.75" customHeight="1">
      <c r="A165" s="11" t="s">
        <v>279</v>
      </c>
      <c r="B165" s="22" t="s">
        <v>34</v>
      </c>
      <c r="C165" s="11" t="s">
        <v>349</v>
      </c>
      <c r="D165" s="11"/>
      <c r="E165" s="13">
        <v>46001.0</v>
      </c>
      <c r="F165" s="14" t="s">
        <v>99</v>
      </c>
      <c r="G165" s="15" t="s">
        <v>21</v>
      </c>
      <c r="H165" s="16">
        <v>8190.0</v>
      </c>
      <c r="I165" s="17">
        <f t="shared" si="3"/>
        <v>1810</v>
      </c>
      <c r="J165" s="49" t="s">
        <v>1</v>
      </c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33.75" customHeight="1">
      <c r="A166" s="11" t="s">
        <v>268</v>
      </c>
      <c r="B166" s="22" t="s">
        <v>350</v>
      </c>
      <c r="C166" s="11" t="s">
        <v>351</v>
      </c>
      <c r="D166" s="11"/>
      <c r="E166" s="13">
        <v>46001.0</v>
      </c>
      <c r="F166" s="14" t="s">
        <v>287</v>
      </c>
      <c r="G166" s="15" t="s">
        <v>272</v>
      </c>
      <c r="H166" s="16">
        <v>35399.0</v>
      </c>
      <c r="I166" s="17">
        <f t="shared" si="3"/>
        <v>14601</v>
      </c>
      <c r="J166" s="25" t="s">
        <v>1</v>
      </c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33.75" customHeight="1">
      <c r="A167" s="11" t="s">
        <v>352</v>
      </c>
      <c r="B167" s="22" t="s">
        <v>49</v>
      </c>
      <c r="C167" s="11" t="s">
        <v>353</v>
      </c>
      <c r="D167" s="11"/>
      <c r="E167" s="13">
        <v>46002.0</v>
      </c>
      <c r="F167" s="14" t="s">
        <v>26</v>
      </c>
      <c r="G167" s="15" t="s">
        <v>21</v>
      </c>
      <c r="H167" s="16">
        <v>9207.0</v>
      </c>
      <c r="I167" s="17">
        <f t="shared" si="3"/>
        <v>793</v>
      </c>
      <c r="J167" s="25" t="s">
        <v>1</v>
      </c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33.75" customHeight="1">
      <c r="A168" s="11" t="s">
        <v>297</v>
      </c>
      <c r="B168" s="22" t="s">
        <v>260</v>
      </c>
      <c r="C168" s="11" t="s">
        <v>354</v>
      </c>
      <c r="D168" s="11"/>
      <c r="E168" s="13">
        <v>46002.0</v>
      </c>
      <c r="F168" s="14"/>
      <c r="G168" s="15" t="s">
        <v>355</v>
      </c>
      <c r="H168" s="16">
        <v>41084.0</v>
      </c>
      <c r="I168" s="17">
        <f t="shared" si="3"/>
        <v>28916</v>
      </c>
      <c r="J168" s="25" t="s">
        <v>1</v>
      </c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33.75" customHeight="1">
      <c r="A169" s="11" t="s">
        <v>297</v>
      </c>
      <c r="B169" s="22" t="s">
        <v>260</v>
      </c>
      <c r="C169" s="11" t="s">
        <v>356</v>
      </c>
      <c r="D169" s="11"/>
      <c r="E169" s="13">
        <v>46002.0</v>
      </c>
      <c r="F169" s="14"/>
      <c r="G169" s="15" t="s">
        <v>357</v>
      </c>
      <c r="H169" s="16">
        <v>33872.0</v>
      </c>
      <c r="I169" s="17">
        <f t="shared" si="3"/>
        <v>26128</v>
      </c>
      <c r="J169" s="25" t="s">
        <v>1</v>
      </c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33.75" customHeight="1">
      <c r="A170" s="50" t="s">
        <v>28</v>
      </c>
      <c r="B170" s="51" t="s">
        <v>144</v>
      </c>
      <c r="C170" s="50" t="s">
        <v>358</v>
      </c>
      <c r="D170" s="50"/>
      <c r="E170" s="13">
        <v>46003.0</v>
      </c>
      <c r="F170" s="52" t="s">
        <v>17</v>
      </c>
      <c r="G170" s="53" t="s">
        <v>21</v>
      </c>
      <c r="H170" s="54">
        <v>9461.0</v>
      </c>
      <c r="I170" s="55">
        <f t="shared" si="3"/>
        <v>539</v>
      </c>
      <c r="J170" s="56" t="s">
        <v>1</v>
      </c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33.75" customHeight="1">
      <c r="A171" s="50" t="s">
        <v>210</v>
      </c>
      <c r="B171" s="51" t="s">
        <v>144</v>
      </c>
      <c r="C171" s="50" t="s">
        <v>359</v>
      </c>
      <c r="D171" s="50"/>
      <c r="E171" s="13">
        <v>46003.0</v>
      </c>
      <c r="F171" s="52" t="s">
        <v>99</v>
      </c>
      <c r="G171" s="58"/>
      <c r="H171" s="54">
        <v>9793.0</v>
      </c>
      <c r="I171" s="59">
        <f t="shared" si="3"/>
        <v>-9793</v>
      </c>
      <c r="J171" s="56" t="s">
        <v>1</v>
      </c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33.75" customHeight="1">
      <c r="A172" s="50" t="s">
        <v>107</v>
      </c>
      <c r="B172" s="51" t="s">
        <v>49</v>
      </c>
      <c r="C172" s="50" t="s">
        <v>360</v>
      </c>
      <c r="D172" s="50"/>
      <c r="E172" s="13">
        <v>46002.0</v>
      </c>
      <c r="F172" s="52" t="s">
        <v>26</v>
      </c>
      <c r="G172" s="60" t="s">
        <v>278</v>
      </c>
      <c r="H172" s="54">
        <v>35957.0</v>
      </c>
      <c r="I172" s="61">
        <f t="shared" si="3"/>
        <v>4043</v>
      </c>
      <c r="J172" s="25" t="s">
        <v>1</v>
      </c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33.75" customHeight="1">
      <c r="A173" s="11" t="s">
        <v>361</v>
      </c>
      <c r="B173" s="22" t="s">
        <v>49</v>
      </c>
      <c r="C173" s="50" t="s">
        <v>353</v>
      </c>
      <c r="D173" s="50"/>
      <c r="E173" s="13">
        <v>46002.0</v>
      </c>
      <c r="F173" s="14" t="s">
        <v>26</v>
      </c>
      <c r="G173" s="27"/>
      <c r="H173" s="16">
        <v>6910.0</v>
      </c>
      <c r="I173" s="39">
        <f t="shared" si="3"/>
        <v>-6910</v>
      </c>
      <c r="J173" s="25" t="s">
        <v>1</v>
      </c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33.75" customHeight="1">
      <c r="A174" s="11" t="s">
        <v>362</v>
      </c>
      <c r="B174" s="22" t="s">
        <v>49</v>
      </c>
      <c r="C174" s="50" t="s">
        <v>353</v>
      </c>
      <c r="D174" s="50"/>
      <c r="E174" s="13">
        <v>46002.0</v>
      </c>
      <c r="F174" s="14" t="s">
        <v>26</v>
      </c>
      <c r="G174" s="27"/>
      <c r="H174" s="16">
        <v>8580.0</v>
      </c>
      <c r="I174" s="39">
        <f t="shared" si="3"/>
        <v>-8580</v>
      </c>
      <c r="J174" s="25" t="s">
        <v>1</v>
      </c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33.75" customHeight="1">
      <c r="A175" s="50" t="s">
        <v>363</v>
      </c>
      <c r="B175" s="51" t="s">
        <v>49</v>
      </c>
      <c r="C175" s="50" t="s">
        <v>353</v>
      </c>
      <c r="D175" s="50"/>
      <c r="E175" s="62">
        <v>46002.0</v>
      </c>
      <c r="F175" s="52" t="s">
        <v>26</v>
      </c>
      <c r="G175" s="58"/>
      <c r="H175" s="63"/>
      <c r="I175" s="59">
        <f t="shared" si="3"/>
        <v>0</v>
      </c>
      <c r="J175" s="56" t="s">
        <v>1</v>
      </c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33.75" customHeight="1">
      <c r="A176" s="50" t="s">
        <v>364</v>
      </c>
      <c r="B176" s="51" t="s">
        <v>49</v>
      </c>
      <c r="C176" s="50" t="s">
        <v>353</v>
      </c>
      <c r="D176" s="50"/>
      <c r="E176" s="62">
        <v>46002.0</v>
      </c>
      <c r="F176" s="52" t="s">
        <v>26</v>
      </c>
      <c r="G176" s="58"/>
      <c r="H176" s="54">
        <v>8620.0</v>
      </c>
      <c r="I176" s="59">
        <f t="shared" si="3"/>
        <v>-8620</v>
      </c>
      <c r="J176" s="56" t="s">
        <v>1</v>
      </c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33.75" customHeight="1">
      <c r="A177" s="50" t="s">
        <v>109</v>
      </c>
      <c r="B177" s="51" t="s">
        <v>49</v>
      </c>
      <c r="C177" s="50" t="s">
        <v>353</v>
      </c>
      <c r="D177" s="50"/>
      <c r="E177" s="62">
        <v>46002.0</v>
      </c>
      <c r="F177" s="52" t="s">
        <v>26</v>
      </c>
      <c r="G177" s="58"/>
      <c r="H177" s="54">
        <v>10011.0</v>
      </c>
      <c r="I177" s="59">
        <f t="shared" si="3"/>
        <v>-10011</v>
      </c>
      <c r="J177" s="56" t="s">
        <v>1</v>
      </c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33.75" customHeight="1">
      <c r="A178" s="50" t="s">
        <v>28</v>
      </c>
      <c r="B178" s="51" t="s">
        <v>81</v>
      </c>
      <c r="C178" s="50" t="s">
        <v>365</v>
      </c>
      <c r="D178" s="50"/>
      <c r="E178" s="62">
        <v>46003.0</v>
      </c>
      <c r="F178" s="52" t="s">
        <v>17</v>
      </c>
      <c r="G178" s="53" t="s">
        <v>21</v>
      </c>
      <c r="H178" s="54">
        <v>9566.0</v>
      </c>
      <c r="I178" s="59">
        <f t="shared" si="3"/>
        <v>434</v>
      </c>
      <c r="J178" s="56" t="s">
        <v>1</v>
      </c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33.75" customHeight="1">
      <c r="A179" s="50" t="s">
        <v>366</v>
      </c>
      <c r="B179" s="22" t="s">
        <v>81</v>
      </c>
      <c r="C179" s="11" t="s">
        <v>367</v>
      </c>
      <c r="D179" s="11"/>
      <c r="E179" s="64">
        <v>46003.0</v>
      </c>
      <c r="F179" s="52" t="s">
        <v>26</v>
      </c>
      <c r="G179" s="53" t="s">
        <v>21</v>
      </c>
      <c r="H179" s="16">
        <v>8264.0</v>
      </c>
      <c r="I179" s="39">
        <f t="shared" si="3"/>
        <v>1736</v>
      </c>
      <c r="J179" s="25" t="s">
        <v>1</v>
      </c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33.75" customHeight="1">
      <c r="A180" s="50" t="s">
        <v>368</v>
      </c>
      <c r="B180" s="22" t="s">
        <v>81</v>
      </c>
      <c r="C180" s="11" t="s">
        <v>367</v>
      </c>
      <c r="D180" s="11"/>
      <c r="E180" s="64">
        <v>46003.0</v>
      </c>
      <c r="F180" s="52" t="s">
        <v>26</v>
      </c>
      <c r="G180" s="53" t="s">
        <v>21</v>
      </c>
      <c r="H180" s="54">
        <v>6626.0</v>
      </c>
      <c r="I180" s="39">
        <f t="shared" si="3"/>
        <v>3374</v>
      </c>
      <c r="J180" s="25" t="s">
        <v>1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33.75" customHeight="1">
      <c r="A181" s="50" t="s">
        <v>369</v>
      </c>
      <c r="B181" s="22" t="s">
        <v>81</v>
      </c>
      <c r="C181" s="11" t="s">
        <v>367</v>
      </c>
      <c r="D181" s="11"/>
      <c r="E181" s="64">
        <v>46003.0</v>
      </c>
      <c r="F181" s="52" t="s">
        <v>26</v>
      </c>
      <c r="G181" s="53" t="s">
        <v>72</v>
      </c>
      <c r="H181" s="54">
        <v>7565.0</v>
      </c>
      <c r="I181" s="39">
        <f t="shared" si="3"/>
        <v>7435</v>
      </c>
      <c r="J181" s="25" t="s">
        <v>1</v>
      </c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33.75" customHeight="1">
      <c r="A182" s="50" t="s">
        <v>370</v>
      </c>
      <c r="B182" s="22" t="s">
        <v>81</v>
      </c>
      <c r="C182" s="11" t="s">
        <v>367</v>
      </c>
      <c r="D182" s="11"/>
      <c r="E182" s="64">
        <v>46003.0</v>
      </c>
      <c r="F182" s="52" t="s">
        <v>26</v>
      </c>
      <c r="G182" s="53" t="s">
        <v>21</v>
      </c>
      <c r="H182" s="54">
        <v>5984.0</v>
      </c>
      <c r="I182" s="39">
        <f t="shared" si="3"/>
        <v>4016</v>
      </c>
      <c r="J182" s="25" t="s">
        <v>1</v>
      </c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33.75" customHeight="1">
      <c r="A183" s="50" t="s">
        <v>371</v>
      </c>
      <c r="B183" s="22" t="s">
        <v>81</v>
      </c>
      <c r="C183" s="11" t="s">
        <v>367</v>
      </c>
      <c r="D183" s="11"/>
      <c r="E183" s="64">
        <v>46003.0</v>
      </c>
      <c r="F183" s="52" t="s">
        <v>26</v>
      </c>
      <c r="G183" s="53" t="s">
        <v>21</v>
      </c>
      <c r="H183" s="54">
        <v>3658.0</v>
      </c>
      <c r="I183" s="39">
        <f t="shared" si="3"/>
        <v>6342</v>
      </c>
      <c r="J183" s="25" t="s">
        <v>1</v>
      </c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33.75" customHeight="1">
      <c r="A184" s="50" t="s">
        <v>372</v>
      </c>
      <c r="B184" s="22" t="s">
        <v>81</v>
      </c>
      <c r="C184" s="11" t="s">
        <v>367</v>
      </c>
      <c r="D184" s="11"/>
      <c r="E184" s="64">
        <v>46003.0</v>
      </c>
      <c r="F184" s="52" t="s">
        <v>26</v>
      </c>
      <c r="G184" s="53" t="s">
        <v>21</v>
      </c>
      <c r="H184" s="54">
        <v>6096.0</v>
      </c>
      <c r="I184" s="39">
        <f t="shared" si="3"/>
        <v>3904</v>
      </c>
      <c r="J184" s="25" t="s">
        <v>1</v>
      </c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33.75" customHeight="1">
      <c r="A185" s="50" t="s">
        <v>373</v>
      </c>
      <c r="B185" s="22" t="s">
        <v>81</v>
      </c>
      <c r="C185" s="11" t="s">
        <v>367</v>
      </c>
      <c r="D185" s="11"/>
      <c r="E185" s="64">
        <v>46003.0</v>
      </c>
      <c r="F185" s="52" t="s">
        <v>26</v>
      </c>
      <c r="G185" s="53" t="s">
        <v>21</v>
      </c>
      <c r="H185" s="16">
        <v>5853.0</v>
      </c>
      <c r="I185" s="39">
        <f t="shared" si="3"/>
        <v>4147</v>
      </c>
      <c r="J185" s="25" t="s">
        <v>1</v>
      </c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33.75" customHeight="1">
      <c r="A186" s="50" t="s">
        <v>374</v>
      </c>
      <c r="B186" s="22" t="s">
        <v>81</v>
      </c>
      <c r="C186" s="11" t="s">
        <v>367</v>
      </c>
      <c r="D186" s="11"/>
      <c r="E186" s="64">
        <v>46003.0</v>
      </c>
      <c r="F186" s="52" t="s">
        <v>26</v>
      </c>
      <c r="G186" s="53" t="s">
        <v>21</v>
      </c>
      <c r="H186" s="54">
        <v>4637.0</v>
      </c>
      <c r="I186" s="39">
        <f t="shared" si="3"/>
        <v>5363</v>
      </c>
      <c r="J186" s="25" t="s">
        <v>1</v>
      </c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33.75" customHeight="1">
      <c r="A187" s="50" t="s">
        <v>375</v>
      </c>
      <c r="B187" s="22" t="s">
        <v>81</v>
      </c>
      <c r="C187" s="11" t="s">
        <v>367</v>
      </c>
      <c r="D187" s="11"/>
      <c r="E187" s="64">
        <v>46003.0</v>
      </c>
      <c r="F187" s="52" t="s">
        <v>26</v>
      </c>
      <c r="G187" s="53" t="s">
        <v>21</v>
      </c>
      <c r="H187" s="54">
        <v>5546.0</v>
      </c>
      <c r="I187" s="39">
        <f t="shared" si="3"/>
        <v>4454</v>
      </c>
      <c r="J187" s="25" t="s">
        <v>1</v>
      </c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33.75" customHeight="1">
      <c r="A188" s="50" t="s">
        <v>90</v>
      </c>
      <c r="B188" s="51" t="s">
        <v>88</v>
      </c>
      <c r="C188" s="11" t="s">
        <v>376</v>
      </c>
      <c r="D188" s="11"/>
      <c r="E188" s="64">
        <v>46003.0</v>
      </c>
      <c r="F188" s="52" t="s">
        <v>99</v>
      </c>
      <c r="G188" s="53" t="s">
        <v>377</v>
      </c>
      <c r="H188" s="54">
        <v>2165.0</v>
      </c>
      <c r="I188" s="55">
        <f t="shared" si="3"/>
        <v>219</v>
      </c>
      <c r="J188" s="25" t="s">
        <v>1</v>
      </c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33.75" customHeight="1">
      <c r="A189" s="50" t="s">
        <v>378</v>
      </c>
      <c r="B189" s="51" t="s">
        <v>31</v>
      </c>
      <c r="C189" s="50" t="s">
        <v>379</v>
      </c>
      <c r="D189" s="50"/>
      <c r="E189" s="62">
        <v>46003.0</v>
      </c>
      <c r="F189" s="52" t="s">
        <v>287</v>
      </c>
      <c r="G189" s="53" t="s">
        <v>380</v>
      </c>
      <c r="H189" s="54">
        <v>39190.0</v>
      </c>
      <c r="I189" s="55">
        <f t="shared" si="3"/>
        <v>30808</v>
      </c>
      <c r="J189" s="25" t="s">
        <v>1</v>
      </c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33.75" customHeight="1">
      <c r="A190" s="50" t="s">
        <v>381</v>
      </c>
      <c r="B190" s="51" t="s">
        <v>31</v>
      </c>
      <c r="C190" s="50" t="s">
        <v>382</v>
      </c>
      <c r="D190" s="50"/>
      <c r="E190" s="62">
        <v>46003.0</v>
      </c>
      <c r="F190" s="52" t="s">
        <v>99</v>
      </c>
      <c r="G190" s="53" t="s">
        <v>117</v>
      </c>
      <c r="H190" s="54">
        <v>54150.0</v>
      </c>
      <c r="I190" s="55">
        <f t="shared" si="3"/>
        <v>25850</v>
      </c>
      <c r="J190" s="25" t="s">
        <v>1</v>
      </c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33.75" customHeight="1">
      <c r="A191" s="11" t="s">
        <v>28</v>
      </c>
      <c r="B191" s="22" t="s">
        <v>293</v>
      </c>
      <c r="C191" s="50" t="s">
        <v>365</v>
      </c>
      <c r="D191" s="50"/>
      <c r="E191" s="64">
        <v>46003.0</v>
      </c>
      <c r="F191" s="14" t="s">
        <v>17</v>
      </c>
      <c r="G191" s="15" t="s">
        <v>21</v>
      </c>
      <c r="H191" s="16">
        <v>9499.0</v>
      </c>
      <c r="I191" s="39">
        <f t="shared" si="3"/>
        <v>501</v>
      </c>
      <c r="J191" s="56" t="s">
        <v>1</v>
      </c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33.75" customHeight="1">
      <c r="A192" s="11" t="s">
        <v>216</v>
      </c>
      <c r="B192" s="22" t="s">
        <v>125</v>
      </c>
      <c r="C192" s="11" t="s">
        <v>383</v>
      </c>
      <c r="D192" s="11"/>
      <c r="E192" s="64">
        <v>46003.0</v>
      </c>
      <c r="F192" s="14" t="s">
        <v>26</v>
      </c>
      <c r="G192" s="15" t="s">
        <v>384</v>
      </c>
      <c r="H192" s="16">
        <v>35250.0</v>
      </c>
      <c r="I192" s="17">
        <f t="shared" si="3"/>
        <v>990</v>
      </c>
      <c r="J192" s="25" t="s">
        <v>385</v>
      </c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33.75" customHeight="1">
      <c r="A193" s="11" t="s">
        <v>386</v>
      </c>
      <c r="B193" s="22" t="s">
        <v>185</v>
      </c>
      <c r="C193" s="11" t="s">
        <v>387</v>
      </c>
      <c r="D193" s="11"/>
      <c r="E193" s="64">
        <v>46003.0</v>
      </c>
      <c r="F193" s="14" t="s">
        <v>17</v>
      </c>
      <c r="G193" s="15" t="s">
        <v>21</v>
      </c>
      <c r="H193" s="16">
        <v>9580.0</v>
      </c>
      <c r="I193" s="17">
        <f t="shared" si="3"/>
        <v>420</v>
      </c>
      <c r="J193" s="25" t="s">
        <v>1</v>
      </c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33.75" customHeight="1">
      <c r="A194" s="11" t="s">
        <v>266</v>
      </c>
      <c r="B194" s="22" t="s">
        <v>388</v>
      </c>
      <c r="C194" s="11" t="s">
        <v>389</v>
      </c>
      <c r="D194" s="11"/>
      <c r="E194" s="64">
        <v>46003.0</v>
      </c>
      <c r="F194" s="14" t="s">
        <v>26</v>
      </c>
      <c r="G194" s="15" t="s">
        <v>390</v>
      </c>
      <c r="H194" s="16">
        <v>23620.0</v>
      </c>
      <c r="I194" s="17">
        <f t="shared" si="3"/>
        <v>9422</v>
      </c>
      <c r="J194" s="25" t="s">
        <v>1</v>
      </c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33.75" customHeight="1">
      <c r="A195" s="11" t="s">
        <v>391</v>
      </c>
      <c r="B195" s="22" t="s">
        <v>388</v>
      </c>
      <c r="C195" s="11" t="s">
        <v>392</v>
      </c>
      <c r="D195" s="11"/>
      <c r="E195" s="64">
        <v>46003.0</v>
      </c>
      <c r="F195" s="14" t="s">
        <v>287</v>
      </c>
      <c r="G195" s="15" t="s">
        <v>393</v>
      </c>
      <c r="H195" s="16">
        <v>17530.0</v>
      </c>
      <c r="I195" s="17">
        <f t="shared" si="3"/>
        <v>2446</v>
      </c>
      <c r="J195" s="25" t="s">
        <v>1</v>
      </c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33.75" customHeight="1">
      <c r="A196" s="11" t="s">
        <v>394</v>
      </c>
      <c r="B196" s="22" t="s">
        <v>34</v>
      </c>
      <c r="C196" s="11" t="s">
        <v>395</v>
      </c>
      <c r="D196" s="11"/>
      <c r="E196" s="64">
        <v>46003.0</v>
      </c>
      <c r="F196" s="14" t="s">
        <v>99</v>
      </c>
      <c r="G196" s="15" t="s">
        <v>272</v>
      </c>
      <c r="H196" s="16">
        <v>17440.0</v>
      </c>
      <c r="I196" s="17">
        <f t="shared" si="3"/>
        <v>32560</v>
      </c>
      <c r="J196" s="25" t="s">
        <v>1</v>
      </c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33.75" customHeight="1">
      <c r="A197" s="11" t="s">
        <v>396</v>
      </c>
      <c r="B197" s="22" t="s">
        <v>34</v>
      </c>
      <c r="C197" s="11" t="s">
        <v>397</v>
      </c>
      <c r="D197" s="11"/>
      <c r="E197" s="64">
        <v>46003.0</v>
      </c>
      <c r="F197" s="14" t="s">
        <v>17</v>
      </c>
      <c r="G197" s="15" t="s">
        <v>272</v>
      </c>
      <c r="H197" s="16">
        <v>17650.0</v>
      </c>
      <c r="I197" s="17">
        <f t="shared" si="3"/>
        <v>32350</v>
      </c>
      <c r="J197" s="25" t="s">
        <v>1</v>
      </c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33.75" customHeight="1">
      <c r="A198" s="11" t="s">
        <v>115</v>
      </c>
      <c r="B198" s="22" t="s">
        <v>398</v>
      </c>
      <c r="C198" s="11" t="s">
        <v>399</v>
      </c>
      <c r="D198" s="11"/>
      <c r="E198" s="64">
        <v>46003.0</v>
      </c>
      <c r="F198" s="14" t="s">
        <v>26</v>
      </c>
      <c r="G198" s="27"/>
      <c r="H198" s="16">
        <v>44350.0</v>
      </c>
      <c r="I198" s="17">
        <f t="shared" si="3"/>
        <v>-44350</v>
      </c>
      <c r="J198" s="25" t="s">
        <v>1</v>
      </c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33.75" customHeight="1">
      <c r="A199" s="11" t="s">
        <v>115</v>
      </c>
      <c r="B199" s="22" t="s">
        <v>398</v>
      </c>
      <c r="C199" s="11" t="s">
        <v>400</v>
      </c>
      <c r="D199" s="11"/>
      <c r="E199" s="64">
        <v>46003.0</v>
      </c>
      <c r="F199" s="14" t="s">
        <v>17</v>
      </c>
      <c r="G199" s="15" t="s">
        <v>272</v>
      </c>
      <c r="H199" s="16">
        <v>41380.0</v>
      </c>
      <c r="I199" s="17">
        <f t="shared" si="3"/>
        <v>8620</v>
      </c>
      <c r="J199" s="25" t="s">
        <v>1</v>
      </c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33.75" customHeight="1">
      <c r="A200" s="11" t="s">
        <v>36</v>
      </c>
      <c r="B200" s="22" t="s">
        <v>98</v>
      </c>
      <c r="C200" s="11" t="s">
        <v>401</v>
      </c>
      <c r="D200" s="11"/>
      <c r="E200" s="64">
        <v>46003.0</v>
      </c>
      <c r="F200" s="14" t="s">
        <v>287</v>
      </c>
      <c r="G200" s="27"/>
      <c r="H200" s="16">
        <v>7400.0</v>
      </c>
      <c r="I200" s="17">
        <f t="shared" si="3"/>
        <v>-7400</v>
      </c>
      <c r="J200" s="25" t="s">
        <v>1</v>
      </c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33.75" customHeight="1">
      <c r="A201" s="11" t="s">
        <v>270</v>
      </c>
      <c r="B201" s="22" t="s">
        <v>15</v>
      </c>
      <c r="C201" s="11" t="s">
        <v>402</v>
      </c>
      <c r="D201" s="11"/>
      <c r="E201" s="64">
        <v>46003.0</v>
      </c>
      <c r="F201" s="14" t="s">
        <v>287</v>
      </c>
      <c r="G201" s="27"/>
      <c r="H201" s="16">
        <v>23355.0</v>
      </c>
      <c r="I201" s="17">
        <f t="shared" si="3"/>
        <v>-23355</v>
      </c>
      <c r="J201" s="25" t="s">
        <v>1</v>
      </c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33.75" customHeight="1">
      <c r="A202" s="11" t="s">
        <v>279</v>
      </c>
      <c r="B202" s="22" t="s">
        <v>140</v>
      </c>
      <c r="C202" s="11" t="s">
        <v>403</v>
      </c>
      <c r="D202" s="11"/>
      <c r="E202" s="64">
        <v>46003.0</v>
      </c>
      <c r="F202" s="14" t="s">
        <v>99</v>
      </c>
      <c r="G202" s="27"/>
      <c r="H202" s="16">
        <v>9365.0</v>
      </c>
      <c r="I202" s="17">
        <f t="shared" si="3"/>
        <v>-9365</v>
      </c>
      <c r="J202" s="25" t="s">
        <v>1</v>
      </c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33.75" customHeight="1">
      <c r="A203" s="11" t="s">
        <v>404</v>
      </c>
      <c r="B203" s="22" t="s">
        <v>199</v>
      </c>
      <c r="C203" s="11" t="s">
        <v>405</v>
      </c>
      <c r="D203" s="11"/>
      <c r="E203" s="64">
        <v>46003.0</v>
      </c>
      <c r="F203" s="14" t="s">
        <v>26</v>
      </c>
      <c r="G203" s="15" t="s">
        <v>406</v>
      </c>
      <c r="H203" s="16">
        <v>7653.0</v>
      </c>
      <c r="I203" s="17">
        <f t="shared" si="3"/>
        <v>1231</v>
      </c>
      <c r="J203" s="25" t="s">
        <v>1</v>
      </c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33.75" customHeight="1">
      <c r="A204" s="11" t="s">
        <v>407</v>
      </c>
      <c r="B204" s="22" t="s">
        <v>49</v>
      </c>
      <c r="C204" s="11" t="s">
        <v>408</v>
      </c>
      <c r="D204" s="11"/>
      <c r="E204" s="64" t="s">
        <v>409</v>
      </c>
      <c r="F204" s="14" t="s">
        <v>26</v>
      </c>
      <c r="G204" s="15" t="s">
        <v>410</v>
      </c>
      <c r="H204" s="16">
        <v>2335.0</v>
      </c>
      <c r="I204" s="17">
        <f t="shared" si="3"/>
        <v>59</v>
      </c>
      <c r="J204" s="25" t="s">
        <v>1</v>
      </c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33.75" customHeight="1">
      <c r="A205" s="11" t="s">
        <v>279</v>
      </c>
      <c r="B205" s="22" t="s">
        <v>81</v>
      </c>
      <c r="C205" s="11" t="s">
        <v>411</v>
      </c>
      <c r="D205" s="11"/>
      <c r="E205" s="64" t="s">
        <v>409</v>
      </c>
      <c r="F205" s="14" t="s">
        <v>17</v>
      </c>
      <c r="G205" s="15" t="s">
        <v>110</v>
      </c>
      <c r="H205" s="16">
        <v>9370.0</v>
      </c>
      <c r="I205" s="17">
        <f t="shared" si="3"/>
        <v>10630</v>
      </c>
      <c r="J205" s="25" t="s">
        <v>1</v>
      </c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33.75" customHeight="1">
      <c r="A206" s="11" t="s">
        <v>412</v>
      </c>
      <c r="B206" s="22" t="s">
        <v>44</v>
      </c>
      <c r="C206" s="11" t="s">
        <v>413</v>
      </c>
      <c r="D206" s="11"/>
      <c r="E206" s="64" t="s">
        <v>409</v>
      </c>
      <c r="F206" s="14" t="s">
        <v>26</v>
      </c>
      <c r="G206" s="15" t="s">
        <v>414</v>
      </c>
      <c r="H206" s="16">
        <v>9123.0</v>
      </c>
      <c r="I206" s="17">
        <f t="shared" si="3"/>
        <v>2167</v>
      </c>
      <c r="J206" s="25" t="s">
        <v>1</v>
      </c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33.75" customHeight="1">
      <c r="A207" s="11" t="s">
        <v>101</v>
      </c>
      <c r="B207" s="22" t="s">
        <v>31</v>
      </c>
      <c r="C207" s="11" t="s">
        <v>415</v>
      </c>
      <c r="D207" s="11"/>
      <c r="E207" s="64" t="s">
        <v>409</v>
      </c>
      <c r="F207" s="14" t="s">
        <v>26</v>
      </c>
      <c r="G207" s="15" t="s">
        <v>278</v>
      </c>
      <c r="H207" s="16">
        <v>30623.0</v>
      </c>
      <c r="I207" s="17">
        <f t="shared" si="3"/>
        <v>9377</v>
      </c>
      <c r="J207" s="25" t="s">
        <v>1</v>
      </c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33.75" customHeight="1">
      <c r="A208" s="11" t="s">
        <v>132</v>
      </c>
      <c r="B208" s="22" t="s">
        <v>31</v>
      </c>
      <c r="C208" s="11" t="s">
        <v>416</v>
      </c>
      <c r="D208" s="11"/>
      <c r="E208" s="64" t="s">
        <v>409</v>
      </c>
      <c r="F208" s="14" t="s">
        <v>287</v>
      </c>
      <c r="G208" s="15" t="s">
        <v>417</v>
      </c>
      <c r="H208" s="16">
        <v>10262.0</v>
      </c>
      <c r="I208" s="17">
        <f t="shared" si="3"/>
        <v>1943</v>
      </c>
      <c r="J208" s="25" t="s">
        <v>1</v>
      </c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33.75" customHeight="1">
      <c r="A209" s="11" t="s">
        <v>135</v>
      </c>
      <c r="B209" s="22" t="s">
        <v>37</v>
      </c>
      <c r="C209" s="11" t="s">
        <v>418</v>
      </c>
      <c r="D209" s="11"/>
      <c r="E209" s="64" t="s">
        <v>409</v>
      </c>
      <c r="F209" s="14" t="s">
        <v>17</v>
      </c>
      <c r="G209" s="15" t="s">
        <v>419</v>
      </c>
      <c r="H209" s="16">
        <v>23392.0</v>
      </c>
      <c r="I209" s="17">
        <f t="shared" si="3"/>
        <v>2063</v>
      </c>
      <c r="J209" s="25" t="s">
        <v>1</v>
      </c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33.75" customHeight="1">
      <c r="A210" s="24" t="s">
        <v>420</v>
      </c>
      <c r="B210" s="22" t="s">
        <v>125</v>
      </c>
      <c r="C210" s="11" t="s">
        <v>421</v>
      </c>
      <c r="D210" s="11"/>
      <c r="E210" s="64" t="s">
        <v>409</v>
      </c>
      <c r="F210" s="14" t="s">
        <v>17</v>
      </c>
      <c r="G210" s="15" t="s">
        <v>72</v>
      </c>
      <c r="H210" s="16">
        <v>14781.0</v>
      </c>
      <c r="I210" s="17">
        <f t="shared" si="3"/>
        <v>219</v>
      </c>
      <c r="J210" s="25" t="s">
        <v>1</v>
      </c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33.75" customHeight="1">
      <c r="A211" s="11" t="s">
        <v>404</v>
      </c>
      <c r="B211" s="22" t="s">
        <v>422</v>
      </c>
      <c r="C211" s="11" t="s">
        <v>423</v>
      </c>
      <c r="D211" s="11"/>
      <c r="E211" s="64" t="s">
        <v>409</v>
      </c>
      <c r="F211" s="14" t="s">
        <v>26</v>
      </c>
      <c r="G211" s="15" t="s">
        <v>406</v>
      </c>
      <c r="H211" s="16">
        <v>7750.0</v>
      </c>
      <c r="I211" s="17">
        <f t="shared" si="3"/>
        <v>1134</v>
      </c>
      <c r="J211" s="25" t="s">
        <v>1</v>
      </c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33.75" customHeight="1">
      <c r="A212" s="11" t="s">
        <v>424</v>
      </c>
      <c r="B212" s="22" t="s">
        <v>425</v>
      </c>
      <c r="C212" s="11" t="s">
        <v>426</v>
      </c>
      <c r="D212" s="11"/>
      <c r="E212" s="64" t="s">
        <v>409</v>
      </c>
      <c r="F212" s="14" t="s">
        <v>287</v>
      </c>
      <c r="G212" s="15" t="s">
        <v>427</v>
      </c>
      <c r="H212" s="16">
        <v>44490.0</v>
      </c>
      <c r="I212" s="17">
        <f t="shared" si="3"/>
        <v>28741</v>
      </c>
      <c r="J212" s="25" t="s">
        <v>1</v>
      </c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33.75" customHeight="1">
      <c r="A213" s="11" t="s">
        <v>420</v>
      </c>
      <c r="B213" s="22" t="s">
        <v>428</v>
      </c>
      <c r="C213" s="11" t="s">
        <v>421</v>
      </c>
      <c r="D213" s="11"/>
      <c r="E213" s="64" t="s">
        <v>409</v>
      </c>
      <c r="F213" s="14" t="s">
        <v>17</v>
      </c>
      <c r="G213" s="15" t="s">
        <v>429</v>
      </c>
      <c r="H213" s="16">
        <v>14009.0</v>
      </c>
      <c r="I213" s="17">
        <f t="shared" si="3"/>
        <v>2746</v>
      </c>
      <c r="J213" s="25" t="s">
        <v>1</v>
      </c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33.75" customHeight="1">
      <c r="A214" s="11" t="s">
        <v>101</v>
      </c>
      <c r="B214" s="22" t="s">
        <v>430</v>
      </c>
      <c r="C214" s="11" t="s">
        <v>415</v>
      </c>
      <c r="D214" s="11"/>
      <c r="E214" s="64" t="s">
        <v>409</v>
      </c>
      <c r="F214" s="14" t="s">
        <v>26</v>
      </c>
      <c r="G214" s="15" t="s">
        <v>431</v>
      </c>
      <c r="H214" s="16">
        <v>9230.0</v>
      </c>
      <c r="I214" s="17">
        <f t="shared" si="3"/>
        <v>146</v>
      </c>
      <c r="J214" s="25" t="s">
        <v>1</v>
      </c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33.75" customHeight="1">
      <c r="A215" s="11" t="s">
        <v>432</v>
      </c>
      <c r="B215" s="22" t="s">
        <v>433</v>
      </c>
      <c r="C215" s="11" t="s">
        <v>434</v>
      </c>
      <c r="D215" s="11"/>
      <c r="E215" s="64" t="s">
        <v>409</v>
      </c>
      <c r="F215" s="14" t="s">
        <v>287</v>
      </c>
      <c r="G215" s="15" t="s">
        <v>435</v>
      </c>
      <c r="H215" s="16">
        <v>9000.0</v>
      </c>
      <c r="I215" s="17">
        <f t="shared" si="3"/>
        <v>2119</v>
      </c>
      <c r="J215" s="25" t="s">
        <v>1</v>
      </c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33.75" customHeight="1">
      <c r="A216" s="11" t="s">
        <v>436</v>
      </c>
      <c r="B216" s="22" t="s">
        <v>437</v>
      </c>
      <c r="C216" s="11" t="s">
        <v>438</v>
      </c>
      <c r="D216" s="11"/>
      <c r="E216" s="64" t="s">
        <v>409</v>
      </c>
      <c r="F216" s="14" t="s">
        <v>26</v>
      </c>
      <c r="G216" s="15" t="s">
        <v>439</v>
      </c>
      <c r="H216" s="16">
        <v>10270.0</v>
      </c>
      <c r="I216" s="17">
        <f t="shared" si="3"/>
        <v>1739</v>
      </c>
      <c r="J216" s="25" t="s">
        <v>1</v>
      </c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33.75" customHeight="1">
      <c r="A217" s="11" t="s">
        <v>440</v>
      </c>
      <c r="B217" s="22" t="s">
        <v>437</v>
      </c>
      <c r="C217" s="11" t="s">
        <v>438</v>
      </c>
      <c r="D217" s="11"/>
      <c r="E217" s="64" t="s">
        <v>409</v>
      </c>
      <c r="F217" s="14" t="s">
        <v>26</v>
      </c>
      <c r="G217" s="15" t="s">
        <v>439</v>
      </c>
      <c r="H217" s="16">
        <v>10168.0</v>
      </c>
      <c r="I217" s="17">
        <f t="shared" si="3"/>
        <v>1841</v>
      </c>
      <c r="J217" s="25" t="s">
        <v>1</v>
      </c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33.75" customHeight="1">
      <c r="A218" s="11" t="s">
        <v>288</v>
      </c>
      <c r="B218" s="22" t="s">
        <v>437</v>
      </c>
      <c r="C218" s="11" t="s">
        <v>441</v>
      </c>
      <c r="D218" s="11"/>
      <c r="E218" s="64">
        <v>46004.0</v>
      </c>
      <c r="F218" s="14" t="s">
        <v>287</v>
      </c>
      <c r="G218" s="15" t="s">
        <v>442</v>
      </c>
      <c r="H218" s="16">
        <v>27092.0</v>
      </c>
      <c r="I218" s="17">
        <f t="shared" si="3"/>
        <v>2656</v>
      </c>
      <c r="J218" s="25" t="s">
        <v>1</v>
      </c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33.75" customHeight="1">
      <c r="A219" s="11" t="s">
        <v>279</v>
      </c>
      <c r="B219" s="22" t="s">
        <v>34</v>
      </c>
      <c r="C219" s="11" t="s">
        <v>443</v>
      </c>
      <c r="D219" s="11"/>
      <c r="E219" s="64" t="s">
        <v>409</v>
      </c>
      <c r="F219" s="14" t="s">
        <v>17</v>
      </c>
      <c r="G219" s="15" t="s">
        <v>444</v>
      </c>
      <c r="H219" s="16">
        <v>29314.0</v>
      </c>
      <c r="I219" s="17">
        <f t="shared" si="3"/>
        <v>14686</v>
      </c>
      <c r="J219" s="25" t="s">
        <v>1</v>
      </c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33.75" customHeight="1">
      <c r="A220" s="11" t="s">
        <v>445</v>
      </c>
      <c r="B220" s="22" t="s">
        <v>15</v>
      </c>
      <c r="C220" s="11" t="s">
        <v>438</v>
      </c>
      <c r="D220" s="11"/>
      <c r="E220" s="64">
        <v>46004.0</v>
      </c>
      <c r="F220" s="14" t="s">
        <v>26</v>
      </c>
      <c r="G220" s="15" t="s">
        <v>439</v>
      </c>
      <c r="H220" s="16">
        <v>9690.0</v>
      </c>
      <c r="I220" s="17">
        <f t="shared" si="3"/>
        <v>2319</v>
      </c>
      <c r="J220" s="25" t="s">
        <v>1</v>
      </c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33.75" customHeight="1">
      <c r="A221" s="11" t="s">
        <v>446</v>
      </c>
      <c r="B221" s="22" t="s">
        <v>293</v>
      </c>
      <c r="C221" s="11" t="s">
        <v>447</v>
      </c>
      <c r="D221" s="11"/>
      <c r="E221" s="64">
        <v>46005.0</v>
      </c>
      <c r="F221" s="14" t="s">
        <v>26</v>
      </c>
      <c r="G221" s="15" t="s">
        <v>448</v>
      </c>
      <c r="H221" s="16">
        <v>42076.0</v>
      </c>
      <c r="I221" s="17">
        <f t="shared" si="3"/>
        <v>11739</v>
      </c>
      <c r="J221" s="25" t="s">
        <v>1</v>
      </c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33.75" customHeight="1">
      <c r="A222" s="11" t="s">
        <v>135</v>
      </c>
      <c r="B222" s="22" t="s">
        <v>449</v>
      </c>
      <c r="C222" s="11" t="s">
        <v>450</v>
      </c>
      <c r="D222" s="11"/>
      <c r="E222" s="64">
        <v>46005.0</v>
      </c>
      <c r="F222" s="14" t="s">
        <v>26</v>
      </c>
      <c r="G222" s="15" t="s">
        <v>451</v>
      </c>
      <c r="H222" s="16">
        <v>23288.0</v>
      </c>
      <c r="I222" s="17">
        <f t="shared" si="3"/>
        <v>2165</v>
      </c>
      <c r="J222" s="25" t="s">
        <v>1</v>
      </c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33.75" customHeight="1">
      <c r="A223" s="11" t="s">
        <v>263</v>
      </c>
      <c r="B223" s="22" t="s">
        <v>34</v>
      </c>
      <c r="C223" s="11" t="s">
        <v>452</v>
      </c>
      <c r="D223" s="11"/>
      <c r="E223" s="64">
        <v>46005.0</v>
      </c>
      <c r="F223" s="14" t="s">
        <v>26</v>
      </c>
      <c r="G223" s="15" t="s">
        <v>110</v>
      </c>
      <c r="H223" s="16">
        <v>14237.0</v>
      </c>
      <c r="I223" s="17">
        <f t="shared" si="3"/>
        <v>5763</v>
      </c>
      <c r="J223" s="25" t="s">
        <v>1</v>
      </c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33.75" customHeight="1">
      <c r="A224" s="11" t="s">
        <v>453</v>
      </c>
      <c r="B224" s="22" t="s">
        <v>454</v>
      </c>
      <c r="C224" s="11" t="s">
        <v>455</v>
      </c>
      <c r="D224" s="11"/>
      <c r="E224" s="64">
        <v>46005.0</v>
      </c>
      <c r="F224" s="14" t="s">
        <v>26</v>
      </c>
      <c r="G224" s="15" t="s">
        <v>272</v>
      </c>
      <c r="H224" s="16">
        <v>37658.0</v>
      </c>
      <c r="I224" s="17">
        <f t="shared" si="3"/>
        <v>12342</v>
      </c>
      <c r="J224" s="25" t="s">
        <v>1</v>
      </c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33.75" customHeight="1">
      <c r="A225" s="11" t="s">
        <v>28</v>
      </c>
      <c r="B225" s="22" t="s">
        <v>49</v>
      </c>
      <c r="C225" s="11" t="s">
        <v>456</v>
      </c>
      <c r="D225" s="11"/>
      <c r="E225" s="64">
        <v>46006.0</v>
      </c>
      <c r="F225" s="14" t="s">
        <v>17</v>
      </c>
      <c r="G225" s="15" t="s">
        <v>51</v>
      </c>
      <c r="H225" s="16">
        <v>14257.0</v>
      </c>
      <c r="I225" s="17">
        <f t="shared" si="3"/>
        <v>742</v>
      </c>
      <c r="J225" s="25" t="s">
        <v>1</v>
      </c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ht="33.75" customHeight="1">
      <c r="A226" s="11" t="s">
        <v>210</v>
      </c>
      <c r="B226" s="22" t="s">
        <v>88</v>
      </c>
      <c r="C226" s="11" t="s">
        <v>457</v>
      </c>
      <c r="D226" s="11"/>
      <c r="E226" s="64">
        <v>46006.0</v>
      </c>
      <c r="F226" s="14" t="s">
        <v>287</v>
      </c>
      <c r="G226" s="15" t="s">
        <v>336</v>
      </c>
      <c r="H226" s="16">
        <v>10152.0</v>
      </c>
      <c r="I226" s="17">
        <f t="shared" si="3"/>
        <v>848</v>
      </c>
      <c r="J226" s="25" t="s">
        <v>1</v>
      </c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ht="33.75" customHeight="1">
      <c r="A227" s="11" t="s">
        <v>453</v>
      </c>
      <c r="B227" s="22" t="s">
        <v>31</v>
      </c>
      <c r="C227" s="11" t="s">
        <v>458</v>
      </c>
      <c r="D227" s="11"/>
      <c r="E227" s="64">
        <v>46006.0</v>
      </c>
      <c r="F227" s="14" t="s">
        <v>17</v>
      </c>
      <c r="G227" s="15" t="s">
        <v>459</v>
      </c>
      <c r="H227" s="16">
        <v>10599.0</v>
      </c>
      <c r="I227" s="17">
        <f t="shared" si="3"/>
        <v>1743</v>
      </c>
      <c r="J227" s="25" t="s">
        <v>1</v>
      </c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ht="33.75" customHeight="1">
      <c r="A228" s="11" t="s">
        <v>460</v>
      </c>
      <c r="B228" s="22" t="s">
        <v>461</v>
      </c>
      <c r="C228" s="11" t="s">
        <v>462</v>
      </c>
      <c r="D228" s="11"/>
      <c r="E228" s="64">
        <v>46006.0</v>
      </c>
      <c r="F228" s="14" t="s">
        <v>287</v>
      </c>
      <c r="G228" s="15" t="s">
        <v>463</v>
      </c>
      <c r="H228" s="16">
        <v>14266.0</v>
      </c>
      <c r="I228" s="17">
        <f t="shared" si="3"/>
        <v>2734</v>
      </c>
      <c r="J228" s="25" t="s">
        <v>1</v>
      </c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ht="33.75" customHeight="1">
      <c r="A229" s="11" t="s">
        <v>28</v>
      </c>
      <c r="B229" s="22" t="s">
        <v>293</v>
      </c>
      <c r="C229" s="24" t="s">
        <v>456</v>
      </c>
      <c r="D229" s="24"/>
      <c r="E229" s="64" t="s">
        <v>464</v>
      </c>
      <c r="F229" s="14" t="s">
        <v>17</v>
      </c>
      <c r="G229" s="15" t="s">
        <v>21</v>
      </c>
      <c r="H229" s="16">
        <v>9279.0</v>
      </c>
      <c r="I229" s="17">
        <f t="shared" si="3"/>
        <v>721</v>
      </c>
      <c r="J229" s="25" t="s">
        <v>1</v>
      </c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ht="33.75" customHeight="1">
      <c r="A230" s="11" t="s">
        <v>135</v>
      </c>
      <c r="B230" s="22" t="s">
        <v>465</v>
      </c>
      <c r="C230" s="11" t="s">
        <v>466</v>
      </c>
      <c r="D230" s="11"/>
      <c r="E230" s="64">
        <v>46006.0</v>
      </c>
      <c r="F230" s="14" t="s">
        <v>287</v>
      </c>
      <c r="G230" s="15" t="s">
        <v>467</v>
      </c>
      <c r="H230" s="16">
        <v>23254.0</v>
      </c>
      <c r="I230" s="17">
        <f t="shared" si="3"/>
        <v>2200</v>
      </c>
      <c r="J230" s="25" t="s">
        <v>1</v>
      </c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ht="33.75" customHeight="1">
      <c r="A231" s="11" t="s">
        <v>381</v>
      </c>
      <c r="B231" s="22" t="s">
        <v>19</v>
      </c>
      <c r="C231" s="11" t="s">
        <v>468</v>
      </c>
      <c r="D231" s="11"/>
      <c r="E231" s="64">
        <v>46006.0</v>
      </c>
      <c r="F231" s="14" t="s">
        <v>17</v>
      </c>
      <c r="G231" s="15" t="s">
        <v>380</v>
      </c>
      <c r="H231" s="16">
        <v>36450.0</v>
      </c>
      <c r="I231" s="17">
        <f t="shared" si="3"/>
        <v>33548</v>
      </c>
      <c r="J231" s="25" t="s">
        <v>1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ht="33.75" customHeight="1">
      <c r="A232" s="11" t="s">
        <v>469</v>
      </c>
      <c r="B232" s="22" t="s">
        <v>15</v>
      </c>
      <c r="C232" s="11" t="s">
        <v>470</v>
      </c>
      <c r="D232" s="11"/>
      <c r="E232" s="64">
        <v>46006.0</v>
      </c>
      <c r="F232" s="14" t="s">
        <v>99</v>
      </c>
      <c r="G232" s="15" t="s">
        <v>471</v>
      </c>
      <c r="H232" s="16">
        <v>20780.0</v>
      </c>
      <c r="I232" s="17">
        <f t="shared" si="3"/>
        <v>3231</v>
      </c>
      <c r="J232" s="25" t="s">
        <v>1</v>
      </c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ht="33.75" customHeight="1">
      <c r="A233" s="11" t="s">
        <v>340</v>
      </c>
      <c r="B233" s="22" t="s">
        <v>49</v>
      </c>
      <c r="C233" s="11" t="s">
        <v>472</v>
      </c>
      <c r="D233" s="11"/>
      <c r="E233" s="64">
        <v>46007.0</v>
      </c>
      <c r="F233" s="14" t="s">
        <v>26</v>
      </c>
      <c r="G233" s="15" t="s">
        <v>336</v>
      </c>
      <c r="H233" s="16">
        <v>9336.0</v>
      </c>
      <c r="I233" s="17">
        <f t="shared" si="3"/>
        <v>1664</v>
      </c>
      <c r="J233" s="25" t="s">
        <v>1</v>
      </c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ht="33.75" customHeight="1">
      <c r="A234" s="11" t="s">
        <v>28</v>
      </c>
      <c r="B234" s="65" t="s">
        <v>49</v>
      </c>
      <c r="C234" s="11" t="s">
        <v>473</v>
      </c>
      <c r="D234" s="11"/>
      <c r="E234" s="64">
        <v>46007.0</v>
      </c>
      <c r="F234" s="14" t="s">
        <v>17</v>
      </c>
      <c r="G234" s="15" t="s">
        <v>21</v>
      </c>
      <c r="H234" s="16">
        <v>8377.0</v>
      </c>
      <c r="I234" s="17">
        <f t="shared" si="3"/>
        <v>1623</v>
      </c>
      <c r="J234" s="25" t="s">
        <v>1</v>
      </c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ht="33.75" customHeight="1">
      <c r="A235" s="66" t="s">
        <v>372</v>
      </c>
      <c r="B235" s="67" t="s">
        <v>49</v>
      </c>
      <c r="C235" s="11" t="s">
        <v>474</v>
      </c>
      <c r="D235" s="11"/>
      <c r="E235" s="64">
        <v>46007.0</v>
      </c>
      <c r="F235" s="14" t="s">
        <v>26</v>
      </c>
      <c r="G235" s="15" t="s">
        <v>21</v>
      </c>
      <c r="H235" s="16">
        <v>4626.0</v>
      </c>
      <c r="I235" s="17">
        <f t="shared" si="3"/>
        <v>5374</v>
      </c>
      <c r="J235" s="25" t="s">
        <v>1</v>
      </c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ht="33.75" customHeight="1">
      <c r="A236" s="66" t="s">
        <v>475</v>
      </c>
      <c r="B236" s="68"/>
      <c r="C236" s="11" t="s">
        <v>474</v>
      </c>
      <c r="D236" s="11"/>
      <c r="E236" s="64">
        <v>46007.0</v>
      </c>
      <c r="F236" s="14" t="s">
        <v>26</v>
      </c>
      <c r="G236" s="15" t="s">
        <v>21</v>
      </c>
      <c r="H236" s="16">
        <v>3558.0</v>
      </c>
      <c r="I236" s="17">
        <f t="shared" si="3"/>
        <v>6442</v>
      </c>
      <c r="J236" s="25" t="s">
        <v>1</v>
      </c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ht="33.75" customHeight="1">
      <c r="A237" s="11" t="s">
        <v>363</v>
      </c>
      <c r="B237" s="69" t="s">
        <v>476</v>
      </c>
      <c r="C237" s="11" t="s">
        <v>477</v>
      </c>
      <c r="D237" s="11"/>
      <c r="E237" s="64">
        <v>46007.0</v>
      </c>
      <c r="F237" s="14" t="s">
        <v>26</v>
      </c>
      <c r="G237" s="15" t="s">
        <v>21</v>
      </c>
      <c r="H237" s="16">
        <v>9833.0</v>
      </c>
      <c r="I237" s="17">
        <f t="shared" si="3"/>
        <v>167</v>
      </c>
      <c r="J237" s="25" t="s">
        <v>1</v>
      </c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ht="33.75" customHeight="1">
      <c r="A238" s="11" t="s">
        <v>478</v>
      </c>
      <c r="B238" s="70"/>
      <c r="C238" s="11" t="s">
        <v>477</v>
      </c>
      <c r="D238" s="11"/>
      <c r="E238" s="64">
        <v>46007.0</v>
      </c>
      <c r="F238" s="14" t="s">
        <v>26</v>
      </c>
      <c r="G238" s="15" t="s">
        <v>21</v>
      </c>
      <c r="H238" s="16">
        <v>8961.0</v>
      </c>
      <c r="I238" s="17">
        <f t="shared" si="3"/>
        <v>1039</v>
      </c>
      <c r="J238" s="25" t="s">
        <v>1</v>
      </c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ht="33.75" customHeight="1">
      <c r="A239" s="11" t="s">
        <v>479</v>
      </c>
      <c r="B239" s="70"/>
      <c r="C239" s="11" t="s">
        <v>477</v>
      </c>
      <c r="D239" s="11"/>
      <c r="E239" s="64">
        <v>46007.0</v>
      </c>
      <c r="F239" s="14" t="s">
        <v>26</v>
      </c>
      <c r="G239" s="15" t="s">
        <v>21</v>
      </c>
      <c r="H239" s="16">
        <v>8513.0</v>
      </c>
      <c r="I239" s="17">
        <f t="shared" si="3"/>
        <v>1487</v>
      </c>
      <c r="J239" s="25" t="s">
        <v>1</v>
      </c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ht="33.75" customHeight="1">
      <c r="A240" s="11" t="s">
        <v>480</v>
      </c>
      <c r="B240" s="70"/>
      <c r="C240" s="11" t="s">
        <v>477</v>
      </c>
      <c r="D240" s="11"/>
      <c r="E240" s="64">
        <v>46007.0</v>
      </c>
      <c r="F240" s="14" t="s">
        <v>26</v>
      </c>
      <c r="G240" s="15" t="s">
        <v>21</v>
      </c>
      <c r="H240" s="16">
        <v>7128.0</v>
      </c>
      <c r="I240" s="17">
        <f t="shared" si="3"/>
        <v>2872</v>
      </c>
      <c r="J240" s="25" t="s">
        <v>1</v>
      </c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ht="33.75" customHeight="1">
      <c r="A241" s="11" t="s">
        <v>210</v>
      </c>
      <c r="B241" s="22" t="s">
        <v>88</v>
      </c>
      <c r="C241" s="11" t="s">
        <v>457</v>
      </c>
      <c r="D241" s="11"/>
      <c r="E241" s="64">
        <v>46007.0</v>
      </c>
      <c r="F241" s="14" t="s">
        <v>287</v>
      </c>
      <c r="G241" s="15" t="s">
        <v>336</v>
      </c>
      <c r="H241" s="16">
        <v>10018.0</v>
      </c>
      <c r="I241" s="17">
        <f t="shared" si="3"/>
        <v>982</v>
      </c>
      <c r="J241" s="25" t="s">
        <v>1</v>
      </c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ht="33.75" customHeight="1">
      <c r="A242" s="11" t="s">
        <v>297</v>
      </c>
      <c r="B242" s="22" t="s">
        <v>260</v>
      </c>
      <c r="C242" s="11" t="s">
        <v>481</v>
      </c>
      <c r="D242" s="11"/>
      <c r="E242" s="64">
        <v>46007.0</v>
      </c>
      <c r="F242" s="14" t="s">
        <v>26</v>
      </c>
      <c r="G242" s="15" t="s">
        <v>278</v>
      </c>
      <c r="H242" s="16">
        <v>22764.0</v>
      </c>
      <c r="I242" s="17">
        <f t="shared" si="3"/>
        <v>17236</v>
      </c>
      <c r="J242" s="25" t="s">
        <v>1</v>
      </c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33.75" customHeight="1">
      <c r="A243" s="11" t="s">
        <v>297</v>
      </c>
      <c r="B243" s="22" t="s">
        <v>260</v>
      </c>
      <c r="C243" s="11" t="s">
        <v>482</v>
      </c>
      <c r="D243" s="11"/>
      <c r="E243" s="64">
        <v>46007.0</v>
      </c>
      <c r="F243" s="14" t="s">
        <v>26</v>
      </c>
      <c r="G243" s="15" t="s">
        <v>278</v>
      </c>
      <c r="H243" s="16">
        <v>26783.0</v>
      </c>
      <c r="I243" s="17">
        <f t="shared" si="3"/>
        <v>13217</v>
      </c>
      <c r="J243" s="25" t="s">
        <v>1</v>
      </c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33.75" customHeight="1">
      <c r="A244" s="11" t="s">
        <v>28</v>
      </c>
      <c r="B244" s="22" t="s">
        <v>91</v>
      </c>
      <c r="C244" s="11" t="s">
        <v>483</v>
      </c>
      <c r="D244" s="11"/>
      <c r="E244" s="64">
        <v>46007.0</v>
      </c>
      <c r="F244" s="14" t="s">
        <v>17</v>
      </c>
      <c r="G244" s="15" t="s">
        <v>484</v>
      </c>
      <c r="H244" s="16">
        <v>11126.0</v>
      </c>
      <c r="I244" s="17">
        <f t="shared" si="3"/>
        <v>1874</v>
      </c>
      <c r="J244" s="25" t="s">
        <v>1</v>
      </c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33.75" customHeight="1">
      <c r="A245" s="11" t="s">
        <v>412</v>
      </c>
      <c r="B245" s="22" t="s">
        <v>125</v>
      </c>
      <c r="C245" s="11" t="s">
        <v>485</v>
      </c>
      <c r="D245" s="11"/>
      <c r="E245" s="64">
        <v>46007.0</v>
      </c>
      <c r="F245" s="14" t="s">
        <v>287</v>
      </c>
      <c r="G245" s="15" t="s">
        <v>486</v>
      </c>
      <c r="H245" s="16">
        <v>7723.0</v>
      </c>
      <c r="I245" s="17">
        <f t="shared" si="3"/>
        <v>7706</v>
      </c>
      <c r="J245" s="25" t="s">
        <v>1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33.75" customHeight="1">
      <c r="A246" s="11" t="s">
        <v>295</v>
      </c>
      <c r="B246" s="22" t="s">
        <v>161</v>
      </c>
      <c r="C246" s="11" t="s">
        <v>487</v>
      </c>
      <c r="D246" s="11"/>
      <c r="E246" s="64">
        <v>46007.0</v>
      </c>
      <c r="F246" s="14" t="s">
        <v>99</v>
      </c>
      <c r="G246" s="15" t="s">
        <v>488</v>
      </c>
      <c r="H246" s="16">
        <v>11337.0</v>
      </c>
      <c r="I246" s="17">
        <f t="shared" si="3"/>
        <v>1289</v>
      </c>
      <c r="J246" s="25" t="s"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33.75" customHeight="1">
      <c r="A247" s="11" t="s">
        <v>489</v>
      </c>
      <c r="B247" s="22" t="s">
        <v>34</v>
      </c>
      <c r="C247" s="11" t="s">
        <v>490</v>
      </c>
      <c r="D247" s="11"/>
      <c r="E247" s="64">
        <v>46007.0</v>
      </c>
      <c r="F247" s="14" t="s">
        <v>287</v>
      </c>
      <c r="G247" s="15" t="s">
        <v>21</v>
      </c>
      <c r="H247" s="16">
        <v>9663.0</v>
      </c>
      <c r="I247" s="17">
        <f t="shared" si="3"/>
        <v>337</v>
      </c>
      <c r="J247" s="25" t="s">
        <v>1</v>
      </c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33.75" customHeight="1">
      <c r="A248" s="11" t="s">
        <v>40</v>
      </c>
      <c r="B248" s="22" t="s">
        <v>34</v>
      </c>
      <c r="C248" s="11" t="s">
        <v>491</v>
      </c>
      <c r="D248" s="11"/>
      <c r="E248" s="64">
        <v>46007.0</v>
      </c>
      <c r="F248" s="14" t="s">
        <v>99</v>
      </c>
      <c r="G248" s="15" t="s">
        <v>492</v>
      </c>
      <c r="H248" s="16">
        <v>26230.0</v>
      </c>
      <c r="I248" s="17">
        <f t="shared" si="3"/>
        <v>2091</v>
      </c>
      <c r="J248" s="25" t="s">
        <v>1</v>
      </c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33.75" customHeight="1">
      <c r="A249" s="11" t="s">
        <v>469</v>
      </c>
      <c r="B249" s="22" t="s">
        <v>15</v>
      </c>
      <c r="C249" s="11" t="s">
        <v>493</v>
      </c>
      <c r="D249" s="11"/>
      <c r="E249" s="64">
        <v>46007.0</v>
      </c>
      <c r="F249" s="14" t="s">
        <v>17</v>
      </c>
      <c r="G249" s="15" t="s">
        <v>494</v>
      </c>
      <c r="H249" s="16">
        <v>12074.0</v>
      </c>
      <c r="I249" s="17">
        <f t="shared" si="3"/>
        <v>1272</v>
      </c>
      <c r="J249" s="25" t="s">
        <v>1</v>
      </c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33.75" customHeight="1">
      <c r="A250" s="11" t="s">
        <v>115</v>
      </c>
      <c r="B250" s="22" t="s">
        <v>34</v>
      </c>
      <c r="C250" s="11" t="s">
        <v>495</v>
      </c>
      <c r="D250" s="11"/>
      <c r="E250" s="64">
        <v>46007.0</v>
      </c>
      <c r="F250" s="14" t="s">
        <v>26</v>
      </c>
      <c r="G250" s="15" t="s">
        <v>496</v>
      </c>
      <c r="H250" s="16">
        <v>43047.0</v>
      </c>
      <c r="I250" s="17">
        <f t="shared" si="3"/>
        <v>40019</v>
      </c>
      <c r="J250" s="25" t="s">
        <v>1</v>
      </c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33.75" customHeight="1">
      <c r="A251" s="11" t="s">
        <v>115</v>
      </c>
      <c r="B251" s="22" t="s">
        <v>34</v>
      </c>
      <c r="C251" s="11" t="s">
        <v>497</v>
      </c>
      <c r="D251" s="11"/>
      <c r="E251" s="64">
        <v>46007.0</v>
      </c>
      <c r="F251" s="14" t="s">
        <v>26</v>
      </c>
      <c r="G251" s="15" t="s">
        <v>496</v>
      </c>
      <c r="H251" s="16">
        <v>38123.0</v>
      </c>
      <c r="I251" s="17">
        <f t="shared" si="3"/>
        <v>44943</v>
      </c>
      <c r="J251" s="25" t="s">
        <v>1</v>
      </c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33.75" customHeight="1">
      <c r="A252" s="11" t="s">
        <v>115</v>
      </c>
      <c r="B252" s="22" t="s">
        <v>34</v>
      </c>
      <c r="C252" s="11" t="s">
        <v>498</v>
      </c>
      <c r="D252" s="11"/>
      <c r="E252" s="64">
        <v>46007.0</v>
      </c>
      <c r="F252" s="14" t="s">
        <v>287</v>
      </c>
      <c r="G252" s="15" t="s">
        <v>496</v>
      </c>
      <c r="H252" s="16">
        <v>38557.0</v>
      </c>
      <c r="I252" s="17">
        <f t="shared" si="3"/>
        <v>44509</v>
      </c>
      <c r="J252" s="25" t="s"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33.75" customHeight="1">
      <c r="A253" s="11" t="s">
        <v>115</v>
      </c>
      <c r="B253" s="22" t="s">
        <v>34</v>
      </c>
      <c r="C253" s="11" t="s">
        <v>499</v>
      </c>
      <c r="D253" s="11"/>
      <c r="E253" s="64">
        <v>46007.0</v>
      </c>
      <c r="F253" s="14" t="s">
        <v>287</v>
      </c>
      <c r="G253" s="15" t="s">
        <v>496</v>
      </c>
      <c r="H253" s="16">
        <v>35637.0</v>
      </c>
      <c r="I253" s="17">
        <f t="shared" si="3"/>
        <v>47429</v>
      </c>
      <c r="J253" s="25" t="s"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33.75" customHeight="1">
      <c r="A254" s="11" t="s">
        <v>500</v>
      </c>
      <c r="B254" s="22" t="s">
        <v>98</v>
      </c>
      <c r="C254" s="11" t="s">
        <v>501</v>
      </c>
      <c r="D254" s="11"/>
      <c r="E254" s="64" t="s">
        <v>502</v>
      </c>
      <c r="F254" s="14" t="s">
        <v>503</v>
      </c>
      <c r="G254" s="15" t="s">
        <v>21</v>
      </c>
      <c r="H254" s="16">
        <v>8546.0</v>
      </c>
      <c r="I254" s="17">
        <f t="shared" si="3"/>
        <v>1454</v>
      </c>
      <c r="J254" s="25" t="s">
        <v>1</v>
      </c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33.75" customHeight="1">
      <c r="A255" s="11" t="s">
        <v>40</v>
      </c>
      <c r="B255" s="22" t="s">
        <v>19</v>
      </c>
      <c r="C255" s="11" t="s">
        <v>491</v>
      </c>
      <c r="D255" s="11"/>
      <c r="E255" s="64" t="s">
        <v>502</v>
      </c>
      <c r="F255" s="14" t="s">
        <v>287</v>
      </c>
      <c r="G255" s="15" t="s">
        <v>504</v>
      </c>
      <c r="H255" s="16">
        <v>23390.0</v>
      </c>
      <c r="I255" s="17">
        <f t="shared" si="3"/>
        <v>1610</v>
      </c>
      <c r="J255" s="25" t="s">
        <v>1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33.75" customHeight="1">
      <c r="A256" s="11" t="s">
        <v>424</v>
      </c>
      <c r="B256" s="22" t="s">
        <v>19</v>
      </c>
      <c r="C256" s="11" t="s">
        <v>505</v>
      </c>
      <c r="D256" s="11"/>
      <c r="E256" s="64" t="s">
        <v>502</v>
      </c>
      <c r="F256" s="14" t="s">
        <v>17</v>
      </c>
      <c r="G256" s="15" t="s">
        <v>275</v>
      </c>
      <c r="H256" s="16">
        <v>11969.0</v>
      </c>
      <c r="I256" s="17">
        <f t="shared" si="3"/>
        <v>2031</v>
      </c>
      <c r="J256" s="25" t="s">
        <v>1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33.75" customHeight="1">
      <c r="A257" s="11" t="s">
        <v>263</v>
      </c>
      <c r="B257" s="22" t="s">
        <v>248</v>
      </c>
      <c r="C257" s="11" t="s">
        <v>506</v>
      </c>
      <c r="D257" s="11"/>
      <c r="E257" s="64" t="s">
        <v>502</v>
      </c>
      <c r="F257" s="14" t="s">
        <v>507</v>
      </c>
      <c r="G257" s="15" t="s">
        <v>159</v>
      </c>
      <c r="H257" s="16">
        <v>4921.0</v>
      </c>
      <c r="I257" s="17">
        <f t="shared" si="3"/>
        <v>1079</v>
      </c>
      <c r="J257" s="25" t="s">
        <v>1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33.75" customHeight="1">
      <c r="A258" s="11" t="s">
        <v>28</v>
      </c>
      <c r="B258" s="22" t="s">
        <v>49</v>
      </c>
      <c r="C258" s="11" t="s">
        <v>508</v>
      </c>
      <c r="D258" s="11"/>
      <c r="E258" s="64">
        <v>46008.0</v>
      </c>
      <c r="F258" s="14" t="s">
        <v>287</v>
      </c>
      <c r="G258" s="15" t="s">
        <v>72</v>
      </c>
      <c r="H258" s="16">
        <v>13333.0</v>
      </c>
      <c r="I258" s="17">
        <f t="shared" si="3"/>
        <v>1667</v>
      </c>
      <c r="J258" s="25" t="s"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33.75" customHeight="1">
      <c r="A259" s="11" t="s">
        <v>509</v>
      </c>
      <c r="B259" s="22" t="s">
        <v>49</v>
      </c>
      <c r="C259" s="11" t="s">
        <v>510</v>
      </c>
      <c r="D259" s="11"/>
      <c r="E259" s="64">
        <v>46008.0</v>
      </c>
      <c r="F259" s="14" t="s">
        <v>26</v>
      </c>
      <c r="G259" s="15" t="s">
        <v>21</v>
      </c>
      <c r="H259" s="16">
        <v>8636.0</v>
      </c>
      <c r="I259" s="17">
        <f t="shared" si="3"/>
        <v>1364</v>
      </c>
      <c r="J259" s="25" t="s">
        <v>1</v>
      </c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33.75" customHeight="1">
      <c r="A260" s="11" t="s">
        <v>511</v>
      </c>
      <c r="B260" s="22" t="s">
        <v>49</v>
      </c>
      <c r="C260" s="11" t="s">
        <v>512</v>
      </c>
      <c r="D260" s="11"/>
      <c r="E260" s="64">
        <v>46008.0</v>
      </c>
      <c r="F260" s="14" t="s">
        <v>17</v>
      </c>
      <c r="G260" s="15" t="s">
        <v>513</v>
      </c>
      <c r="H260" s="16">
        <v>10327.0</v>
      </c>
      <c r="I260" s="17">
        <f t="shared" si="3"/>
        <v>19673</v>
      </c>
      <c r="J260" s="25" t="s">
        <v>1</v>
      </c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33.75" customHeight="1">
      <c r="A261" s="11" t="s">
        <v>111</v>
      </c>
      <c r="B261" s="22" t="s">
        <v>49</v>
      </c>
      <c r="C261" s="11" t="s">
        <v>514</v>
      </c>
      <c r="D261" s="11"/>
      <c r="E261" s="64">
        <v>46008.0</v>
      </c>
      <c r="F261" s="14" t="s">
        <v>17</v>
      </c>
      <c r="G261" s="15" t="s">
        <v>21</v>
      </c>
      <c r="H261" s="16">
        <v>1920.0</v>
      </c>
      <c r="I261" s="17">
        <f t="shared" si="3"/>
        <v>8080</v>
      </c>
      <c r="J261" s="25" t="s"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33.75" customHeight="1">
      <c r="A262" s="11" t="s">
        <v>515</v>
      </c>
      <c r="B262" s="22" t="s">
        <v>49</v>
      </c>
      <c r="C262" s="11" t="s">
        <v>514</v>
      </c>
      <c r="D262" s="11"/>
      <c r="E262" s="64">
        <v>46008.0</v>
      </c>
      <c r="F262" s="14" t="s">
        <v>17</v>
      </c>
      <c r="G262" s="15" t="s">
        <v>463</v>
      </c>
      <c r="H262" s="16">
        <v>1932.0</v>
      </c>
      <c r="I262" s="17">
        <f t="shared" si="3"/>
        <v>15068</v>
      </c>
      <c r="J262" s="25" t="s"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ht="33.75" customHeight="1">
      <c r="A263" s="11" t="s">
        <v>516</v>
      </c>
      <c r="B263" s="22" t="s">
        <v>49</v>
      </c>
      <c r="C263" s="11" t="s">
        <v>512</v>
      </c>
      <c r="D263" s="11"/>
      <c r="E263" s="64">
        <v>46008.0</v>
      </c>
      <c r="F263" s="14" t="s">
        <v>17</v>
      </c>
      <c r="G263" s="15" t="s">
        <v>484</v>
      </c>
      <c r="H263" s="16">
        <v>9065.0</v>
      </c>
      <c r="I263" s="17">
        <f t="shared" si="3"/>
        <v>3935</v>
      </c>
      <c r="J263" s="25" t="s">
        <v>1</v>
      </c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ht="33.75" customHeight="1">
      <c r="A264" s="11" t="s">
        <v>517</v>
      </c>
      <c r="B264" s="22" t="s">
        <v>49</v>
      </c>
      <c r="C264" s="11" t="s">
        <v>512</v>
      </c>
      <c r="D264" s="11"/>
      <c r="E264" s="64">
        <v>46008.0</v>
      </c>
      <c r="F264" s="14" t="s">
        <v>17</v>
      </c>
      <c r="G264" s="15" t="s">
        <v>518</v>
      </c>
      <c r="H264" s="16">
        <v>10083.0</v>
      </c>
      <c r="I264" s="17">
        <f t="shared" si="3"/>
        <v>8917</v>
      </c>
      <c r="J264" s="25" t="s">
        <v>1</v>
      </c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ht="33.75" customHeight="1">
      <c r="A265" s="11" t="s">
        <v>363</v>
      </c>
      <c r="B265" s="22" t="s">
        <v>49</v>
      </c>
      <c r="C265" s="11" t="s">
        <v>512</v>
      </c>
      <c r="D265" s="11"/>
      <c r="E265" s="64">
        <v>46008.0</v>
      </c>
      <c r="F265" s="14" t="s">
        <v>17</v>
      </c>
      <c r="G265" s="15" t="s">
        <v>21</v>
      </c>
      <c r="H265" s="16">
        <v>2129.0</v>
      </c>
      <c r="I265" s="17">
        <f t="shared" si="3"/>
        <v>7871</v>
      </c>
      <c r="J265" s="25" t="s">
        <v>1</v>
      </c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ht="33.75" customHeight="1">
      <c r="A266" s="11" t="s">
        <v>115</v>
      </c>
      <c r="B266" s="22" t="s">
        <v>81</v>
      </c>
      <c r="C266" s="11" t="s">
        <v>519</v>
      </c>
      <c r="D266" s="11"/>
      <c r="E266" s="64">
        <v>46008.0</v>
      </c>
      <c r="F266" s="14" t="s">
        <v>26</v>
      </c>
      <c r="G266" s="15" t="s">
        <v>520</v>
      </c>
      <c r="H266" s="16">
        <v>38620.0</v>
      </c>
      <c r="I266" s="17">
        <f t="shared" si="3"/>
        <v>32380</v>
      </c>
      <c r="J266" s="25" t="s">
        <v>1</v>
      </c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ht="33.75" customHeight="1">
      <c r="A267" s="11" t="s">
        <v>115</v>
      </c>
      <c r="B267" s="22" t="s">
        <v>81</v>
      </c>
      <c r="C267" s="11" t="s">
        <v>521</v>
      </c>
      <c r="D267" s="11"/>
      <c r="E267" s="64">
        <v>46008.0</v>
      </c>
      <c r="F267" s="14" t="s">
        <v>99</v>
      </c>
      <c r="G267" s="15" t="s">
        <v>520</v>
      </c>
      <c r="H267" s="16">
        <v>39765.0</v>
      </c>
      <c r="I267" s="17">
        <f t="shared" si="3"/>
        <v>31235</v>
      </c>
      <c r="J267" s="25" t="s">
        <v>1</v>
      </c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ht="33.75" customHeight="1">
      <c r="A268" s="11" t="s">
        <v>210</v>
      </c>
      <c r="B268" s="22" t="s">
        <v>88</v>
      </c>
      <c r="C268" s="11" t="s">
        <v>522</v>
      </c>
      <c r="D268" s="11"/>
      <c r="E268" s="64">
        <v>46008.0</v>
      </c>
      <c r="F268" s="14" t="s">
        <v>287</v>
      </c>
      <c r="G268" s="15" t="s">
        <v>336</v>
      </c>
      <c r="H268" s="16">
        <v>9434.0</v>
      </c>
      <c r="I268" s="17">
        <f t="shared" si="3"/>
        <v>1566</v>
      </c>
      <c r="J268" s="25" t="s">
        <v>1</v>
      </c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ht="33.75" customHeight="1">
      <c r="A269" s="11" t="s">
        <v>28</v>
      </c>
      <c r="B269" s="22" t="s">
        <v>91</v>
      </c>
      <c r="C269" s="11" t="s">
        <v>508</v>
      </c>
      <c r="D269" s="11"/>
      <c r="E269" s="64" t="s">
        <v>523</v>
      </c>
      <c r="F269" s="14" t="s">
        <v>17</v>
      </c>
      <c r="G269" s="15" t="s">
        <v>21</v>
      </c>
      <c r="H269" s="16">
        <v>22360.0</v>
      </c>
      <c r="I269" s="17">
        <f t="shared" si="3"/>
        <v>-12360</v>
      </c>
      <c r="J269" s="25" t="s">
        <v>1</v>
      </c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ht="33.75" customHeight="1">
      <c r="A270" s="11" t="s">
        <v>524</v>
      </c>
      <c r="B270" s="22" t="s">
        <v>181</v>
      </c>
      <c r="C270" s="11" t="s">
        <v>525</v>
      </c>
      <c r="D270" s="11"/>
      <c r="E270" s="64" t="s">
        <v>523</v>
      </c>
      <c r="F270" s="14" t="s">
        <v>287</v>
      </c>
      <c r="G270" s="15" t="s">
        <v>21</v>
      </c>
      <c r="H270" s="16">
        <v>4598.0</v>
      </c>
      <c r="I270" s="17">
        <f t="shared" si="3"/>
        <v>5402</v>
      </c>
      <c r="J270" s="25" t="s">
        <v>1</v>
      </c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33.75" customHeight="1">
      <c r="A271" s="11" t="s">
        <v>500</v>
      </c>
      <c r="B271" s="22" t="s">
        <v>161</v>
      </c>
      <c r="C271" s="11" t="s">
        <v>526</v>
      </c>
      <c r="D271" s="11"/>
      <c r="E271" s="64" t="s">
        <v>523</v>
      </c>
      <c r="F271" s="14" t="s">
        <v>17</v>
      </c>
      <c r="G271" s="15" t="s">
        <v>527</v>
      </c>
      <c r="H271" s="16">
        <v>22071.0</v>
      </c>
      <c r="I271" s="17">
        <f t="shared" si="3"/>
        <v>17344</v>
      </c>
      <c r="J271" s="25" t="s">
        <v>1</v>
      </c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33.75" customHeight="1">
      <c r="A272" s="11" t="s">
        <v>424</v>
      </c>
      <c r="B272" s="22" t="s">
        <v>528</v>
      </c>
      <c r="C272" s="11" t="s">
        <v>529</v>
      </c>
      <c r="D272" s="11"/>
      <c r="E272" s="64">
        <v>46008.0</v>
      </c>
      <c r="F272" s="14" t="s">
        <v>17</v>
      </c>
      <c r="G272" s="15" t="s">
        <v>275</v>
      </c>
      <c r="H272" s="16">
        <v>11378.0</v>
      </c>
      <c r="I272" s="17">
        <f t="shared" si="3"/>
        <v>2622</v>
      </c>
      <c r="J272" s="25" t="s">
        <v>1</v>
      </c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33.75" customHeight="1">
      <c r="A273" s="11" t="s">
        <v>489</v>
      </c>
      <c r="B273" s="22" t="s">
        <v>530</v>
      </c>
      <c r="C273" s="11" t="s">
        <v>490</v>
      </c>
      <c r="D273" s="11"/>
      <c r="E273" s="64">
        <v>46008.0</v>
      </c>
      <c r="F273" s="14" t="s">
        <v>99</v>
      </c>
      <c r="G273" s="15" t="s">
        <v>110</v>
      </c>
      <c r="H273" s="16">
        <v>18348.0</v>
      </c>
      <c r="I273" s="17">
        <f t="shared" si="3"/>
        <v>1652</v>
      </c>
      <c r="J273" s="25" t="s">
        <v>1</v>
      </c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33.75" customHeight="1">
      <c r="A274" s="11" t="s">
        <v>531</v>
      </c>
      <c r="B274" s="22" t="s">
        <v>34</v>
      </c>
      <c r="C274" s="11" t="s">
        <v>532</v>
      </c>
      <c r="D274" s="11"/>
      <c r="E274" s="64">
        <v>46008.0</v>
      </c>
      <c r="F274" s="14" t="s">
        <v>26</v>
      </c>
      <c r="G274" s="15" t="s">
        <v>533</v>
      </c>
      <c r="H274" s="16">
        <v>9960.0</v>
      </c>
      <c r="I274" s="17">
        <f t="shared" si="3"/>
        <v>1499</v>
      </c>
      <c r="J274" s="25" t="s">
        <v>1</v>
      </c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33.75" customHeight="1">
      <c r="A275" s="11" t="s">
        <v>534</v>
      </c>
      <c r="B275" s="22" t="s">
        <v>34</v>
      </c>
      <c r="C275" s="11" t="s">
        <v>535</v>
      </c>
      <c r="D275" s="11"/>
      <c r="E275" s="64">
        <v>46008.0</v>
      </c>
      <c r="F275" s="14" t="s">
        <v>26</v>
      </c>
      <c r="G275" s="15" t="s">
        <v>536</v>
      </c>
      <c r="H275" s="16">
        <v>11142.0</v>
      </c>
      <c r="I275" s="17">
        <f t="shared" si="3"/>
        <v>1495</v>
      </c>
      <c r="J275" s="25" t="s">
        <v>1</v>
      </c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33.75" customHeight="1">
      <c r="A276" s="11" t="s">
        <v>297</v>
      </c>
      <c r="B276" s="22" t="s">
        <v>34</v>
      </c>
      <c r="C276" s="11" t="s">
        <v>537</v>
      </c>
      <c r="D276" s="11"/>
      <c r="E276" s="64">
        <v>46008.0</v>
      </c>
      <c r="F276" s="14" t="s">
        <v>26</v>
      </c>
      <c r="G276" s="15" t="s">
        <v>278</v>
      </c>
      <c r="H276" s="16">
        <v>17252.0</v>
      </c>
      <c r="I276" s="17">
        <f t="shared" si="3"/>
        <v>22748</v>
      </c>
      <c r="J276" s="25" t="s">
        <v>1</v>
      </c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33.75" customHeight="1">
      <c r="A277" s="11" t="s">
        <v>297</v>
      </c>
      <c r="B277" s="22" t="s">
        <v>34</v>
      </c>
      <c r="C277" s="11" t="s">
        <v>538</v>
      </c>
      <c r="D277" s="11"/>
      <c r="E277" s="64">
        <v>46008.0</v>
      </c>
      <c r="F277" s="14" t="s">
        <v>26</v>
      </c>
      <c r="G277" s="15" t="s">
        <v>278</v>
      </c>
      <c r="H277" s="16">
        <v>17598.0</v>
      </c>
      <c r="I277" s="17">
        <f t="shared" si="3"/>
        <v>22402</v>
      </c>
      <c r="J277" s="25" t="s">
        <v>1</v>
      </c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33.75" customHeight="1">
      <c r="A278" s="11" t="s">
        <v>539</v>
      </c>
      <c r="B278" s="22" t="s">
        <v>98</v>
      </c>
      <c r="C278" s="11" t="s">
        <v>540</v>
      </c>
      <c r="D278" s="11"/>
      <c r="E278" s="64">
        <v>46008.0</v>
      </c>
      <c r="F278" s="14" t="s">
        <v>99</v>
      </c>
      <c r="G278" s="15" t="s">
        <v>72</v>
      </c>
      <c r="H278" s="16">
        <v>14026.0</v>
      </c>
      <c r="I278" s="17">
        <f t="shared" si="3"/>
        <v>974</v>
      </c>
      <c r="J278" s="25" t="s">
        <v>1</v>
      </c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33.75" customHeight="1">
      <c r="A279" s="11" t="s">
        <v>101</v>
      </c>
      <c r="B279" s="22" t="s">
        <v>15</v>
      </c>
      <c r="C279" s="11" t="s">
        <v>541</v>
      </c>
      <c r="D279" s="11"/>
      <c r="E279" s="64">
        <v>46008.0</v>
      </c>
      <c r="F279" s="14" t="s">
        <v>287</v>
      </c>
      <c r="G279" s="15" t="s">
        <v>542</v>
      </c>
      <c r="H279" s="16">
        <v>17592.0</v>
      </c>
      <c r="I279" s="17">
        <f t="shared" si="3"/>
        <v>1532</v>
      </c>
      <c r="J279" s="25" t="s">
        <v>1</v>
      </c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33.75" customHeight="1">
      <c r="A280" s="11" t="s">
        <v>543</v>
      </c>
      <c r="B280" s="22" t="s">
        <v>15</v>
      </c>
      <c r="C280" s="11" t="s">
        <v>544</v>
      </c>
      <c r="D280" s="11"/>
      <c r="E280" s="64" t="s">
        <v>523</v>
      </c>
      <c r="F280" s="14" t="s">
        <v>287</v>
      </c>
      <c r="G280" s="15" t="s">
        <v>21</v>
      </c>
      <c r="H280" s="16">
        <v>9682.0</v>
      </c>
      <c r="I280" s="17">
        <f t="shared" si="3"/>
        <v>318</v>
      </c>
      <c r="J280" s="25" t="s">
        <v>1</v>
      </c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33.75" customHeight="1">
      <c r="A281" s="11" t="s">
        <v>509</v>
      </c>
      <c r="B281" s="22" t="s">
        <v>19</v>
      </c>
      <c r="C281" s="11" t="s">
        <v>545</v>
      </c>
      <c r="D281" s="11"/>
      <c r="E281" s="64">
        <v>46008.0</v>
      </c>
      <c r="F281" s="14" t="s">
        <v>17</v>
      </c>
      <c r="G281" s="15" t="s">
        <v>110</v>
      </c>
      <c r="H281" s="16">
        <v>14935.0</v>
      </c>
      <c r="I281" s="17">
        <f t="shared" si="3"/>
        <v>5065</v>
      </c>
      <c r="J281" s="25" t="s">
        <v>1</v>
      </c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33.75" customHeight="1">
      <c r="A282" s="11" t="s">
        <v>546</v>
      </c>
      <c r="B282" s="22" t="s">
        <v>547</v>
      </c>
      <c r="C282" s="11" t="s">
        <v>548</v>
      </c>
      <c r="D282" s="11"/>
      <c r="E282" s="64">
        <v>46008.0</v>
      </c>
      <c r="F282" s="14" t="s">
        <v>26</v>
      </c>
      <c r="G282" s="15" t="s">
        <v>549</v>
      </c>
      <c r="H282" s="16">
        <v>9757.0</v>
      </c>
      <c r="I282" s="71" t="s">
        <v>550</v>
      </c>
      <c r="J282" s="25" t="s">
        <v>1</v>
      </c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33.75" customHeight="1">
      <c r="A283" s="11" t="s">
        <v>551</v>
      </c>
      <c r="B283" s="22" t="s">
        <v>552</v>
      </c>
      <c r="C283" s="11" t="s">
        <v>553</v>
      </c>
      <c r="D283" s="11"/>
      <c r="E283" s="64">
        <v>46008.0</v>
      </c>
      <c r="F283" s="14" t="s">
        <v>26</v>
      </c>
      <c r="G283" s="15" t="s">
        <v>21</v>
      </c>
      <c r="H283" s="16">
        <v>8654.0</v>
      </c>
      <c r="I283" s="71" t="s">
        <v>554</v>
      </c>
      <c r="J283" s="25" t="s">
        <v>1</v>
      </c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33.75" customHeight="1">
      <c r="A284" s="11" t="s">
        <v>555</v>
      </c>
      <c r="B284" s="22" t="s">
        <v>556</v>
      </c>
      <c r="C284" s="11" t="s">
        <v>557</v>
      </c>
      <c r="D284" s="11"/>
      <c r="E284" s="64">
        <v>46008.0</v>
      </c>
      <c r="F284" s="14" t="s">
        <v>17</v>
      </c>
      <c r="G284" s="15" t="s">
        <v>21</v>
      </c>
      <c r="H284" s="16">
        <v>8035.0</v>
      </c>
      <c r="I284" s="71" t="s">
        <v>558</v>
      </c>
      <c r="J284" s="25" t="s">
        <v>1</v>
      </c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33.75" customHeight="1">
      <c r="A285" s="11" t="s">
        <v>559</v>
      </c>
      <c r="B285" s="22" t="s">
        <v>560</v>
      </c>
      <c r="C285" s="11" t="s">
        <v>561</v>
      </c>
      <c r="D285" s="11"/>
      <c r="E285" s="64">
        <v>46008.0</v>
      </c>
      <c r="F285" s="14" t="s">
        <v>287</v>
      </c>
      <c r="G285" s="15" t="s">
        <v>21</v>
      </c>
      <c r="H285" s="16">
        <v>7913.0</v>
      </c>
      <c r="I285" s="71" t="s">
        <v>562</v>
      </c>
      <c r="J285" s="25" t="s">
        <v>1</v>
      </c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33.75" customHeight="1">
      <c r="A286" s="11" t="s">
        <v>40</v>
      </c>
      <c r="B286" s="22" t="s">
        <v>563</v>
      </c>
      <c r="C286" s="11" t="s">
        <v>564</v>
      </c>
      <c r="D286" s="11"/>
      <c r="E286" s="64">
        <v>46008.0</v>
      </c>
      <c r="F286" s="14" t="s">
        <v>99</v>
      </c>
      <c r="G286" s="15" t="s">
        <v>565</v>
      </c>
      <c r="H286" s="16">
        <v>23601.0</v>
      </c>
      <c r="I286" s="17">
        <f t="shared" ref="I286:I346" si="4">G286-H286</f>
        <v>1519</v>
      </c>
      <c r="J286" s="25" t="s">
        <v>1</v>
      </c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33.75" customHeight="1">
      <c r="A287" s="11" t="s">
        <v>28</v>
      </c>
      <c r="B287" s="22" t="s">
        <v>49</v>
      </c>
      <c r="C287" s="11" t="s">
        <v>566</v>
      </c>
      <c r="D287" s="11"/>
      <c r="E287" s="64">
        <v>46009.0</v>
      </c>
      <c r="F287" s="72" t="s">
        <v>287</v>
      </c>
      <c r="G287" s="73" t="s">
        <v>72</v>
      </c>
      <c r="H287" s="74">
        <v>13149.0</v>
      </c>
      <c r="I287" s="17">
        <f t="shared" si="4"/>
        <v>1851</v>
      </c>
      <c r="J287" s="25" t="s">
        <v>1</v>
      </c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33.75" customHeight="1">
      <c r="A288" s="11" t="s">
        <v>480</v>
      </c>
      <c r="B288" s="22" t="s">
        <v>567</v>
      </c>
      <c r="C288" s="11" t="s">
        <v>568</v>
      </c>
      <c r="D288" s="11"/>
      <c r="E288" s="64">
        <v>46009.0</v>
      </c>
      <c r="F288" s="72" t="s">
        <v>99</v>
      </c>
      <c r="G288" s="73" t="s">
        <v>21</v>
      </c>
      <c r="H288" s="74">
        <v>4964.0</v>
      </c>
      <c r="I288" s="17">
        <f t="shared" si="4"/>
        <v>5036</v>
      </c>
      <c r="J288" s="25" t="s">
        <v>1</v>
      </c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33.75" customHeight="1">
      <c r="A289" s="11" t="s">
        <v>374</v>
      </c>
      <c r="B289" s="22" t="s">
        <v>567</v>
      </c>
      <c r="C289" s="11" t="s">
        <v>568</v>
      </c>
      <c r="D289" s="11"/>
      <c r="E289" s="64">
        <v>46009.0</v>
      </c>
      <c r="F289" s="72" t="s">
        <v>99</v>
      </c>
      <c r="G289" s="73" t="s">
        <v>21</v>
      </c>
      <c r="H289" s="74">
        <v>7521.0</v>
      </c>
      <c r="I289" s="17">
        <f t="shared" si="4"/>
        <v>2479</v>
      </c>
      <c r="J289" s="25" t="s">
        <v>1</v>
      </c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33.75" customHeight="1">
      <c r="A290" s="11" t="s">
        <v>569</v>
      </c>
      <c r="B290" s="22" t="s">
        <v>567</v>
      </c>
      <c r="C290" s="11" t="s">
        <v>568</v>
      </c>
      <c r="D290" s="11"/>
      <c r="E290" s="64">
        <v>46009.0</v>
      </c>
      <c r="F290" s="72" t="s">
        <v>99</v>
      </c>
      <c r="G290" s="73" t="s">
        <v>21</v>
      </c>
      <c r="H290" s="74">
        <v>7026.0</v>
      </c>
      <c r="I290" s="17">
        <f t="shared" si="4"/>
        <v>2974</v>
      </c>
      <c r="J290" s="25" t="s">
        <v>1</v>
      </c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33.75" customHeight="1">
      <c r="A291" s="11" t="s">
        <v>570</v>
      </c>
      <c r="B291" s="22" t="s">
        <v>567</v>
      </c>
      <c r="C291" s="11" t="s">
        <v>568</v>
      </c>
      <c r="D291" s="11"/>
      <c r="E291" s="64">
        <v>46009.0</v>
      </c>
      <c r="F291" s="72" t="s">
        <v>99</v>
      </c>
      <c r="G291" s="73" t="s">
        <v>21</v>
      </c>
      <c r="H291" s="74">
        <v>6391.0</v>
      </c>
      <c r="I291" s="17">
        <f t="shared" si="4"/>
        <v>3609</v>
      </c>
      <c r="J291" s="25" t="s">
        <v>1</v>
      </c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ht="33.75" customHeight="1">
      <c r="A292" s="11" t="s">
        <v>363</v>
      </c>
      <c r="B292" s="22" t="s">
        <v>571</v>
      </c>
      <c r="C292" s="11" t="s">
        <v>572</v>
      </c>
      <c r="D292" s="11"/>
      <c r="E292" s="64">
        <v>46009.0</v>
      </c>
      <c r="F292" s="72" t="s">
        <v>17</v>
      </c>
      <c r="G292" s="73" t="s">
        <v>21</v>
      </c>
      <c r="H292" s="74">
        <v>8037.0</v>
      </c>
      <c r="I292" s="17">
        <f t="shared" si="4"/>
        <v>1963</v>
      </c>
      <c r="J292" s="25" t="s">
        <v>1</v>
      </c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ht="33.75" customHeight="1">
      <c r="A293" s="11" t="s">
        <v>366</v>
      </c>
      <c r="B293" s="22" t="s">
        <v>571</v>
      </c>
      <c r="C293" s="11" t="s">
        <v>572</v>
      </c>
      <c r="D293" s="11"/>
      <c r="E293" s="64">
        <v>46009.0</v>
      </c>
      <c r="F293" s="72" t="s">
        <v>17</v>
      </c>
      <c r="G293" s="75" t="s">
        <v>573</v>
      </c>
      <c r="H293" s="74">
        <v>8614.0</v>
      </c>
      <c r="I293" s="17">
        <f t="shared" si="4"/>
        <v>1386</v>
      </c>
      <c r="J293" s="25" t="s">
        <v>1</v>
      </c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ht="33.75" customHeight="1">
      <c r="A294" s="11" t="s">
        <v>574</v>
      </c>
      <c r="B294" s="22" t="s">
        <v>571</v>
      </c>
      <c r="C294" s="11" t="s">
        <v>572</v>
      </c>
      <c r="D294" s="11"/>
      <c r="E294" s="64">
        <v>46009.0</v>
      </c>
      <c r="F294" s="72" t="s">
        <v>17</v>
      </c>
      <c r="G294" s="73" t="s">
        <v>21</v>
      </c>
      <c r="H294" s="74">
        <v>7232.0</v>
      </c>
      <c r="I294" s="17">
        <f t="shared" si="4"/>
        <v>2768</v>
      </c>
      <c r="J294" s="25" t="s">
        <v>1</v>
      </c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ht="33.75" customHeight="1">
      <c r="A295" s="11" t="s">
        <v>575</v>
      </c>
      <c r="B295" s="22" t="s">
        <v>571</v>
      </c>
      <c r="C295" s="11" t="s">
        <v>572</v>
      </c>
      <c r="D295" s="11"/>
      <c r="E295" s="64" t="s">
        <v>576</v>
      </c>
      <c r="F295" s="72" t="s">
        <v>17</v>
      </c>
      <c r="G295" s="73" t="s">
        <v>21</v>
      </c>
      <c r="H295" s="74">
        <v>4202.0</v>
      </c>
      <c r="I295" s="17">
        <f t="shared" si="4"/>
        <v>5798</v>
      </c>
      <c r="J295" s="25" t="s">
        <v>1</v>
      </c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ht="33.75" customHeight="1">
      <c r="A296" s="11" t="s">
        <v>577</v>
      </c>
      <c r="B296" s="22" t="s">
        <v>578</v>
      </c>
      <c r="C296" s="11" t="s">
        <v>579</v>
      </c>
      <c r="D296" s="11"/>
      <c r="E296" s="64">
        <v>46009.0</v>
      </c>
      <c r="F296" s="14" t="s">
        <v>287</v>
      </c>
      <c r="G296" s="73" t="s">
        <v>580</v>
      </c>
      <c r="H296" s="16">
        <v>15326.0</v>
      </c>
      <c r="I296" s="17">
        <f t="shared" si="4"/>
        <v>3574</v>
      </c>
      <c r="J296" s="25" t="s">
        <v>1</v>
      </c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ht="33.75" customHeight="1">
      <c r="A297" s="11" t="s">
        <v>489</v>
      </c>
      <c r="B297" s="22" t="s">
        <v>37</v>
      </c>
      <c r="C297" s="11" t="s">
        <v>581</v>
      </c>
      <c r="D297" s="11"/>
      <c r="E297" s="64">
        <v>46009.0</v>
      </c>
      <c r="F297" s="14" t="s">
        <v>507</v>
      </c>
      <c r="G297" s="73" t="s">
        <v>272</v>
      </c>
      <c r="H297" s="16">
        <v>42777.0</v>
      </c>
      <c r="I297" s="17">
        <f t="shared" si="4"/>
        <v>7223</v>
      </c>
      <c r="J297" s="25" t="s">
        <v>1</v>
      </c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ht="33.75" customHeight="1">
      <c r="A298" s="11" t="s">
        <v>489</v>
      </c>
      <c r="B298" s="22" t="s">
        <v>37</v>
      </c>
      <c r="C298" s="11" t="s">
        <v>582</v>
      </c>
      <c r="D298" s="11"/>
      <c r="E298" s="64">
        <v>46009.0</v>
      </c>
      <c r="F298" s="14" t="s">
        <v>17</v>
      </c>
      <c r="G298" s="73" t="s">
        <v>272</v>
      </c>
      <c r="H298" s="16">
        <v>46995.0</v>
      </c>
      <c r="I298" s="17">
        <f t="shared" si="4"/>
        <v>3005</v>
      </c>
      <c r="J298" s="25" t="s">
        <v>1</v>
      </c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ht="33.75" customHeight="1">
      <c r="A299" s="11" t="s">
        <v>534</v>
      </c>
      <c r="B299" s="22" t="s">
        <v>37</v>
      </c>
      <c r="C299" s="11" t="s">
        <v>535</v>
      </c>
      <c r="D299" s="11"/>
      <c r="E299" s="64">
        <v>46009.0</v>
      </c>
      <c r="F299" s="14" t="s">
        <v>287</v>
      </c>
      <c r="G299" s="73" t="s">
        <v>21</v>
      </c>
      <c r="H299" s="16">
        <v>8289.0</v>
      </c>
      <c r="I299" s="17">
        <f t="shared" si="4"/>
        <v>1711</v>
      </c>
      <c r="J299" s="25" t="s">
        <v>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ht="33.75" customHeight="1">
      <c r="A300" s="11" t="s">
        <v>583</v>
      </c>
      <c r="B300" s="22" t="s">
        <v>584</v>
      </c>
      <c r="C300" s="11" t="s">
        <v>585</v>
      </c>
      <c r="D300" s="11"/>
      <c r="E300" s="64">
        <v>46009.0</v>
      </c>
      <c r="F300" s="72" t="s">
        <v>99</v>
      </c>
      <c r="G300" s="73" t="s">
        <v>21</v>
      </c>
      <c r="H300" s="74">
        <v>3785.0</v>
      </c>
      <c r="I300" s="17">
        <f t="shared" si="4"/>
        <v>6215</v>
      </c>
      <c r="J300" s="25" t="s">
        <v>1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ht="33.75" customHeight="1">
      <c r="A301" s="11" t="s">
        <v>586</v>
      </c>
      <c r="B301" s="22" t="s">
        <v>584</v>
      </c>
      <c r="C301" s="11" t="s">
        <v>585</v>
      </c>
      <c r="D301" s="11"/>
      <c r="E301" s="64">
        <v>46009.0</v>
      </c>
      <c r="F301" s="72" t="s">
        <v>99</v>
      </c>
      <c r="G301" s="73" t="s">
        <v>21</v>
      </c>
      <c r="H301" s="74">
        <v>4378.0</v>
      </c>
      <c r="I301" s="17">
        <f t="shared" si="4"/>
        <v>5622</v>
      </c>
      <c r="J301" s="25" t="s">
        <v>1</v>
      </c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ht="33.75" customHeight="1">
      <c r="A302" s="11" t="s">
        <v>587</v>
      </c>
      <c r="B302" s="22" t="s">
        <v>584</v>
      </c>
      <c r="C302" s="11" t="s">
        <v>585</v>
      </c>
      <c r="D302" s="11"/>
      <c r="E302" s="64">
        <v>46009.0</v>
      </c>
      <c r="F302" s="72" t="s">
        <v>99</v>
      </c>
      <c r="G302" s="73" t="s">
        <v>21</v>
      </c>
      <c r="H302" s="74">
        <v>8221.0</v>
      </c>
      <c r="I302" s="17">
        <f t="shared" si="4"/>
        <v>1779</v>
      </c>
      <c r="J302" s="25" t="s">
        <v>1</v>
      </c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ht="33.75" customHeight="1">
      <c r="A303" s="11" t="s">
        <v>28</v>
      </c>
      <c r="B303" s="22" t="s">
        <v>588</v>
      </c>
      <c r="C303" s="11" t="s">
        <v>589</v>
      </c>
      <c r="D303" s="11"/>
      <c r="E303" s="64">
        <v>46009.0</v>
      </c>
      <c r="F303" s="14" t="s">
        <v>26</v>
      </c>
      <c r="G303" s="15" t="s">
        <v>590</v>
      </c>
      <c r="H303" s="16">
        <v>11507.0</v>
      </c>
      <c r="I303" s="17">
        <f t="shared" si="4"/>
        <v>493</v>
      </c>
      <c r="J303" s="25" t="s">
        <v>1</v>
      </c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ht="33.75" customHeight="1">
      <c r="A304" s="11" t="s">
        <v>591</v>
      </c>
      <c r="B304" s="22" t="s">
        <v>34</v>
      </c>
      <c r="C304" s="11" t="s">
        <v>592</v>
      </c>
      <c r="D304" s="11"/>
      <c r="E304" s="64">
        <v>46009.0</v>
      </c>
      <c r="F304" s="14" t="s">
        <v>26</v>
      </c>
      <c r="G304" s="15" t="s">
        <v>504</v>
      </c>
      <c r="H304" s="16">
        <v>21636.0</v>
      </c>
      <c r="I304" s="17">
        <f t="shared" si="4"/>
        <v>3364</v>
      </c>
      <c r="J304" s="25" t="s">
        <v>1</v>
      </c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ht="33.75" customHeight="1">
      <c r="A305" s="11" t="s">
        <v>469</v>
      </c>
      <c r="B305" s="22" t="s">
        <v>15</v>
      </c>
      <c r="C305" s="24" t="s">
        <v>593</v>
      </c>
      <c r="D305" s="24"/>
      <c r="E305" s="64" t="s">
        <v>576</v>
      </c>
      <c r="F305" s="14" t="s">
        <v>17</v>
      </c>
      <c r="G305" s="15" t="s">
        <v>275</v>
      </c>
      <c r="H305" s="16">
        <v>13714.0</v>
      </c>
      <c r="I305" s="17">
        <f t="shared" si="4"/>
        <v>286</v>
      </c>
      <c r="J305" s="25" t="s">
        <v>1</v>
      </c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ht="33.75" customHeight="1">
      <c r="A306" s="11" t="s">
        <v>546</v>
      </c>
      <c r="B306" s="22" t="s">
        <v>15</v>
      </c>
      <c r="C306" s="11" t="s">
        <v>594</v>
      </c>
      <c r="D306" s="11"/>
      <c r="E306" s="64" t="s">
        <v>576</v>
      </c>
      <c r="F306" s="14" t="s">
        <v>287</v>
      </c>
      <c r="G306" s="15" t="s">
        <v>21</v>
      </c>
      <c r="H306" s="16">
        <v>8215.0</v>
      </c>
      <c r="I306" s="17">
        <f t="shared" si="4"/>
        <v>1785</v>
      </c>
      <c r="J306" s="25" t="s"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ht="33.75" customHeight="1">
      <c r="A307" s="11" t="s">
        <v>595</v>
      </c>
      <c r="B307" s="22" t="s">
        <v>15</v>
      </c>
      <c r="C307" s="11" t="s">
        <v>596</v>
      </c>
      <c r="D307" s="11"/>
      <c r="E307" s="64" t="s">
        <v>576</v>
      </c>
      <c r="F307" s="14" t="s">
        <v>99</v>
      </c>
      <c r="G307" s="15" t="s">
        <v>357</v>
      </c>
      <c r="H307" s="16">
        <v>7655.0</v>
      </c>
      <c r="I307" s="17">
        <f t="shared" si="4"/>
        <v>52345</v>
      </c>
      <c r="J307" s="25" t="s">
        <v>1</v>
      </c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ht="33.75" customHeight="1">
      <c r="A308" s="11" t="s">
        <v>597</v>
      </c>
      <c r="B308" s="22" t="s">
        <v>598</v>
      </c>
      <c r="C308" s="11" t="s">
        <v>599</v>
      </c>
      <c r="D308" s="11"/>
      <c r="E308" s="64" t="s">
        <v>576</v>
      </c>
      <c r="F308" s="14" t="s">
        <v>17</v>
      </c>
      <c r="G308" s="15" t="s">
        <v>357</v>
      </c>
      <c r="H308" s="16">
        <v>49654.0</v>
      </c>
      <c r="I308" s="17">
        <f t="shared" si="4"/>
        <v>10346</v>
      </c>
      <c r="J308" s="25" t="s">
        <v>1</v>
      </c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ht="33.75" customHeight="1">
      <c r="A309" s="11" t="s">
        <v>597</v>
      </c>
      <c r="B309" s="22" t="s">
        <v>598</v>
      </c>
      <c r="C309" s="11" t="s">
        <v>600</v>
      </c>
      <c r="D309" s="11"/>
      <c r="E309" s="64" t="s">
        <v>576</v>
      </c>
      <c r="F309" s="14" t="s">
        <v>99</v>
      </c>
      <c r="G309" s="15" t="s">
        <v>357</v>
      </c>
      <c r="H309" s="16">
        <v>53281.0</v>
      </c>
      <c r="I309" s="17">
        <f t="shared" si="4"/>
        <v>6719</v>
      </c>
      <c r="J309" s="25" t="s">
        <v>1</v>
      </c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ht="33.75" customHeight="1">
      <c r="A310" s="11" t="s">
        <v>597</v>
      </c>
      <c r="B310" s="22" t="s">
        <v>598</v>
      </c>
      <c r="C310" s="11" t="s">
        <v>601</v>
      </c>
      <c r="D310" s="11"/>
      <c r="E310" s="64" t="s">
        <v>576</v>
      </c>
      <c r="F310" s="14" t="s">
        <v>17</v>
      </c>
      <c r="G310" s="15" t="s">
        <v>357</v>
      </c>
      <c r="H310" s="16">
        <v>24045.0</v>
      </c>
      <c r="I310" s="17">
        <f t="shared" si="4"/>
        <v>35955</v>
      </c>
      <c r="J310" s="25" t="s">
        <v>1</v>
      </c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ht="33.75" customHeight="1">
      <c r="A311" s="11" t="s">
        <v>597</v>
      </c>
      <c r="B311" s="22" t="s">
        <v>598</v>
      </c>
      <c r="C311" s="11" t="s">
        <v>602</v>
      </c>
      <c r="D311" s="11"/>
      <c r="E311" s="64" t="s">
        <v>576</v>
      </c>
      <c r="F311" s="14" t="s">
        <v>26</v>
      </c>
      <c r="G311" s="15" t="s">
        <v>357</v>
      </c>
      <c r="H311" s="16">
        <v>19478.0</v>
      </c>
      <c r="I311" s="17">
        <f t="shared" si="4"/>
        <v>40522</v>
      </c>
      <c r="J311" s="25" t="s">
        <v>1</v>
      </c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ht="33.75" customHeight="1">
      <c r="A312" s="11" t="s">
        <v>366</v>
      </c>
      <c r="B312" s="22" t="s">
        <v>603</v>
      </c>
      <c r="C312" s="11" t="s">
        <v>604</v>
      </c>
      <c r="D312" s="11"/>
      <c r="E312" s="64">
        <v>46010.0</v>
      </c>
      <c r="F312" s="14" t="s">
        <v>287</v>
      </c>
      <c r="G312" s="15" t="s">
        <v>21</v>
      </c>
      <c r="H312" s="16">
        <v>9435.0</v>
      </c>
      <c r="I312" s="17">
        <f t="shared" si="4"/>
        <v>565</v>
      </c>
      <c r="J312" s="25" t="s">
        <v>1</v>
      </c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ht="33.75" customHeight="1">
      <c r="A313" s="11" t="s">
        <v>605</v>
      </c>
      <c r="B313" s="22" t="s">
        <v>603</v>
      </c>
      <c r="C313" s="11" t="s">
        <v>604</v>
      </c>
      <c r="D313" s="11"/>
      <c r="E313" s="64">
        <v>46010.0</v>
      </c>
      <c r="F313" s="14" t="s">
        <v>287</v>
      </c>
      <c r="G313" s="15" t="s">
        <v>21</v>
      </c>
      <c r="H313" s="16">
        <v>7838.0</v>
      </c>
      <c r="I313" s="17">
        <f t="shared" si="4"/>
        <v>2162</v>
      </c>
      <c r="J313" s="25" t="s">
        <v>1</v>
      </c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ht="33.75" customHeight="1">
      <c r="A314" s="11" t="s">
        <v>361</v>
      </c>
      <c r="B314" s="22" t="s">
        <v>603</v>
      </c>
      <c r="C314" s="11" t="s">
        <v>604</v>
      </c>
      <c r="D314" s="11"/>
      <c r="E314" s="64">
        <v>46010.0</v>
      </c>
      <c r="F314" s="14" t="s">
        <v>287</v>
      </c>
      <c r="G314" s="15" t="s">
        <v>21</v>
      </c>
      <c r="H314" s="16">
        <v>6202.0</v>
      </c>
      <c r="I314" s="17">
        <f t="shared" si="4"/>
        <v>3798</v>
      </c>
      <c r="J314" s="25" t="s">
        <v>1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ht="33.75" customHeight="1">
      <c r="A315" s="11" t="s">
        <v>606</v>
      </c>
      <c r="B315" s="22" t="s">
        <v>603</v>
      </c>
      <c r="C315" s="11" t="s">
        <v>607</v>
      </c>
      <c r="D315" s="11"/>
      <c r="E315" s="64">
        <v>46010.0</v>
      </c>
      <c r="F315" s="14" t="s">
        <v>99</v>
      </c>
      <c r="G315" s="15" t="s">
        <v>21</v>
      </c>
      <c r="H315" s="16">
        <v>9455.0</v>
      </c>
      <c r="I315" s="17">
        <f t="shared" si="4"/>
        <v>545</v>
      </c>
      <c r="J315" s="25" t="s">
        <v>1</v>
      </c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ht="33.75" customHeight="1">
      <c r="A316" s="11" t="s">
        <v>608</v>
      </c>
      <c r="B316" s="22" t="s">
        <v>603</v>
      </c>
      <c r="C316" s="11" t="s">
        <v>607</v>
      </c>
      <c r="D316" s="11"/>
      <c r="E316" s="64">
        <v>46010.0</v>
      </c>
      <c r="F316" s="14" t="s">
        <v>99</v>
      </c>
      <c r="G316" s="15" t="s">
        <v>21</v>
      </c>
      <c r="H316" s="16">
        <v>8205.0</v>
      </c>
      <c r="I316" s="17">
        <f t="shared" si="4"/>
        <v>1795</v>
      </c>
      <c r="J316" s="25" t="s">
        <v>1</v>
      </c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ht="33.75" customHeight="1">
      <c r="A317" s="11" t="s">
        <v>475</v>
      </c>
      <c r="B317" s="22" t="s">
        <v>603</v>
      </c>
      <c r="C317" s="11" t="s">
        <v>607</v>
      </c>
      <c r="D317" s="11"/>
      <c r="E317" s="64">
        <v>46010.0</v>
      </c>
      <c r="F317" s="14" t="s">
        <v>99</v>
      </c>
      <c r="G317" s="15" t="s">
        <v>21</v>
      </c>
      <c r="H317" s="16">
        <v>8052.0</v>
      </c>
      <c r="I317" s="17">
        <f t="shared" si="4"/>
        <v>1948</v>
      </c>
      <c r="J317" s="25" t="s">
        <v>1</v>
      </c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ht="33.75" customHeight="1">
      <c r="A318" s="11" t="s">
        <v>609</v>
      </c>
      <c r="B318" s="12"/>
      <c r="C318" s="11" t="s">
        <v>610</v>
      </c>
      <c r="D318" s="11"/>
      <c r="E318" s="64">
        <v>46010.0</v>
      </c>
      <c r="F318" s="14" t="s">
        <v>17</v>
      </c>
      <c r="G318" s="15" t="s">
        <v>21</v>
      </c>
      <c r="H318" s="16">
        <v>7822.0</v>
      </c>
      <c r="I318" s="17">
        <f t="shared" si="4"/>
        <v>2178</v>
      </c>
      <c r="J318" s="25" t="s">
        <v>1</v>
      </c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ht="33.75" customHeight="1">
      <c r="A319" s="11" t="s">
        <v>516</v>
      </c>
      <c r="B319" s="12"/>
      <c r="C319" s="11" t="s">
        <v>610</v>
      </c>
      <c r="D319" s="11"/>
      <c r="E319" s="64">
        <v>46010.0</v>
      </c>
      <c r="F319" s="14" t="s">
        <v>17</v>
      </c>
      <c r="G319" s="15" t="s">
        <v>611</v>
      </c>
      <c r="H319" s="16">
        <v>12011.0</v>
      </c>
      <c r="I319" s="17">
        <f t="shared" si="4"/>
        <v>5989</v>
      </c>
      <c r="J319" s="25" t="s">
        <v>1</v>
      </c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ht="33.75" customHeight="1">
      <c r="A320" s="11" t="s">
        <v>517</v>
      </c>
      <c r="B320" s="12"/>
      <c r="C320" s="11" t="s">
        <v>610</v>
      </c>
      <c r="D320" s="11"/>
      <c r="E320" s="64">
        <v>46010.0</v>
      </c>
      <c r="F320" s="14" t="s">
        <v>17</v>
      </c>
      <c r="G320" s="15" t="s">
        <v>110</v>
      </c>
      <c r="H320" s="16">
        <v>13500.0</v>
      </c>
      <c r="I320" s="17">
        <f t="shared" si="4"/>
        <v>6500</v>
      </c>
      <c r="J320" s="25" t="s">
        <v>1</v>
      </c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ht="33.75" customHeight="1">
      <c r="A321" s="11" t="s">
        <v>539</v>
      </c>
      <c r="B321" s="22" t="s">
        <v>37</v>
      </c>
      <c r="C321" s="11" t="s">
        <v>612</v>
      </c>
      <c r="D321" s="11"/>
      <c r="E321" s="76">
        <v>46010.0</v>
      </c>
      <c r="F321" s="14" t="s">
        <v>99</v>
      </c>
      <c r="G321" s="15" t="s">
        <v>613</v>
      </c>
      <c r="H321" s="16">
        <v>12557.0</v>
      </c>
      <c r="I321" s="17">
        <f t="shared" si="4"/>
        <v>2445</v>
      </c>
      <c r="J321" s="25" t="s">
        <v>1</v>
      </c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ht="33.75" customHeight="1">
      <c r="A322" s="11" t="s">
        <v>489</v>
      </c>
      <c r="B322" s="22" t="s">
        <v>37</v>
      </c>
      <c r="C322" s="11" t="s">
        <v>614</v>
      </c>
      <c r="D322" s="11"/>
      <c r="E322" s="76">
        <v>46010.0</v>
      </c>
      <c r="F322" s="14" t="s">
        <v>615</v>
      </c>
      <c r="G322" s="15" t="s">
        <v>616</v>
      </c>
      <c r="H322" s="16">
        <v>23203.0</v>
      </c>
      <c r="I322" s="17">
        <f t="shared" si="4"/>
        <v>10250</v>
      </c>
      <c r="J322" s="25" t="s">
        <v>1</v>
      </c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ht="33.75" customHeight="1">
      <c r="A323" s="11" t="s">
        <v>469</v>
      </c>
      <c r="B323" s="22" t="s">
        <v>181</v>
      </c>
      <c r="C323" s="11" t="s">
        <v>617</v>
      </c>
      <c r="D323" s="11"/>
      <c r="E323" s="76">
        <v>46010.0</v>
      </c>
      <c r="F323" s="14" t="s">
        <v>26</v>
      </c>
      <c r="G323" s="15" t="s">
        <v>618</v>
      </c>
      <c r="H323" s="16">
        <v>10853.0</v>
      </c>
      <c r="I323" s="17">
        <f t="shared" si="4"/>
        <v>1799</v>
      </c>
      <c r="J323" s="25" t="s">
        <v>1</v>
      </c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ht="33.75" customHeight="1">
      <c r="A324" s="11" t="s">
        <v>543</v>
      </c>
      <c r="B324" s="22" t="s">
        <v>619</v>
      </c>
      <c r="C324" s="11" t="s">
        <v>620</v>
      </c>
      <c r="D324" s="11"/>
      <c r="E324" s="76">
        <v>46010.0</v>
      </c>
      <c r="F324" s="14" t="s">
        <v>99</v>
      </c>
      <c r="G324" s="15" t="s">
        <v>21</v>
      </c>
      <c r="H324" s="16">
        <v>8511.0</v>
      </c>
      <c r="I324" s="17">
        <f t="shared" si="4"/>
        <v>1489</v>
      </c>
      <c r="J324" s="25" t="s">
        <v>1</v>
      </c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ht="33.75" customHeight="1">
      <c r="A325" s="11" t="s">
        <v>489</v>
      </c>
      <c r="B325" s="22" t="s">
        <v>323</v>
      </c>
      <c r="C325" s="11" t="s">
        <v>621</v>
      </c>
      <c r="D325" s="11"/>
      <c r="E325" s="76">
        <v>46010.0</v>
      </c>
      <c r="F325" s="14" t="s">
        <v>26</v>
      </c>
      <c r="G325" s="15" t="s">
        <v>616</v>
      </c>
      <c r="H325" s="16">
        <v>29032.0</v>
      </c>
      <c r="I325" s="17">
        <f t="shared" si="4"/>
        <v>4421</v>
      </c>
      <c r="J325" s="25" t="s">
        <v>1</v>
      </c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ht="33.75" customHeight="1">
      <c r="A326" s="11" t="s">
        <v>420</v>
      </c>
      <c r="B326" s="22" t="s">
        <v>622</v>
      </c>
      <c r="C326" s="11" t="s">
        <v>623</v>
      </c>
      <c r="D326" s="11"/>
      <c r="E326" s="76">
        <v>46010.0</v>
      </c>
      <c r="F326" s="14" t="s">
        <v>287</v>
      </c>
      <c r="G326" s="15" t="s">
        <v>624</v>
      </c>
      <c r="H326" s="16">
        <v>16099.0</v>
      </c>
      <c r="I326" s="17">
        <f t="shared" si="4"/>
        <v>17350</v>
      </c>
      <c r="J326" s="25" t="s">
        <v>1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ht="33.75" customHeight="1">
      <c r="A327" s="11" t="s">
        <v>625</v>
      </c>
      <c r="B327" s="22" t="s">
        <v>98</v>
      </c>
      <c r="C327" s="11" t="s">
        <v>626</v>
      </c>
      <c r="D327" s="11"/>
      <c r="E327" s="76">
        <v>46010.0</v>
      </c>
      <c r="F327" s="14" t="s">
        <v>287</v>
      </c>
      <c r="G327" s="15" t="s">
        <v>21</v>
      </c>
      <c r="H327" s="16">
        <v>5869.0</v>
      </c>
      <c r="I327" s="17">
        <f t="shared" si="4"/>
        <v>4131</v>
      </c>
      <c r="J327" s="25" t="s">
        <v>1</v>
      </c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ht="33.75" customHeight="1">
      <c r="A328" s="11" t="s">
        <v>135</v>
      </c>
      <c r="B328" s="22" t="s">
        <v>15</v>
      </c>
      <c r="C328" s="11" t="s">
        <v>627</v>
      </c>
      <c r="D328" s="11"/>
      <c r="E328" s="76">
        <v>46010.0</v>
      </c>
      <c r="F328" s="14" t="s">
        <v>26</v>
      </c>
      <c r="G328" s="15" t="s">
        <v>628</v>
      </c>
      <c r="H328" s="16">
        <v>25689.0</v>
      </c>
      <c r="I328" s="17">
        <f t="shared" si="4"/>
        <v>2867</v>
      </c>
      <c r="J328" s="25" t="s">
        <v>1</v>
      </c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ht="33.75" customHeight="1">
      <c r="A329" s="11" t="s">
        <v>295</v>
      </c>
      <c r="B329" s="22" t="s">
        <v>140</v>
      </c>
      <c r="C329" s="11" t="s">
        <v>629</v>
      </c>
      <c r="D329" s="11"/>
      <c r="E329" s="76">
        <v>46010.0</v>
      </c>
      <c r="F329" s="14" t="s">
        <v>17</v>
      </c>
      <c r="G329" s="15" t="s">
        <v>630</v>
      </c>
      <c r="H329" s="16">
        <v>20693.0</v>
      </c>
      <c r="I329" s="17">
        <f t="shared" si="4"/>
        <v>9648</v>
      </c>
      <c r="J329" s="25" t="s">
        <v>1</v>
      </c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ht="33.75" customHeight="1">
      <c r="A330" s="11" t="s">
        <v>546</v>
      </c>
      <c r="B330" s="22" t="s">
        <v>140</v>
      </c>
      <c r="C330" s="11" t="s">
        <v>631</v>
      </c>
      <c r="D330" s="11"/>
      <c r="E330" s="76">
        <v>46010.0</v>
      </c>
      <c r="F330" s="14" t="s">
        <v>99</v>
      </c>
      <c r="G330" s="15" t="s">
        <v>632</v>
      </c>
      <c r="H330" s="16">
        <v>8169.0</v>
      </c>
      <c r="I330" s="17">
        <f t="shared" si="4"/>
        <v>1345</v>
      </c>
      <c r="J330" s="25" t="s">
        <v>1</v>
      </c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ht="33.75" customHeight="1">
      <c r="A331" s="11" t="s">
        <v>633</v>
      </c>
      <c r="B331" s="22" t="s">
        <v>85</v>
      </c>
      <c r="C331" s="11" t="s">
        <v>634</v>
      </c>
      <c r="D331" s="11"/>
      <c r="E331" s="64">
        <v>46011.0</v>
      </c>
      <c r="F331" s="14" t="s">
        <v>26</v>
      </c>
      <c r="G331" s="15" t="s">
        <v>110</v>
      </c>
      <c r="H331" s="16">
        <v>13965.0</v>
      </c>
      <c r="I331" s="17">
        <f t="shared" si="4"/>
        <v>6035</v>
      </c>
      <c r="J331" s="25" t="s">
        <v>1</v>
      </c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ht="33.75" customHeight="1">
      <c r="A332" s="11" t="s">
        <v>216</v>
      </c>
      <c r="B332" s="22" t="s">
        <v>88</v>
      </c>
      <c r="C332" s="11" t="s">
        <v>635</v>
      </c>
      <c r="D332" s="11"/>
      <c r="E332" s="64">
        <v>46011.0</v>
      </c>
      <c r="F332" s="14" t="s">
        <v>287</v>
      </c>
      <c r="G332" s="15" t="s">
        <v>636</v>
      </c>
      <c r="H332" s="16">
        <v>35106.0</v>
      </c>
      <c r="I332" s="17">
        <f t="shared" si="4"/>
        <v>1135</v>
      </c>
      <c r="J332" s="25" t="s">
        <v>1</v>
      </c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ht="33.75" customHeight="1">
      <c r="A333" s="11" t="s">
        <v>101</v>
      </c>
      <c r="B333" s="22" t="s">
        <v>31</v>
      </c>
      <c r="C333" s="11" t="s">
        <v>637</v>
      </c>
      <c r="D333" s="11"/>
      <c r="E333" s="64">
        <v>46011.0</v>
      </c>
      <c r="F333" s="14" t="s">
        <v>17</v>
      </c>
      <c r="G333" s="15" t="s">
        <v>638</v>
      </c>
      <c r="H333" s="16">
        <v>17143.0</v>
      </c>
      <c r="I333" s="17">
        <f t="shared" si="4"/>
        <v>608</v>
      </c>
      <c r="J333" s="25" t="s">
        <v>1</v>
      </c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ht="33.75" customHeight="1">
      <c r="A334" s="11" t="s">
        <v>577</v>
      </c>
      <c r="B334" s="22" t="s">
        <v>31</v>
      </c>
      <c r="C334" s="11" t="s">
        <v>639</v>
      </c>
      <c r="D334" s="11"/>
      <c r="E334" s="64">
        <v>46011.0</v>
      </c>
      <c r="F334" s="14" t="s">
        <v>17</v>
      </c>
      <c r="G334" s="15" t="s">
        <v>640</v>
      </c>
      <c r="H334" s="16">
        <v>12967.0</v>
      </c>
      <c r="I334" s="17">
        <f t="shared" si="4"/>
        <v>2418</v>
      </c>
      <c r="J334" s="25" t="s"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ht="33.75" customHeight="1">
      <c r="A335" s="11" t="s">
        <v>132</v>
      </c>
      <c r="B335" s="22" t="s">
        <v>641</v>
      </c>
      <c r="C335" s="11" t="s">
        <v>642</v>
      </c>
      <c r="D335" s="11"/>
      <c r="E335" s="64">
        <v>46011.0</v>
      </c>
      <c r="F335" s="14" t="s">
        <v>615</v>
      </c>
      <c r="G335" s="15" t="s">
        <v>643</v>
      </c>
      <c r="H335" s="16">
        <v>11094.0</v>
      </c>
      <c r="I335" s="17">
        <f t="shared" si="4"/>
        <v>2533</v>
      </c>
      <c r="J335" s="25" t="s"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ht="33.75" customHeight="1">
      <c r="A336" s="11" t="s">
        <v>509</v>
      </c>
      <c r="B336" s="22" t="s">
        <v>49</v>
      </c>
      <c r="C336" s="11" t="s">
        <v>644</v>
      </c>
      <c r="D336" s="11"/>
      <c r="E336" s="64">
        <v>46012.0</v>
      </c>
      <c r="F336" s="14" t="s">
        <v>26</v>
      </c>
      <c r="G336" s="15" t="s">
        <v>21</v>
      </c>
      <c r="H336" s="16">
        <v>8104.0</v>
      </c>
      <c r="I336" s="17">
        <f t="shared" si="4"/>
        <v>1896</v>
      </c>
      <c r="J336" s="25" t="s"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ht="33.75" customHeight="1">
      <c r="A337" s="11" t="s">
        <v>489</v>
      </c>
      <c r="B337" s="22" t="s">
        <v>91</v>
      </c>
      <c r="C337" s="11" t="s">
        <v>645</v>
      </c>
      <c r="D337" s="11"/>
      <c r="E337" s="64">
        <v>46012.0</v>
      </c>
      <c r="F337" s="14" t="s">
        <v>26</v>
      </c>
      <c r="G337" s="15" t="s">
        <v>513</v>
      </c>
      <c r="H337" s="16">
        <v>12384.0</v>
      </c>
      <c r="I337" s="17">
        <f t="shared" si="4"/>
        <v>17616</v>
      </c>
      <c r="J337" s="25" t="s">
        <v>1</v>
      </c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ht="33.75" customHeight="1">
      <c r="A338" s="11" t="s">
        <v>276</v>
      </c>
      <c r="B338" s="22" t="s">
        <v>31</v>
      </c>
      <c r="C338" s="11" t="s">
        <v>646</v>
      </c>
      <c r="D338" s="11"/>
      <c r="E338" s="64">
        <v>46012.0</v>
      </c>
      <c r="F338" s="14" t="s">
        <v>17</v>
      </c>
      <c r="G338" s="15" t="s">
        <v>117</v>
      </c>
      <c r="H338" s="16">
        <v>56533.0</v>
      </c>
      <c r="I338" s="17">
        <f t="shared" si="4"/>
        <v>23467</v>
      </c>
      <c r="J338" s="25" t="s">
        <v>1</v>
      </c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ht="33.75" customHeight="1">
      <c r="A339" s="11" t="s">
        <v>216</v>
      </c>
      <c r="B339" s="22" t="s">
        <v>31</v>
      </c>
      <c r="C339" s="11" t="s">
        <v>635</v>
      </c>
      <c r="D339" s="11"/>
      <c r="E339" s="64">
        <v>46012.0</v>
      </c>
      <c r="F339" s="14" t="s">
        <v>99</v>
      </c>
      <c r="G339" s="38" t="s">
        <v>636</v>
      </c>
      <c r="H339" s="16">
        <v>19737.0</v>
      </c>
      <c r="I339" s="17">
        <f t="shared" si="4"/>
        <v>16504</v>
      </c>
      <c r="J339" s="25" t="s">
        <v>1</v>
      </c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ht="33.75" customHeight="1">
      <c r="A340" s="11" t="s">
        <v>647</v>
      </c>
      <c r="B340" s="22" t="s">
        <v>619</v>
      </c>
      <c r="C340" s="77" t="s">
        <v>648</v>
      </c>
      <c r="D340" s="77"/>
      <c r="E340" s="64">
        <v>46012.0</v>
      </c>
      <c r="F340" s="14" t="s">
        <v>26</v>
      </c>
      <c r="G340" s="15" t="s">
        <v>649</v>
      </c>
      <c r="H340" s="16">
        <v>7057.0</v>
      </c>
      <c r="I340" s="17">
        <f t="shared" si="4"/>
        <v>1087</v>
      </c>
      <c r="J340" s="25" t="s">
        <v>1</v>
      </c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ht="33.75" customHeight="1">
      <c r="A341" s="11" t="s">
        <v>276</v>
      </c>
      <c r="B341" s="22" t="s">
        <v>31</v>
      </c>
      <c r="C341" s="11" t="s">
        <v>650</v>
      </c>
      <c r="D341" s="11"/>
      <c r="E341" s="64">
        <v>46012.0</v>
      </c>
      <c r="F341" s="14" t="s">
        <v>17</v>
      </c>
      <c r="G341" s="15" t="s">
        <v>651</v>
      </c>
      <c r="H341" s="16">
        <v>53522.0</v>
      </c>
      <c r="I341" s="17">
        <f t="shared" si="4"/>
        <v>36478</v>
      </c>
      <c r="J341" s="25" t="s">
        <v>1</v>
      </c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ht="33.75" customHeight="1">
      <c r="A342" s="11" t="s">
        <v>135</v>
      </c>
      <c r="B342" s="22" t="s">
        <v>98</v>
      </c>
      <c r="C342" s="11" t="s">
        <v>652</v>
      </c>
      <c r="D342" s="11"/>
      <c r="E342" s="64">
        <v>46012.0</v>
      </c>
      <c r="F342" s="14" t="s">
        <v>99</v>
      </c>
      <c r="G342" s="15" t="s">
        <v>653</v>
      </c>
      <c r="H342" s="16">
        <v>21417.0</v>
      </c>
      <c r="I342" s="17">
        <f t="shared" si="4"/>
        <v>1620</v>
      </c>
      <c r="J342" s="25" t="s">
        <v>1</v>
      </c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ht="33.75" customHeight="1">
      <c r="A343" s="11" t="s">
        <v>115</v>
      </c>
      <c r="B343" s="30" t="s">
        <v>91</v>
      </c>
      <c r="C343" s="43" t="s">
        <v>654</v>
      </c>
      <c r="D343" s="29"/>
      <c r="E343" s="78" t="s">
        <v>655</v>
      </c>
      <c r="F343" s="14" t="s">
        <v>287</v>
      </c>
      <c r="G343" s="15" t="s">
        <v>272</v>
      </c>
      <c r="H343" s="16">
        <v>45545.0</v>
      </c>
      <c r="I343" s="17">
        <f t="shared" si="4"/>
        <v>4455</v>
      </c>
      <c r="J343" s="25" t="s">
        <v>1</v>
      </c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ht="33.75" customHeight="1">
      <c r="A344" s="11" t="s">
        <v>115</v>
      </c>
      <c r="B344" s="30" t="s">
        <v>91</v>
      </c>
      <c r="C344" s="43" t="s">
        <v>656</v>
      </c>
      <c r="D344" s="29"/>
      <c r="E344" s="79" t="s">
        <v>655</v>
      </c>
      <c r="F344" s="14" t="s">
        <v>287</v>
      </c>
      <c r="G344" s="15" t="s">
        <v>272</v>
      </c>
      <c r="H344" s="16">
        <v>40238.0</v>
      </c>
      <c r="I344" s="17">
        <f t="shared" si="4"/>
        <v>9762</v>
      </c>
      <c r="J344" s="25" t="s">
        <v>1</v>
      </c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ht="33.75" customHeight="1">
      <c r="A345" s="11" t="s">
        <v>115</v>
      </c>
      <c r="B345" s="30" t="s">
        <v>91</v>
      </c>
      <c r="C345" s="80" t="s">
        <v>657</v>
      </c>
      <c r="D345" s="80"/>
      <c r="E345" s="81" t="s">
        <v>655</v>
      </c>
      <c r="F345" s="14" t="s">
        <v>287</v>
      </c>
      <c r="G345" s="15" t="s">
        <v>272</v>
      </c>
      <c r="H345" s="16">
        <v>43573.0</v>
      </c>
      <c r="I345" s="17">
        <f t="shared" si="4"/>
        <v>6427</v>
      </c>
      <c r="J345" s="25" t="s">
        <v>1</v>
      </c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ht="33.75" customHeight="1">
      <c r="A346" s="11" t="s">
        <v>40</v>
      </c>
      <c r="B346" s="22" t="s">
        <v>98</v>
      </c>
      <c r="C346" s="11" t="s">
        <v>658</v>
      </c>
      <c r="D346" s="11"/>
      <c r="E346" s="64">
        <v>46012.0</v>
      </c>
      <c r="F346" s="14" t="s">
        <v>17</v>
      </c>
      <c r="G346" s="15" t="s">
        <v>659</v>
      </c>
      <c r="H346" s="16">
        <v>23482.0</v>
      </c>
      <c r="I346" s="17">
        <f t="shared" si="4"/>
        <v>1719</v>
      </c>
      <c r="J346" s="25" t="s">
        <v>1</v>
      </c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ht="33.75" customHeight="1">
      <c r="A347" s="11" t="s">
        <v>509</v>
      </c>
      <c r="B347" s="22" t="s">
        <v>660</v>
      </c>
      <c r="C347" s="11" t="s">
        <v>644</v>
      </c>
      <c r="D347" s="11"/>
      <c r="E347" s="64">
        <v>46012.0</v>
      </c>
      <c r="F347" s="14" t="s">
        <v>26</v>
      </c>
      <c r="G347" s="15" t="s">
        <v>110</v>
      </c>
      <c r="H347" s="16">
        <v>19545.0</v>
      </c>
      <c r="I347" s="17" t="str">
        <f>G347-#REF!</f>
        <v>#REF!</v>
      </c>
      <c r="J347" s="25" t="s">
        <v>1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ht="33.75" customHeight="1">
      <c r="A348" s="11" t="s">
        <v>453</v>
      </c>
      <c r="B348" s="22" t="s">
        <v>661</v>
      </c>
      <c r="C348" s="11" t="s">
        <v>662</v>
      </c>
      <c r="D348" s="11"/>
      <c r="E348" s="64">
        <v>46012.0</v>
      </c>
      <c r="F348" s="14" t="s">
        <v>663</v>
      </c>
      <c r="G348" s="15" t="s">
        <v>272</v>
      </c>
      <c r="H348" s="16">
        <v>38389.0</v>
      </c>
      <c r="I348" s="17">
        <f t="shared" ref="I348:I369" si="5">G348-H348</f>
        <v>11611</v>
      </c>
      <c r="J348" s="25" t="s">
        <v>1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ht="33.75" customHeight="1">
      <c r="A349" s="11" t="s">
        <v>664</v>
      </c>
      <c r="B349" s="22" t="s">
        <v>49</v>
      </c>
      <c r="C349" s="11" t="s">
        <v>665</v>
      </c>
      <c r="D349" s="11"/>
      <c r="E349" s="64">
        <v>46013.0</v>
      </c>
      <c r="F349" s="14" t="s">
        <v>99</v>
      </c>
      <c r="G349" s="15" t="s">
        <v>21</v>
      </c>
      <c r="H349" s="16">
        <v>9708.0</v>
      </c>
      <c r="I349" s="17">
        <f t="shared" si="5"/>
        <v>292</v>
      </c>
      <c r="J349" s="25" t="s">
        <v>1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ht="33.75" customHeight="1">
      <c r="A350" s="11" t="s">
        <v>373</v>
      </c>
      <c r="B350" s="22" t="s">
        <v>88</v>
      </c>
      <c r="C350" s="11" t="s">
        <v>666</v>
      </c>
      <c r="D350" s="11"/>
      <c r="E350" s="64">
        <v>46013.0</v>
      </c>
      <c r="F350" s="14" t="s">
        <v>17</v>
      </c>
      <c r="G350" s="15" t="s">
        <v>21</v>
      </c>
      <c r="H350" s="16">
        <v>8969.0</v>
      </c>
      <c r="I350" s="17">
        <f t="shared" si="5"/>
        <v>1031</v>
      </c>
      <c r="J350" s="25" t="s">
        <v>1</v>
      </c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ht="33.75" customHeight="1">
      <c r="A351" s="11" t="s">
        <v>667</v>
      </c>
      <c r="B351" s="22" t="s">
        <v>88</v>
      </c>
      <c r="C351" s="11" t="s">
        <v>666</v>
      </c>
      <c r="D351" s="11"/>
      <c r="E351" s="64">
        <v>46013.0</v>
      </c>
      <c r="F351" s="14" t="s">
        <v>17</v>
      </c>
      <c r="G351" s="15" t="s">
        <v>21</v>
      </c>
      <c r="H351" s="16">
        <v>7561.0</v>
      </c>
      <c r="I351" s="17">
        <f t="shared" si="5"/>
        <v>2439</v>
      </c>
      <c r="J351" s="25" t="s">
        <v>1</v>
      </c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ht="33.75" customHeight="1">
      <c r="A352" s="11" t="s">
        <v>489</v>
      </c>
      <c r="B352" s="22" t="s">
        <v>91</v>
      </c>
      <c r="C352" s="11" t="s">
        <v>668</v>
      </c>
      <c r="D352" s="11"/>
      <c r="E352" s="64">
        <v>46013.0</v>
      </c>
      <c r="F352" s="14" t="s">
        <v>287</v>
      </c>
      <c r="G352" s="15" t="s">
        <v>669</v>
      </c>
      <c r="H352" s="16">
        <v>30321.0</v>
      </c>
      <c r="I352" s="17">
        <f t="shared" si="5"/>
        <v>13487</v>
      </c>
      <c r="J352" s="25" t="s">
        <v>1</v>
      </c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ht="33.75" customHeight="1">
      <c r="A353" s="11" t="s">
        <v>489</v>
      </c>
      <c r="B353" s="22" t="s">
        <v>91</v>
      </c>
      <c r="C353" s="11" t="s">
        <v>670</v>
      </c>
      <c r="D353" s="11"/>
      <c r="E353" s="64">
        <v>46013.0</v>
      </c>
      <c r="F353" s="14" t="s">
        <v>287</v>
      </c>
      <c r="G353" s="15" t="s">
        <v>669</v>
      </c>
      <c r="H353" s="16">
        <v>29309.0</v>
      </c>
      <c r="I353" s="17">
        <f t="shared" si="5"/>
        <v>14499</v>
      </c>
      <c r="J353" s="25" t="s"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ht="33.75" customHeight="1">
      <c r="A354" s="11" t="s">
        <v>671</v>
      </c>
      <c r="B354" s="22" t="s">
        <v>619</v>
      </c>
      <c r="C354" s="11" t="s">
        <v>672</v>
      </c>
      <c r="D354" s="11"/>
      <c r="E354" s="64">
        <v>46013.0</v>
      </c>
      <c r="F354" s="14" t="s">
        <v>17</v>
      </c>
      <c r="G354" s="15" t="s">
        <v>673</v>
      </c>
      <c r="H354" s="16">
        <v>9071.0</v>
      </c>
      <c r="I354" s="17">
        <f t="shared" si="5"/>
        <v>2183</v>
      </c>
      <c r="J354" s="25" t="s"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ht="33.75" customHeight="1">
      <c r="A355" s="11" t="s">
        <v>674</v>
      </c>
      <c r="B355" s="22" t="s">
        <v>530</v>
      </c>
      <c r="C355" s="11" t="s">
        <v>675</v>
      </c>
      <c r="D355" s="11"/>
      <c r="E355" s="64">
        <v>46013.0</v>
      </c>
      <c r="F355" s="14" t="s">
        <v>99</v>
      </c>
      <c r="G355" s="15" t="s">
        <v>21</v>
      </c>
      <c r="H355" s="16">
        <v>8310.0</v>
      </c>
      <c r="I355" s="17">
        <f t="shared" si="5"/>
        <v>1690</v>
      </c>
      <c r="J355" s="25" t="s"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ht="33.75" customHeight="1">
      <c r="A356" s="11" t="s">
        <v>676</v>
      </c>
      <c r="B356" s="22" t="s">
        <v>237</v>
      </c>
      <c r="C356" s="11" t="s">
        <v>677</v>
      </c>
      <c r="D356" s="11"/>
      <c r="E356" s="64">
        <v>46013.0</v>
      </c>
      <c r="F356" s="14" t="s">
        <v>287</v>
      </c>
      <c r="G356" s="15" t="s">
        <v>21</v>
      </c>
      <c r="H356" s="16">
        <v>6091.0</v>
      </c>
      <c r="I356" s="17">
        <f t="shared" si="5"/>
        <v>3909</v>
      </c>
      <c r="J356" s="25" t="s">
        <v>1</v>
      </c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ht="33.75" customHeight="1">
      <c r="A357" s="11" t="s">
        <v>678</v>
      </c>
      <c r="B357" s="22" t="s">
        <v>237</v>
      </c>
      <c r="C357" s="11" t="s">
        <v>679</v>
      </c>
      <c r="D357" s="11"/>
      <c r="E357" s="64">
        <v>46013.0</v>
      </c>
      <c r="F357" s="14" t="s">
        <v>99</v>
      </c>
      <c r="G357" s="15" t="s">
        <v>21</v>
      </c>
      <c r="H357" s="16">
        <v>9056.0</v>
      </c>
      <c r="I357" s="17">
        <f t="shared" si="5"/>
        <v>944</v>
      </c>
      <c r="J357" s="25" t="s">
        <v>1</v>
      </c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ht="33.75" customHeight="1">
      <c r="A358" s="11" t="s">
        <v>680</v>
      </c>
      <c r="B358" s="22" t="s">
        <v>681</v>
      </c>
      <c r="C358" s="11" t="s">
        <v>682</v>
      </c>
      <c r="D358" s="11"/>
      <c r="E358" s="64">
        <v>46013.0</v>
      </c>
      <c r="F358" s="14" t="s">
        <v>287</v>
      </c>
      <c r="G358" s="15" t="s">
        <v>21</v>
      </c>
      <c r="H358" s="16">
        <v>8997.0</v>
      </c>
      <c r="I358" s="17">
        <f t="shared" si="5"/>
        <v>1003</v>
      </c>
      <c r="J358" s="25" t="s">
        <v>1</v>
      </c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ht="33.75" customHeight="1">
      <c r="A359" s="11" t="s">
        <v>288</v>
      </c>
      <c r="B359" s="22" t="s">
        <v>237</v>
      </c>
      <c r="C359" s="11" t="s">
        <v>683</v>
      </c>
      <c r="D359" s="11"/>
      <c r="E359" s="64">
        <v>46013.0</v>
      </c>
      <c r="F359" s="14" t="s">
        <v>17</v>
      </c>
      <c r="G359" s="15" t="s">
        <v>684</v>
      </c>
      <c r="H359" s="16">
        <v>31037.0</v>
      </c>
      <c r="I359" s="17">
        <f t="shared" si="5"/>
        <v>3963</v>
      </c>
      <c r="J359" s="25" t="s">
        <v>1</v>
      </c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ht="33.75" customHeight="1">
      <c r="A360" s="11" t="s">
        <v>40</v>
      </c>
      <c r="B360" s="22" t="s">
        <v>34</v>
      </c>
      <c r="C360" s="11" t="s">
        <v>685</v>
      </c>
      <c r="D360" s="11"/>
      <c r="E360" s="64">
        <v>46013.0</v>
      </c>
      <c r="F360" s="14" t="s">
        <v>17</v>
      </c>
      <c r="G360" s="15" t="s">
        <v>272</v>
      </c>
      <c r="H360" s="16">
        <v>42325.0</v>
      </c>
      <c r="I360" s="17">
        <f t="shared" si="5"/>
        <v>7675</v>
      </c>
      <c r="J360" s="25" t="s">
        <v>1</v>
      </c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ht="33.75" customHeight="1">
      <c r="A361" s="11" t="s">
        <v>686</v>
      </c>
      <c r="B361" s="22" t="s">
        <v>34</v>
      </c>
      <c r="C361" s="11" t="s">
        <v>687</v>
      </c>
      <c r="D361" s="11"/>
      <c r="E361" s="64">
        <v>46013.0</v>
      </c>
      <c r="F361" s="14" t="s">
        <v>99</v>
      </c>
      <c r="G361" s="15" t="s">
        <v>272</v>
      </c>
      <c r="H361" s="16">
        <v>41983.0</v>
      </c>
      <c r="I361" s="17">
        <f t="shared" si="5"/>
        <v>8017</v>
      </c>
      <c r="J361" s="25" t="s">
        <v>1</v>
      </c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ht="33.75" customHeight="1">
      <c r="A362" s="11" t="s">
        <v>688</v>
      </c>
      <c r="B362" s="22" t="s">
        <v>34</v>
      </c>
      <c r="C362" s="11" t="s">
        <v>689</v>
      </c>
      <c r="D362" s="11"/>
      <c r="E362" s="64">
        <v>46013.0</v>
      </c>
      <c r="F362" s="14" t="s">
        <v>287</v>
      </c>
      <c r="G362" s="15" t="s">
        <v>21</v>
      </c>
      <c r="H362" s="16">
        <v>8126.0</v>
      </c>
      <c r="I362" s="17">
        <f t="shared" si="5"/>
        <v>1874</v>
      </c>
      <c r="J362" s="25" t="s">
        <v>1</v>
      </c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ht="33.75" customHeight="1">
      <c r="A363" s="11" t="s">
        <v>647</v>
      </c>
      <c r="B363" s="22" t="s">
        <v>323</v>
      </c>
      <c r="C363" s="11" t="s">
        <v>690</v>
      </c>
      <c r="D363" s="11"/>
      <c r="E363" s="64">
        <v>46013.0</v>
      </c>
      <c r="F363" s="14" t="s">
        <v>99</v>
      </c>
      <c r="G363" s="15" t="s">
        <v>21</v>
      </c>
      <c r="H363" s="16">
        <v>7231.0</v>
      </c>
      <c r="I363" s="17">
        <f t="shared" si="5"/>
        <v>2769</v>
      </c>
      <c r="J363" s="25" t="s">
        <v>1</v>
      </c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ht="33.75" customHeight="1">
      <c r="A364" s="11" t="s">
        <v>691</v>
      </c>
      <c r="B364" s="22" t="s">
        <v>248</v>
      </c>
      <c r="C364" s="11" t="s">
        <v>692</v>
      </c>
      <c r="D364" s="11"/>
      <c r="E364" s="64">
        <v>46013.0</v>
      </c>
      <c r="F364" s="14" t="s">
        <v>287</v>
      </c>
      <c r="G364" s="15" t="s">
        <v>21</v>
      </c>
      <c r="H364" s="16">
        <v>9815.0</v>
      </c>
      <c r="I364" s="17">
        <f t="shared" si="5"/>
        <v>185</v>
      </c>
      <c r="J364" s="25" t="s">
        <v>1</v>
      </c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ht="33.75" customHeight="1">
      <c r="A365" s="11" t="s">
        <v>693</v>
      </c>
      <c r="B365" s="22" t="s">
        <v>49</v>
      </c>
      <c r="C365" s="11" t="s">
        <v>694</v>
      </c>
      <c r="D365" s="11"/>
      <c r="E365" s="64">
        <v>46014.0</v>
      </c>
      <c r="F365" s="14" t="s">
        <v>17</v>
      </c>
      <c r="G365" s="15" t="s">
        <v>21</v>
      </c>
      <c r="H365" s="16">
        <v>8946.0</v>
      </c>
      <c r="I365" s="17">
        <f t="shared" si="5"/>
        <v>1054</v>
      </c>
      <c r="J365" s="25" t="s">
        <v>1</v>
      </c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ht="33.75" customHeight="1">
      <c r="A366" s="11" t="s">
        <v>695</v>
      </c>
      <c r="B366" s="22" t="s">
        <v>49</v>
      </c>
      <c r="C366" s="11" t="s">
        <v>694</v>
      </c>
      <c r="D366" s="11"/>
      <c r="E366" s="64">
        <v>46014.0</v>
      </c>
      <c r="F366" s="14" t="s">
        <v>17</v>
      </c>
      <c r="G366" s="15" t="s">
        <v>21</v>
      </c>
      <c r="H366" s="16">
        <v>7713.0</v>
      </c>
      <c r="I366" s="17">
        <f t="shared" si="5"/>
        <v>2287</v>
      </c>
      <c r="J366" s="25" t="s">
        <v>1</v>
      </c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ht="33.75" customHeight="1">
      <c r="A367" s="82" t="s">
        <v>109</v>
      </c>
      <c r="B367" s="83" t="s">
        <v>49</v>
      </c>
      <c r="C367" s="82" t="s">
        <v>694</v>
      </c>
      <c r="D367" s="82"/>
      <c r="E367" s="84">
        <v>46014.0</v>
      </c>
      <c r="F367" s="85" t="s">
        <v>17</v>
      </c>
      <c r="G367" s="86" t="s">
        <v>72</v>
      </c>
      <c r="H367" s="87"/>
      <c r="I367" s="88">
        <f t="shared" si="5"/>
        <v>15000</v>
      </c>
      <c r="J367" s="89" t="s">
        <v>696</v>
      </c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ht="33.75" customHeight="1">
      <c r="A368" s="11" t="s">
        <v>586</v>
      </c>
      <c r="B368" s="22" t="s">
        <v>49</v>
      </c>
      <c r="C368" s="11" t="s">
        <v>697</v>
      </c>
      <c r="D368" s="11"/>
      <c r="E368" s="64">
        <v>46014.0</v>
      </c>
      <c r="F368" s="14" t="s">
        <v>17</v>
      </c>
      <c r="G368" s="15" t="s">
        <v>21</v>
      </c>
      <c r="H368" s="16">
        <v>9352.0</v>
      </c>
      <c r="I368" s="17">
        <f t="shared" si="5"/>
        <v>648</v>
      </c>
      <c r="J368" s="25" t="s">
        <v>1</v>
      </c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ht="33.75" customHeight="1">
      <c r="A369" s="11" t="s">
        <v>609</v>
      </c>
      <c r="B369" s="22" t="s">
        <v>49</v>
      </c>
      <c r="C369" s="11" t="s">
        <v>697</v>
      </c>
      <c r="D369" s="11"/>
      <c r="E369" s="64">
        <v>46014.0</v>
      </c>
      <c r="F369" s="14" t="s">
        <v>17</v>
      </c>
      <c r="G369" s="15" t="s">
        <v>21</v>
      </c>
      <c r="H369" s="16">
        <v>8421.0</v>
      </c>
      <c r="I369" s="17">
        <f t="shared" si="5"/>
        <v>1579</v>
      </c>
      <c r="J369" s="25" t="s">
        <v>1</v>
      </c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ht="33.75" customHeight="1">
      <c r="A370" s="11" t="s">
        <v>446</v>
      </c>
      <c r="B370" s="22" t="s">
        <v>49</v>
      </c>
      <c r="C370" s="11"/>
      <c r="D370" s="11"/>
      <c r="E370" s="64" t="s">
        <v>698</v>
      </c>
      <c r="F370" s="14" t="s">
        <v>503</v>
      </c>
      <c r="G370" s="15"/>
      <c r="H370" s="16">
        <v>7331.0</v>
      </c>
      <c r="I370" s="17"/>
      <c r="J370" s="25" t="s">
        <v>1</v>
      </c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ht="33.75" customHeight="1">
      <c r="A371" s="11" t="s">
        <v>489</v>
      </c>
      <c r="B371" s="22" t="s">
        <v>91</v>
      </c>
      <c r="C371" s="11" t="s">
        <v>699</v>
      </c>
      <c r="D371" s="11"/>
      <c r="E371" s="64" t="s">
        <v>698</v>
      </c>
      <c r="F371" s="14" t="s">
        <v>99</v>
      </c>
      <c r="G371" s="15" t="s">
        <v>21</v>
      </c>
      <c r="H371" s="16">
        <v>9421.0</v>
      </c>
      <c r="I371" s="17">
        <f t="shared" ref="I371:I395" si="6">G371-H371</f>
        <v>579</v>
      </c>
      <c r="J371" s="91" t="s">
        <v>700</v>
      </c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33.75" customHeight="1">
      <c r="A372" s="11" t="s">
        <v>701</v>
      </c>
      <c r="B372" s="22" t="s">
        <v>31</v>
      </c>
      <c r="C372" s="11" t="s">
        <v>702</v>
      </c>
      <c r="D372" s="11"/>
      <c r="E372" s="64" t="s">
        <v>698</v>
      </c>
      <c r="F372" s="14" t="s">
        <v>17</v>
      </c>
      <c r="G372" s="15" t="s">
        <v>703</v>
      </c>
      <c r="H372" s="16">
        <v>11642.0</v>
      </c>
      <c r="I372" s="17">
        <f t="shared" si="6"/>
        <v>858</v>
      </c>
      <c r="J372" s="25" t="s">
        <v>1</v>
      </c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ht="33.75" customHeight="1">
      <c r="A373" s="11" t="s">
        <v>704</v>
      </c>
      <c r="B373" s="22" t="s">
        <v>31</v>
      </c>
      <c r="C373" s="11" t="s">
        <v>705</v>
      </c>
      <c r="D373" s="11"/>
      <c r="E373" s="76" t="s">
        <v>698</v>
      </c>
      <c r="F373" s="14" t="s">
        <v>17</v>
      </c>
      <c r="G373" s="15" t="s">
        <v>21</v>
      </c>
      <c r="H373" s="16">
        <v>7313.0</v>
      </c>
      <c r="I373" s="17">
        <f t="shared" si="6"/>
        <v>2687</v>
      </c>
      <c r="J373" s="25" t="s">
        <v>1</v>
      </c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ht="33.75" customHeight="1">
      <c r="A374" s="11" t="s">
        <v>691</v>
      </c>
      <c r="B374" s="22" t="s">
        <v>91</v>
      </c>
      <c r="C374" s="11" t="s">
        <v>706</v>
      </c>
      <c r="D374" s="11"/>
      <c r="E374" s="76" t="s">
        <v>698</v>
      </c>
      <c r="F374" s="14" t="s">
        <v>17</v>
      </c>
      <c r="G374" s="15" t="s">
        <v>707</v>
      </c>
      <c r="H374" s="16">
        <v>20321.0</v>
      </c>
      <c r="I374" s="17">
        <f t="shared" si="6"/>
        <v>1861</v>
      </c>
      <c r="J374" s="25" t="s"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ht="33.75" customHeight="1">
      <c r="A375" s="11" t="s">
        <v>647</v>
      </c>
      <c r="B375" s="22" t="s">
        <v>161</v>
      </c>
      <c r="C375" s="11" t="s">
        <v>708</v>
      </c>
      <c r="D375" s="11"/>
      <c r="E375" s="76" t="s">
        <v>698</v>
      </c>
      <c r="F375" s="14" t="s">
        <v>99</v>
      </c>
      <c r="G375" s="15" t="s">
        <v>709</v>
      </c>
      <c r="H375" s="16">
        <v>18421.0</v>
      </c>
      <c r="I375" s="17">
        <f t="shared" si="6"/>
        <v>1832</v>
      </c>
      <c r="J375" s="25" t="s"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ht="33.75" customHeight="1">
      <c r="A376" s="11" t="s">
        <v>135</v>
      </c>
      <c r="B376" s="22" t="s">
        <v>161</v>
      </c>
      <c r="C376" s="11" t="s">
        <v>710</v>
      </c>
      <c r="D376" s="11"/>
      <c r="E376" s="64">
        <v>46013.0</v>
      </c>
      <c r="F376" s="14" t="s">
        <v>17</v>
      </c>
      <c r="G376" s="15" t="s">
        <v>711</v>
      </c>
      <c r="H376" s="16">
        <v>21951.0</v>
      </c>
      <c r="I376" s="17">
        <f t="shared" si="6"/>
        <v>1085</v>
      </c>
      <c r="J376" s="25" t="s"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ht="33.75" customHeight="1">
      <c r="A377" s="11" t="s">
        <v>712</v>
      </c>
      <c r="B377" s="22" t="s">
        <v>530</v>
      </c>
      <c r="C377" s="11" t="s">
        <v>713</v>
      </c>
      <c r="D377" s="11"/>
      <c r="E377" s="76" t="s">
        <v>698</v>
      </c>
      <c r="F377" s="14" t="s">
        <v>99</v>
      </c>
      <c r="G377" s="15" t="s">
        <v>714</v>
      </c>
      <c r="H377" s="16">
        <v>8441.0</v>
      </c>
      <c r="I377" s="17">
        <f t="shared" si="6"/>
        <v>3035</v>
      </c>
      <c r="J377" s="25" t="s"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ht="33.75" customHeight="1">
      <c r="A378" s="11" t="s">
        <v>715</v>
      </c>
      <c r="B378" s="22" t="s">
        <v>716</v>
      </c>
      <c r="C378" s="11" t="s">
        <v>717</v>
      </c>
      <c r="D378" s="11"/>
      <c r="E378" s="76" t="s">
        <v>698</v>
      </c>
      <c r="F378" s="14" t="s">
        <v>287</v>
      </c>
      <c r="G378" s="15" t="s">
        <v>21</v>
      </c>
      <c r="H378" s="16">
        <v>7512.0</v>
      </c>
      <c r="I378" s="17">
        <f t="shared" si="6"/>
        <v>2488</v>
      </c>
      <c r="J378" s="25" t="s"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ht="33.75" customHeight="1">
      <c r="A379" s="11" t="s">
        <v>40</v>
      </c>
      <c r="B379" s="22" t="s">
        <v>140</v>
      </c>
      <c r="C379" s="11" t="s">
        <v>718</v>
      </c>
      <c r="D379" s="11"/>
      <c r="E379" s="64">
        <v>46014.0</v>
      </c>
      <c r="F379" s="14" t="s">
        <v>17</v>
      </c>
      <c r="G379" s="15" t="s">
        <v>272</v>
      </c>
      <c r="H379" s="16">
        <v>37732.0</v>
      </c>
      <c r="I379" s="17">
        <f t="shared" si="6"/>
        <v>12268</v>
      </c>
      <c r="J379" s="25" t="s"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ht="33.75" customHeight="1">
      <c r="A380" s="24" t="s">
        <v>691</v>
      </c>
      <c r="B380" s="22" t="s">
        <v>15</v>
      </c>
      <c r="C380" s="11" t="s">
        <v>719</v>
      </c>
      <c r="D380" s="11"/>
      <c r="E380" s="64">
        <v>46014.0</v>
      </c>
      <c r="F380" s="14" t="s">
        <v>17</v>
      </c>
      <c r="G380" s="15" t="s">
        <v>720</v>
      </c>
      <c r="H380" s="16">
        <v>9721.0</v>
      </c>
      <c r="I380" s="17">
        <f t="shared" si="6"/>
        <v>2542</v>
      </c>
      <c r="J380" s="25" t="s"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ht="33.75" customHeight="1">
      <c r="A381" s="11" t="s">
        <v>686</v>
      </c>
      <c r="B381" s="22" t="s">
        <v>140</v>
      </c>
      <c r="C381" s="11" t="s">
        <v>721</v>
      </c>
      <c r="D381" s="11"/>
      <c r="E381" s="76" t="s">
        <v>698</v>
      </c>
      <c r="F381" s="14" t="s">
        <v>99</v>
      </c>
      <c r="G381" s="15" t="s">
        <v>272</v>
      </c>
      <c r="H381" s="16">
        <v>46418.0</v>
      </c>
      <c r="I381" s="17">
        <f t="shared" si="6"/>
        <v>3582</v>
      </c>
      <c r="J381" s="25" t="s"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ht="33.75" customHeight="1">
      <c r="A382" s="11" t="s">
        <v>686</v>
      </c>
      <c r="B382" s="22" t="s">
        <v>140</v>
      </c>
      <c r="C382" s="11" t="s">
        <v>722</v>
      </c>
      <c r="D382" s="11"/>
      <c r="E382" s="64">
        <v>46014.0</v>
      </c>
      <c r="F382" s="14" t="s">
        <v>99</v>
      </c>
      <c r="G382" s="15" t="s">
        <v>723</v>
      </c>
      <c r="H382" s="16">
        <v>35312.0</v>
      </c>
      <c r="I382" s="17">
        <f t="shared" si="6"/>
        <v>3325</v>
      </c>
      <c r="J382" s="25" t="s"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ht="33.75" customHeight="1">
      <c r="A383" s="11" t="s">
        <v>671</v>
      </c>
      <c r="B383" s="22" t="s">
        <v>724</v>
      </c>
      <c r="C383" s="11" t="s">
        <v>725</v>
      </c>
      <c r="D383" s="11"/>
      <c r="E383" s="64">
        <v>46014.0</v>
      </c>
      <c r="F383" s="14" t="s">
        <v>99</v>
      </c>
      <c r="G383" s="27"/>
      <c r="H383" s="16">
        <v>7644.0</v>
      </c>
      <c r="I383" s="17">
        <f t="shared" si="6"/>
        <v>-7644</v>
      </c>
      <c r="J383" s="25" t="s"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ht="33.75" customHeight="1">
      <c r="A384" s="11" t="s">
        <v>726</v>
      </c>
      <c r="B384" s="22" t="s">
        <v>81</v>
      </c>
      <c r="C384" s="11" t="s">
        <v>727</v>
      </c>
      <c r="D384" s="11"/>
      <c r="E384" s="64" t="s">
        <v>728</v>
      </c>
      <c r="F384" s="14" t="s">
        <v>287</v>
      </c>
      <c r="G384" s="15" t="s">
        <v>729</v>
      </c>
      <c r="H384" s="16">
        <v>19496.0</v>
      </c>
      <c r="I384" s="17">
        <f t="shared" si="6"/>
        <v>3511</v>
      </c>
      <c r="J384" s="25" t="s"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ht="33.75" customHeight="1">
      <c r="A385" s="11" t="s">
        <v>730</v>
      </c>
      <c r="B385" s="22" t="s">
        <v>85</v>
      </c>
      <c r="C385" s="11" t="s">
        <v>731</v>
      </c>
      <c r="D385" s="11"/>
      <c r="E385" s="64" t="s">
        <v>728</v>
      </c>
      <c r="F385" s="14" t="s">
        <v>26</v>
      </c>
      <c r="G385" s="15" t="s">
        <v>732</v>
      </c>
      <c r="H385" s="16">
        <v>13266.0</v>
      </c>
      <c r="I385" s="17">
        <f t="shared" si="6"/>
        <v>609</v>
      </c>
      <c r="J385" s="25" t="s"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ht="33.75" customHeight="1">
      <c r="A386" s="11" t="s">
        <v>733</v>
      </c>
      <c r="B386" s="22" t="s">
        <v>85</v>
      </c>
      <c r="C386" s="11" t="s">
        <v>734</v>
      </c>
      <c r="D386" s="11"/>
      <c r="E386" s="64" t="s">
        <v>728</v>
      </c>
      <c r="F386" s="14" t="s">
        <v>99</v>
      </c>
      <c r="G386" s="15" t="s">
        <v>735</v>
      </c>
      <c r="H386" s="16">
        <v>9231.0</v>
      </c>
      <c r="I386" s="17">
        <f t="shared" si="6"/>
        <v>1873</v>
      </c>
      <c r="J386" s="25" t="s"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ht="33.75" customHeight="1">
      <c r="A387" s="11" t="s">
        <v>736</v>
      </c>
      <c r="B387" s="22" t="s">
        <v>44</v>
      </c>
      <c r="C387" s="11" t="s">
        <v>737</v>
      </c>
      <c r="D387" s="11"/>
      <c r="E387" s="64" t="s">
        <v>728</v>
      </c>
      <c r="F387" s="14" t="s">
        <v>287</v>
      </c>
      <c r="G387" s="15" t="s">
        <v>272</v>
      </c>
      <c r="H387" s="16">
        <v>23600.0</v>
      </c>
      <c r="I387" s="17">
        <f t="shared" si="6"/>
        <v>26400</v>
      </c>
      <c r="J387" s="25" t="s"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ht="33.75" customHeight="1">
      <c r="A388" s="11" t="s">
        <v>738</v>
      </c>
      <c r="B388" s="22" t="s">
        <v>88</v>
      </c>
      <c r="C388" s="11" t="s">
        <v>739</v>
      </c>
      <c r="D388" s="11"/>
      <c r="E388" s="64" t="s">
        <v>728</v>
      </c>
      <c r="F388" s="14" t="s">
        <v>17</v>
      </c>
      <c r="G388" s="15" t="s">
        <v>740</v>
      </c>
      <c r="H388" s="16">
        <v>9728.0</v>
      </c>
      <c r="I388" s="17">
        <f t="shared" si="6"/>
        <v>1694</v>
      </c>
      <c r="J388" s="25" t="s"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ht="33.75" hidden="1" customHeight="1">
      <c r="A389" s="82" t="s">
        <v>741</v>
      </c>
      <c r="B389" s="83" t="s">
        <v>88</v>
      </c>
      <c r="C389" s="82" t="s">
        <v>742</v>
      </c>
      <c r="D389" s="82"/>
      <c r="E389" s="84" t="s">
        <v>728</v>
      </c>
      <c r="F389" s="85" t="s">
        <v>99</v>
      </c>
      <c r="G389" s="93"/>
      <c r="H389" s="87"/>
      <c r="I389" s="88">
        <f t="shared" si="6"/>
        <v>0</v>
      </c>
      <c r="J389" s="89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ht="33.75" customHeight="1">
      <c r="A390" s="11" t="s">
        <v>686</v>
      </c>
      <c r="B390" s="22" t="s">
        <v>31</v>
      </c>
      <c r="C390" s="11" t="s">
        <v>743</v>
      </c>
      <c r="D390" s="11"/>
      <c r="E390" s="64" t="s">
        <v>728</v>
      </c>
      <c r="F390" s="14" t="s">
        <v>17</v>
      </c>
      <c r="G390" s="94" t="s">
        <v>744</v>
      </c>
      <c r="H390" s="16">
        <v>40701.0</v>
      </c>
      <c r="I390" s="17">
        <f t="shared" si="6"/>
        <v>19298</v>
      </c>
      <c r="J390" s="25" t="s"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ht="33.75" customHeight="1">
      <c r="A391" s="11" t="s">
        <v>745</v>
      </c>
      <c r="B391" s="22" t="s">
        <v>31</v>
      </c>
      <c r="C391" s="11" t="s">
        <v>746</v>
      </c>
      <c r="D391" s="11"/>
      <c r="E391" s="64" t="s">
        <v>728</v>
      </c>
      <c r="F391" s="14" t="s">
        <v>99</v>
      </c>
      <c r="G391" s="15" t="s">
        <v>747</v>
      </c>
      <c r="H391" s="16">
        <v>7640.0</v>
      </c>
      <c r="I391" s="17">
        <f t="shared" si="6"/>
        <v>1070</v>
      </c>
      <c r="J391" s="25" t="s"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ht="33.75" customHeight="1">
      <c r="A392" s="11" t="s">
        <v>135</v>
      </c>
      <c r="B392" s="22" t="s">
        <v>31</v>
      </c>
      <c r="C392" s="11" t="s">
        <v>710</v>
      </c>
      <c r="D392" s="11"/>
      <c r="E392" s="64" t="s">
        <v>728</v>
      </c>
      <c r="F392" s="14" t="s">
        <v>287</v>
      </c>
      <c r="G392" s="15" t="s">
        <v>748</v>
      </c>
      <c r="H392" s="16">
        <v>21976.0</v>
      </c>
      <c r="I392" s="17">
        <f t="shared" si="6"/>
        <v>1024</v>
      </c>
      <c r="J392" s="25" t="s"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ht="33.75" customHeight="1">
      <c r="A393" s="11" t="s">
        <v>749</v>
      </c>
      <c r="B393" s="22" t="s">
        <v>31</v>
      </c>
      <c r="C393" s="11" t="s">
        <v>750</v>
      </c>
      <c r="D393" s="11"/>
      <c r="E393" s="64" t="s">
        <v>728</v>
      </c>
      <c r="F393" s="14" t="s">
        <v>26</v>
      </c>
      <c r="G393" s="15" t="s">
        <v>751</v>
      </c>
      <c r="H393" s="16">
        <v>12783.0</v>
      </c>
      <c r="I393" s="17">
        <f t="shared" si="6"/>
        <v>2394</v>
      </c>
      <c r="J393" s="91" t="s">
        <v>700</v>
      </c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33.75" customHeight="1">
      <c r="A394" s="11" t="s">
        <v>752</v>
      </c>
      <c r="B394" s="22" t="s">
        <v>125</v>
      </c>
      <c r="C394" s="11" t="s">
        <v>753</v>
      </c>
      <c r="D394" s="11"/>
      <c r="E394" s="64" t="s">
        <v>728</v>
      </c>
      <c r="F394" s="14" t="s">
        <v>99</v>
      </c>
      <c r="G394" s="15" t="s">
        <v>21</v>
      </c>
      <c r="H394" s="16">
        <v>5259.0</v>
      </c>
      <c r="I394" s="17">
        <f t="shared" si="6"/>
        <v>4741</v>
      </c>
      <c r="J394" s="25" t="s"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ht="33.75" customHeight="1">
      <c r="A395" s="11" t="s">
        <v>754</v>
      </c>
      <c r="B395" s="22" t="s">
        <v>476</v>
      </c>
      <c r="C395" s="11" t="s">
        <v>755</v>
      </c>
      <c r="D395" s="11"/>
      <c r="E395" s="64" t="s">
        <v>728</v>
      </c>
      <c r="F395" s="14" t="s">
        <v>17</v>
      </c>
      <c r="G395" s="15" t="s">
        <v>756</v>
      </c>
      <c r="H395" s="16">
        <v>4195.0</v>
      </c>
      <c r="I395" s="17">
        <f t="shared" si="6"/>
        <v>32447</v>
      </c>
      <c r="J395" s="25" t="s"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ht="33.75" hidden="1" customHeight="1">
      <c r="A396" s="95" t="s">
        <v>757</v>
      </c>
      <c r="B396" s="96"/>
      <c r="C396" s="95" t="s">
        <v>758</v>
      </c>
      <c r="D396" s="95"/>
      <c r="E396" s="97" t="s">
        <v>728</v>
      </c>
      <c r="F396" s="98"/>
      <c r="G396" s="99"/>
      <c r="H396" s="100"/>
      <c r="I396" s="101"/>
      <c r="J396" s="102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ht="33.75" customHeight="1">
      <c r="A397" s="11" t="s">
        <v>489</v>
      </c>
      <c r="B397" s="22" t="s">
        <v>185</v>
      </c>
      <c r="C397" s="11" t="s">
        <v>759</v>
      </c>
      <c r="D397" s="11"/>
      <c r="E397" s="64" t="s">
        <v>728</v>
      </c>
      <c r="F397" s="14" t="s">
        <v>287</v>
      </c>
      <c r="G397" s="15" t="s">
        <v>272</v>
      </c>
      <c r="H397" s="16">
        <v>27172.0</v>
      </c>
      <c r="I397" s="17">
        <f t="shared" ref="I397:I444" si="7">G397-H397</f>
        <v>22828</v>
      </c>
      <c r="J397" s="25" t="s"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ht="33.75" customHeight="1">
      <c r="A398" s="11" t="s">
        <v>412</v>
      </c>
      <c r="B398" s="22" t="s">
        <v>530</v>
      </c>
      <c r="C398" s="33" t="s">
        <v>760</v>
      </c>
      <c r="D398" s="33"/>
      <c r="E398" s="64" t="s">
        <v>728</v>
      </c>
      <c r="F398" s="14" t="s">
        <v>26</v>
      </c>
      <c r="G398" s="15" t="s">
        <v>761</v>
      </c>
      <c r="H398" s="16">
        <v>10983.0</v>
      </c>
      <c r="I398" s="17">
        <f t="shared" si="7"/>
        <v>2025</v>
      </c>
      <c r="J398" s="25" t="s"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ht="33.75" customHeight="1">
      <c r="A399" s="11" t="s">
        <v>24</v>
      </c>
      <c r="B399" s="22" t="s">
        <v>530</v>
      </c>
      <c r="C399" s="11" t="s">
        <v>762</v>
      </c>
      <c r="D399" s="11"/>
      <c r="E399" s="64" t="s">
        <v>728</v>
      </c>
      <c r="F399" s="14" t="s">
        <v>17</v>
      </c>
      <c r="G399" s="15" t="s">
        <v>164</v>
      </c>
      <c r="H399" s="16">
        <v>18265.0</v>
      </c>
      <c r="I399" s="17">
        <f t="shared" si="7"/>
        <v>1398</v>
      </c>
      <c r="J399" s="25" t="s"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ht="33.75" customHeight="1">
      <c r="A400" s="11" t="s">
        <v>40</v>
      </c>
      <c r="B400" s="22" t="s">
        <v>237</v>
      </c>
      <c r="C400" s="11" t="s">
        <v>763</v>
      </c>
      <c r="D400" s="11"/>
      <c r="E400" s="64" t="s">
        <v>728</v>
      </c>
      <c r="F400" s="14" t="s">
        <v>99</v>
      </c>
      <c r="G400" s="15" t="s">
        <v>764</v>
      </c>
      <c r="H400" s="16">
        <v>24619.0</v>
      </c>
      <c r="I400" s="17">
        <f t="shared" si="7"/>
        <v>1464</v>
      </c>
      <c r="J400" s="25" t="s"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ht="33.75" customHeight="1">
      <c r="A401" s="11" t="s">
        <v>765</v>
      </c>
      <c r="B401" s="22" t="s">
        <v>437</v>
      </c>
      <c r="C401" s="11" t="s">
        <v>766</v>
      </c>
      <c r="D401" s="11"/>
      <c r="E401" s="64" t="s">
        <v>728</v>
      </c>
      <c r="F401" s="104" t="s">
        <v>99</v>
      </c>
      <c r="G401" s="15" t="s">
        <v>767</v>
      </c>
      <c r="H401" s="16">
        <v>4504.0</v>
      </c>
      <c r="I401" s="17">
        <f t="shared" si="7"/>
        <v>959</v>
      </c>
      <c r="J401" s="25" t="s"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ht="33.75" customHeight="1">
      <c r="A402" s="11" t="s">
        <v>749</v>
      </c>
      <c r="B402" s="22" t="s">
        <v>768</v>
      </c>
      <c r="C402" s="11" t="s">
        <v>750</v>
      </c>
      <c r="D402" s="11"/>
      <c r="E402" s="64" t="s">
        <v>728</v>
      </c>
      <c r="F402" s="14" t="s">
        <v>26</v>
      </c>
      <c r="G402" s="15" t="s">
        <v>751</v>
      </c>
      <c r="H402" s="16">
        <v>12130.0</v>
      </c>
      <c r="I402" s="17">
        <f t="shared" si="7"/>
        <v>3047</v>
      </c>
      <c r="J402" s="25" t="s"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ht="33.75" hidden="1" customHeight="1">
      <c r="A403" s="105" t="s">
        <v>769</v>
      </c>
      <c r="B403" s="106" t="s">
        <v>530</v>
      </c>
      <c r="C403" s="107" t="s">
        <v>770</v>
      </c>
      <c r="D403" s="108"/>
      <c r="E403" s="109" t="s">
        <v>728</v>
      </c>
      <c r="F403" s="110" t="s">
        <v>17</v>
      </c>
      <c r="G403" s="111"/>
      <c r="H403" s="112"/>
      <c r="I403" s="113">
        <f t="shared" si="7"/>
        <v>0</v>
      </c>
      <c r="J403" s="114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</row>
    <row r="404" ht="33.75" customHeight="1">
      <c r="A404" s="11" t="s">
        <v>424</v>
      </c>
      <c r="B404" s="22" t="s">
        <v>771</v>
      </c>
      <c r="C404" s="11" t="s">
        <v>772</v>
      </c>
      <c r="D404" s="11"/>
      <c r="E404" s="64" t="s">
        <v>728</v>
      </c>
      <c r="F404" s="14" t="s">
        <v>287</v>
      </c>
      <c r="G404" s="15" t="s">
        <v>773</v>
      </c>
      <c r="H404" s="16">
        <v>15701.0</v>
      </c>
      <c r="I404" s="17">
        <f t="shared" si="7"/>
        <v>2607</v>
      </c>
      <c r="J404" s="25" t="s"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ht="33.75" customHeight="1">
      <c r="A405" s="11" t="s">
        <v>774</v>
      </c>
      <c r="B405" s="22" t="s">
        <v>49</v>
      </c>
      <c r="C405" s="11" t="s">
        <v>775</v>
      </c>
      <c r="D405" s="11"/>
      <c r="E405" s="64" t="s">
        <v>776</v>
      </c>
      <c r="F405" s="14" t="s">
        <v>287</v>
      </c>
      <c r="G405" s="116" t="s">
        <v>777</v>
      </c>
      <c r="H405" s="16">
        <v>35216.0</v>
      </c>
      <c r="I405" s="17">
        <f t="shared" si="7"/>
        <v>3899</v>
      </c>
      <c r="J405" s="25" t="s"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ht="33.75" customHeight="1">
      <c r="A406" s="11" t="s">
        <v>135</v>
      </c>
      <c r="B406" s="22" t="s">
        <v>778</v>
      </c>
      <c r="C406" s="11" t="s">
        <v>779</v>
      </c>
      <c r="D406" s="11"/>
      <c r="E406" s="64">
        <v>46016.0</v>
      </c>
      <c r="F406" s="14" t="s">
        <v>99</v>
      </c>
      <c r="G406" s="15" t="s">
        <v>780</v>
      </c>
      <c r="H406" s="16">
        <v>21389.0</v>
      </c>
      <c r="I406" s="17">
        <f t="shared" si="7"/>
        <v>663</v>
      </c>
      <c r="J406" s="91" t="s">
        <v>700</v>
      </c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33.75" customHeight="1">
      <c r="A407" s="11" t="s">
        <v>40</v>
      </c>
      <c r="B407" s="22" t="s">
        <v>781</v>
      </c>
      <c r="C407" s="11" t="s">
        <v>782</v>
      </c>
      <c r="D407" s="11"/>
      <c r="E407" s="64" t="s">
        <v>776</v>
      </c>
      <c r="F407" s="14" t="s">
        <v>99</v>
      </c>
      <c r="G407" s="15" t="s">
        <v>764</v>
      </c>
      <c r="H407" s="16">
        <v>24186.0</v>
      </c>
      <c r="I407" s="17">
        <f t="shared" si="7"/>
        <v>1897</v>
      </c>
      <c r="J407" s="25" t="s"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ht="33.75" customHeight="1">
      <c r="A408" s="11" t="s">
        <v>534</v>
      </c>
      <c r="B408" s="22" t="s">
        <v>62</v>
      </c>
      <c r="C408" s="11" t="s">
        <v>783</v>
      </c>
      <c r="D408" s="11"/>
      <c r="E408" s="64" t="s">
        <v>776</v>
      </c>
      <c r="F408" s="14" t="s">
        <v>287</v>
      </c>
      <c r="G408" s="15" t="s">
        <v>784</v>
      </c>
      <c r="H408" s="16">
        <v>16167.0</v>
      </c>
      <c r="I408" s="17">
        <f t="shared" si="7"/>
        <v>2884</v>
      </c>
      <c r="J408" s="25" t="s"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ht="33.75" customHeight="1">
      <c r="A409" s="11" t="s">
        <v>785</v>
      </c>
      <c r="B409" s="22" t="s">
        <v>31</v>
      </c>
      <c r="C409" s="11" t="s">
        <v>786</v>
      </c>
      <c r="D409" s="11"/>
      <c r="E409" s="64" t="s">
        <v>776</v>
      </c>
      <c r="F409" s="14" t="s">
        <v>99</v>
      </c>
      <c r="G409" s="15" t="s">
        <v>513</v>
      </c>
      <c r="H409" s="16">
        <v>27180.0</v>
      </c>
      <c r="I409" s="17">
        <f t="shared" si="7"/>
        <v>2820</v>
      </c>
      <c r="J409" s="25" t="s"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ht="33.75" customHeight="1">
      <c r="A410" s="11" t="s">
        <v>539</v>
      </c>
      <c r="B410" s="22" t="s">
        <v>161</v>
      </c>
      <c r="C410" s="11" t="s">
        <v>787</v>
      </c>
      <c r="D410" s="11"/>
      <c r="E410" s="64" t="s">
        <v>776</v>
      </c>
      <c r="F410" s="14" t="s">
        <v>26</v>
      </c>
      <c r="G410" s="15" t="s">
        <v>788</v>
      </c>
      <c r="H410" s="16">
        <v>27180.0</v>
      </c>
      <c r="I410" s="17">
        <f t="shared" si="7"/>
        <v>2817</v>
      </c>
      <c r="J410" s="91" t="s">
        <v>700</v>
      </c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33.75" customHeight="1">
      <c r="A411" s="11" t="s">
        <v>789</v>
      </c>
      <c r="B411" s="22" t="s">
        <v>790</v>
      </c>
      <c r="C411" s="11" t="s">
        <v>791</v>
      </c>
      <c r="D411" s="11"/>
      <c r="E411" s="64" t="s">
        <v>776</v>
      </c>
      <c r="F411" s="14" t="s">
        <v>287</v>
      </c>
      <c r="G411" s="15" t="s">
        <v>792</v>
      </c>
      <c r="H411" s="16">
        <v>10995.0</v>
      </c>
      <c r="I411" s="17">
        <f t="shared" si="7"/>
        <v>1890</v>
      </c>
      <c r="J411" s="25" t="s"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ht="33.75" customHeight="1">
      <c r="A412" s="11" t="s">
        <v>577</v>
      </c>
      <c r="B412" s="22" t="s">
        <v>31</v>
      </c>
      <c r="C412" s="11" t="s">
        <v>793</v>
      </c>
      <c r="D412" s="11"/>
      <c r="E412" s="64" t="s">
        <v>776</v>
      </c>
      <c r="F412" s="14" t="s">
        <v>17</v>
      </c>
      <c r="G412" s="15" t="s">
        <v>794</v>
      </c>
      <c r="H412" s="16">
        <v>12955.0</v>
      </c>
      <c r="I412" s="17">
        <f t="shared" si="7"/>
        <v>2936</v>
      </c>
      <c r="J412" s="25" t="s"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ht="33.75" customHeight="1">
      <c r="A413" s="11" t="s">
        <v>795</v>
      </c>
      <c r="B413" s="22" t="s">
        <v>796</v>
      </c>
      <c r="C413" s="11" t="s">
        <v>797</v>
      </c>
      <c r="D413" s="11"/>
      <c r="E413" s="64">
        <v>46016.0</v>
      </c>
      <c r="F413" s="14" t="s">
        <v>17</v>
      </c>
      <c r="G413" s="15" t="s">
        <v>798</v>
      </c>
      <c r="H413" s="16">
        <v>8694.0</v>
      </c>
      <c r="I413" s="17">
        <f t="shared" si="7"/>
        <v>1595</v>
      </c>
      <c r="J413" s="25" t="s">
        <v>1</v>
      </c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ht="33.75" customHeight="1">
      <c r="A414" s="11" t="s">
        <v>489</v>
      </c>
      <c r="B414" s="22" t="s">
        <v>799</v>
      </c>
      <c r="C414" s="11" t="s">
        <v>582</v>
      </c>
      <c r="D414" s="11"/>
      <c r="E414" s="64">
        <v>46016.0</v>
      </c>
      <c r="F414" s="14" t="s">
        <v>99</v>
      </c>
      <c r="G414" s="27"/>
      <c r="H414" s="16">
        <v>18289.0</v>
      </c>
      <c r="I414" s="17">
        <f t="shared" si="7"/>
        <v>-18289</v>
      </c>
      <c r="J414" s="25" t="s"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ht="33.75" customHeight="1">
      <c r="A415" s="11" t="s">
        <v>686</v>
      </c>
      <c r="B415" s="22" t="s">
        <v>34</v>
      </c>
      <c r="C415" s="11" t="s">
        <v>800</v>
      </c>
      <c r="D415" s="11"/>
      <c r="E415" s="64" t="s">
        <v>776</v>
      </c>
      <c r="F415" s="72" t="s">
        <v>17</v>
      </c>
      <c r="G415" s="15" t="s">
        <v>801</v>
      </c>
      <c r="H415" s="74">
        <v>79578.0</v>
      </c>
      <c r="I415" s="17">
        <f t="shared" si="7"/>
        <v>100222</v>
      </c>
      <c r="J415" s="91" t="s">
        <v>700</v>
      </c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33.75" customHeight="1">
      <c r="A416" s="11" t="s">
        <v>686</v>
      </c>
      <c r="B416" s="22" t="s">
        <v>802</v>
      </c>
      <c r="C416" s="11" t="s">
        <v>803</v>
      </c>
      <c r="D416" s="11"/>
      <c r="E416" s="64">
        <v>46017.0</v>
      </c>
      <c r="F416" s="14" t="s">
        <v>507</v>
      </c>
      <c r="G416" s="15" t="s">
        <v>804</v>
      </c>
      <c r="H416" s="16">
        <v>61379.0</v>
      </c>
      <c r="I416" s="17">
        <f t="shared" si="7"/>
        <v>41241</v>
      </c>
      <c r="J416" s="40" t="s">
        <v>1</v>
      </c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33.75" customHeight="1">
      <c r="A417" s="117" t="s">
        <v>805</v>
      </c>
      <c r="B417" s="118" t="s">
        <v>806</v>
      </c>
      <c r="C417" s="117" t="s">
        <v>807</v>
      </c>
      <c r="D417" s="117"/>
      <c r="E417" s="119" t="s">
        <v>808</v>
      </c>
      <c r="F417" s="120" t="s">
        <v>287</v>
      </c>
      <c r="G417" s="121" t="s">
        <v>21</v>
      </c>
      <c r="H417" s="122"/>
      <c r="I417" s="123">
        <f t="shared" si="7"/>
        <v>10000</v>
      </c>
      <c r="J417" s="91" t="s">
        <v>3</v>
      </c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33.75" customHeight="1">
      <c r="A418" s="11" t="s">
        <v>686</v>
      </c>
      <c r="B418" s="22" t="s">
        <v>31</v>
      </c>
      <c r="C418" s="11" t="s">
        <v>809</v>
      </c>
      <c r="D418" s="11"/>
      <c r="E418" s="64">
        <v>46017.0</v>
      </c>
      <c r="F418" s="14" t="s">
        <v>17</v>
      </c>
      <c r="G418" s="15" t="s">
        <v>810</v>
      </c>
      <c r="H418" s="16">
        <v>31272.0</v>
      </c>
      <c r="I418" s="17">
        <f t="shared" si="7"/>
        <v>19728</v>
      </c>
      <c r="J418" s="25" t="s">
        <v>1</v>
      </c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ht="33.75" customHeight="1">
      <c r="A419" s="11" t="s">
        <v>135</v>
      </c>
      <c r="B419" s="22" t="s">
        <v>91</v>
      </c>
      <c r="C419" s="11" t="s">
        <v>811</v>
      </c>
      <c r="D419" s="11"/>
      <c r="E419" s="64">
        <v>46017.0</v>
      </c>
      <c r="F419" s="14" t="s">
        <v>17</v>
      </c>
      <c r="G419" s="15" t="s">
        <v>812</v>
      </c>
      <c r="H419" s="16">
        <v>20407.0</v>
      </c>
      <c r="I419" s="17">
        <f t="shared" si="7"/>
        <v>1646</v>
      </c>
      <c r="J419" s="25" t="s">
        <v>1</v>
      </c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ht="33.75" customHeight="1">
      <c r="A420" s="11" t="s">
        <v>813</v>
      </c>
      <c r="B420" s="22" t="s">
        <v>185</v>
      </c>
      <c r="C420" s="11" t="s">
        <v>814</v>
      </c>
      <c r="D420" s="11"/>
      <c r="E420" s="64">
        <v>46017.0</v>
      </c>
      <c r="F420" s="14" t="s">
        <v>99</v>
      </c>
      <c r="G420" s="15" t="s">
        <v>513</v>
      </c>
      <c r="H420" s="16">
        <v>24782.0</v>
      </c>
      <c r="I420" s="17">
        <f t="shared" si="7"/>
        <v>5218</v>
      </c>
      <c r="J420" s="91" t="s">
        <v>700</v>
      </c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33.75" customHeight="1">
      <c r="A421" s="11" t="s">
        <v>489</v>
      </c>
      <c r="B421" s="22" t="s">
        <v>530</v>
      </c>
      <c r="C421" s="11" t="s">
        <v>815</v>
      </c>
      <c r="D421" s="11"/>
      <c r="E421" s="64">
        <v>46017.0</v>
      </c>
      <c r="F421" s="14" t="s">
        <v>17</v>
      </c>
      <c r="G421" s="15" t="s">
        <v>816</v>
      </c>
      <c r="H421" s="16">
        <v>22163.0</v>
      </c>
      <c r="I421" s="17">
        <f t="shared" si="7"/>
        <v>2758</v>
      </c>
      <c r="J421" s="25" t="s"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ht="33.75" customHeight="1">
      <c r="A422" s="11" t="s">
        <v>625</v>
      </c>
      <c r="B422" s="22" t="s">
        <v>323</v>
      </c>
      <c r="C422" s="11" t="s">
        <v>817</v>
      </c>
      <c r="D422" s="11"/>
      <c r="E422" s="64">
        <v>46017.0</v>
      </c>
      <c r="F422" s="14" t="s">
        <v>17</v>
      </c>
      <c r="G422" s="15" t="s">
        <v>818</v>
      </c>
      <c r="H422" s="16">
        <v>7843.0</v>
      </c>
      <c r="I422" s="17">
        <f t="shared" si="7"/>
        <v>2257</v>
      </c>
      <c r="J422" s="25" t="s"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ht="33.75" customHeight="1">
      <c r="A423" s="11" t="s">
        <v>40</v>
      </c>
      <c r="B423" s="22" t="s">
        <v>237</v>
      </c>
      <c r="C423" s="11" t="s">
        <v>819</v>
      </c>
      <c r="D423" s="11"/>
      <c r="E423" s="64">
        <v>46017.0</v>
      </c>
      <c r="F423" s="14" t="s">
        <v>287</v>
      </c>
      <c r="G423" s="15" t="s">
        <v>272</v>
      </c>
      <c r="H423" s="16">
        <v>44928.0</v>
      </c>
      <c r="I423" s="17">
        <f t="shared" si="7"/>
        <v>5072</v>
      </c>
      <c r="J423" s="25" t="s"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ht="33.75" customHeight="1">
      <c r="A424" s="11" t="s">
        <v>539</v>
      </c>
      <c r="B424" s="22" t="s">
        <v>34</v>
      </c>
      <c r="C424" s="11" t="s">
        <v>820</v>
      </c>
      <c r="D424" s="11"/>
      <c r="E424" s="64">
        <v>46017.0</v>
      </c>
      <c r="F424" s="14" t="s">
        <v>287</v>
      </c>
      <c r="G424" s="15" t="s">
        <v>821</v>
      </c>
      <c r="H424" s="16">
        <v>18196.0</v>
      </c>
      <c r="I424" s="17">
        <f t="shared" si="7"/>
        <v>1464</v>
      </c>
      <c r="J424" s="25" t="s"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ht="33.75" customHeight="1">
      <c r="A425" s="24" t="s">
        <v>741</v>
      </c>
      <c r="B425" s="22" t="s">
        <v>34</v>
      </c>
      <c r="C425" s="11" t="s">
        <v>822</v>
      </c>
      <c r="D425" s="11"/>
      <c r="E425" s="64">
        <v>46017.0</v>
      </c>
      <c r="F425" s="14" t="s">
        <v>99</v>
      </c>
      <c r="G425" s="124"/>
      <c r="H425" s="16">
        <v>25572.0</v>
      </c>
      <c r="I425" s="17">
        <f t="shared" si="7"/>
        <v>-25572</v>
      </c>
      <c r="J425" s="25" t="s"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ht="33.75" customHeight="1">
      <c r="A426" s="11" t="s">
        <v>823</v>
      </c>
      <c r="B426" s="22" t="s">
        <v>34</v>
      </c>
      <c r="C426" s="11" t="s">
        <v>824</v>
      </c>
      <c r="D426" s="11"/>
      <c r="E426" s="64">
        <v>46017.0</v>
      </c>
      <c r="F426" s="72" t="s">
        <v>17</v>
      </c>
      <c r="G426" s="125" t="s">
        <v>272</v>
      </c>
      <c r="H426" s="74">
        <v>17741.0</v>
      </c>
      <c r="I426" s="17">
        <f t="shared" si="7"/>
        <v>32259</v>
      </c>
      <c r="J426" s="25" t="s"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ht="33.75" customHeight="1">
      <c r="A427" s="11" t="s">
        <v>823</v>
      </c>
      <c r="B427" s="22" t="s">
        <v>34</v>
      </c>
      <c r="C427" s="11" t="s">
        <v>825</v>
      </c>
      <c r="D427" s="11"/>
      <c r="E427" s="64">
        <v>46017.0</v>
      </c>
      <c r="F427" s="72" t="s">
        <v>17</v>
      </c>
      <c r="G427" s="125" t="s">
        <v>272</v>
      </c>
      <c r="H427" s="74">
        <v>25532.0</v>
      </c>
      <c r="I427" s="17">
        <f t="shared" si="7"/>
        <v>24468</v>
      </c>
      <c r="J427" s="25" t="s"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ht="33.75" customHeight="1">
      <c r="A428" s="11" t="s">
        <v>823</v>
      </c>
      <c r="B428" s="22" t="s">
        <v>34</v>
      </c>
      <c r="C428" s="11" t="s">
        <v>826</v>
      </c>
      <c r="D428" s="11"/>
      <c r="E428" s="64">
        <v>46017.0</v>
      </c>
      <c r="F428" s="72" t="s">
        <v>287</v>
      </c>
      <c r="G428" s="125" t="s">
        <v>272</v>
      </c>
      <c r="H428" s="74">
        <v>24657.0</v>
      </c>
      <c r="I428" s="17">
        <f t="shared" si="7"/>
        <v>25343</v>
      </c>
      <c r="J428" s="25" t="s"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ht="33.75" customHeight="1">
      <c r="A429" s="11" t="s">
        <v>823</v>
      </c>
      <c r="B429" s="22" t="s">
        <v>34</v>
      </c>
      <c r="C429" s="11" t="s">
        <v>827</v>
      </c>
      <c r="D429" s="11"/>
      <c r="E429" s="64">
        <v>46017.0</v>
      </c>
      <c r="F429" s="72" t="s">
        <v>287</v>
      </c>
      <c r="G429" s="125" t="s">
        <v>272</v>
      </c>
      <c r="H429" s="74">
        <v>28192.0</v>
      </c>
      <c r="I429" s="17">
        <f t="shared" si="7"/>
        <v>21808</v>
      </c>
      <c r="J429" s="25" t="s"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ht="33.75" customHeight="1">
      <c r="A430" s="11" t="s">
        <v>749</v>
      </c>
      <c r="B430" s="22" t="s">
        <v>828</v>
      </c>
      <c r="C430" s="11" t="s">
        <v>829</v>
      </c>
      <c r="D430" s="11"/>
      <c r="E430" s="64">
        <v>46017.0</v>
      </c>
      <c r="F430" s="14" t="s">
        <v>99</v>
      </c>
      <c r="G430" s="126"/>
      <c r="H430" s="16">
        <v>12800.0</v>
      </c>
      <c r="I430" s="17">
        <f t="shared" si="7"/>
        <v>-12800</v>
      </c>
      <c r="J430" s="91" t="s">
        <v>700</v>
      </c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33.75" hidden="1" customHeight="1">
      <c r="A431" s="117" t="s">
        <v>769</v>
      </c>
      <c r="B431" s="127" t="s">
        <v>830</v>
      </c>
      <c r="C431" s="128" t="s">
        <v>831</v>
      </c>
      <c r="D431" s="117"/>
      <c r="E431" s="119" t="s">
        <v>776</v>
      </c>
      <c r="F431" s="120" t="s">
        <v>287</v>
      </c>
      <c r="G431" s="121" t="s">
        <v>832</v>
      </c>
      <c r="H431" s="122"/>
      <c r="I431" s="123">
        <f t="shared" si="7"/>
        <v>59771</v>
      </c>
      <c r="J431" s="91" t="s">
        <v>3</v>
      </c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33.75" customHeight="1">
      <c r="A432" s="11" t="s">
        <v>833</v>
      </c>
      <c r="B432" s="22" t="s">
        <v>834</v>
      </c>
      <c r="C432" s="11" t="s">
        <v>835</v>
      </c>
      <c r="D432" s="11"/>
      <c r="E432" s="64">
        <v>46017.0</v>
      </c>
      <c r="F432" s="14" t="s">
        <v>287</v>
      </c>
      <c r="G432" s="15" t="s">
        <v>836</v>
      </c>
      <c r="H432" s="16">
        <v>23665.0</v>
      </c>
      <c r="I432" s="17">
        <f t="shared" si="7"/>
        <v>14424</v>
      </c>
      <c r="J432" s="25" t="s">
        <v>1</v>
      </c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ht="33.75" customHeight="1">
      <c r="A433" s="11" t="s">
        <v>837</v>
      </c>
      <c r="B433" s="22" t="s">
        <v>140</v>
      </c>
      <c r="C433" s="11" t="s">
        <v>838</v>
      </c>
      <c r="D433" s="11"/>
      <c r="E433" s="64">
        <v>46017.0</v>
      </c>
      <c r="F433" s="14" t="s">
        <v>507</v>
      </c>
      <c r="G433" s="15" t="s">
        <v>839</v>
      </c>
      <c r="H433" s="16">
        <v>17810.0</v>
      </c>
      <c r="I433" s="17">
        <f t="shared" si="7"/>
        <v>3324</v>
      </c>
      <c r="J433" s="25" t="s">
        <v>1</v>
      </c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ht="33.75" customHeight="1">
      <c r="A434" s="11" t="s">
        <v>691</v>
      </c>
      <c r="B434" s="22" t="s">
        <v>140</v>
      </c>
      <c r="C434" s="11" t="s">
        <v>840</v>
      </c>
      <c r="D434" s="11"/>
      <c r="E434" s="64">
        <v>46017.0</v>
      </c>
      <c r="F434" s="14" t="s">
        <v>26</v>
      </c>
      <c r="G434" s="27"/>
      <c r="H434" s="16">
        <v>16810.0</v>
      </c>
      <c r="I434" s="17">
        <f t="shared" si="7"/>
        <v>-16810</v>
      </c>
      <c r="J434" s="25" t="s">
        <v>1</v>
      </c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ht="33.75" customHeight="1">
      <c r="A435" s="11" t="s">
        <v>754</v>
      </c>
      <c r="B435" s="12"/>
      <c r="C435" s="11" t="s">
        <v>841</v>
      </c>
      <c r="D435" s="11"/>
      <c r="E435" s="64">
        <v>46017.0</v>
      </c>
      <c r="F435" s="14" t="s">
        <v>99</v>
      </c>
      <c r="G435" s="27"/>
      <c r="H435" s="16">
        <v>8197.0</v>
      </c>
      <c r="I435" s="17">
        <f t="shared" si="7"/>
        <v>-8197</v>
      </c>
      <c r="J435" s="25" t="s">
        <v>1</v>
      </c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ht="33.75" customHeight="1">
      <c r="A436" s="11" t="s">
        <v>40</v>
      </c>
      <c r="B436" s="22" t="s">
        <v>842</v>
      </c>
      <c r="C436" s="11" t="s">
        <v>819</v>
      </c>
      <c r="D436" s="11"/>
      <c r="E436" s="64">
        <v>46017.0</v>
      </c>
      <c r="F436" s="14" t="s">
        <v>26</v>
      </c>
      <c r="G436" s="27"/>
      <c r="H436" s="16">
        <v>42415.0</v>
      </c>
      <c r="I436" s="17">
        <f t="shared" si="7"/>
        <v>-42415</v>
      </c>
      <c r="J436" s="91" t="s">
        <v>700</v>
      </c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33.75" customHeight="1">
      <c r="A437" s="11" t="s">
        <v>686</v>
      </c>
      <c r="B437" s="22" t="s">
        <v>802</v>
      </c>
      <c r="C437" s="11" t="s">
        <v>843</v>
      </c>
      <c r="D437" s="11"/>
      <c r="E437" s="64">
        <v>46018.0</v>
      </c>
      <c r="F437" s="14" t="s">
        <v>17</v>
      </c>
      <c r="G437" s="15" t="s">
        <v>272</v>
      </c>
      <c r="H437" s="16">
        <v>41217.0</v>
      </c>
      <c r="I437" s="17">
        <f t="shared" si="7"/>
        <v>8783</v>
      </c>
      <c r="J437" s="25" t="s">
        <v>1</v>
      </c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ht="33.75" customHeight="1">
      <c r="A438" s="11" t="s">
        <v>686</v>
      </c>
      <c r="B438" s="22" t="s">
        <v>802</v>
      </c>
      <c r="C438" s="11" t="s">
        <v>844</v>
      </c>
      <c r="D438" s="11"/>
      <c r="E438" s="64">
        <v>46018.0</v>
      </c>
      <c r="F438" s="14" t="s">
        <v>17</v>
      </c>
      <c r="G438" s="38" t="s">
        <v>272</v>
      </c>
      <c r="H438" s="16"/>
      <c r="I438" s="17">
        <f t="shared" si="7"/>
        <v>50000</v>
      </c>
      <c r="J438" s="25" t="s">
        <v>1</v>
      </c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ht="33.75" customHeight="1">
      <c r="A439" s="11" t="s">
        <v>686</v>
      </c>
      <c r="B439" s="22" t="s">
        <v>802</v>
      </c>
      <c r="C439" s="11" t="s">
        <v>845</v>
      </c>
      <c r="D439" s="11"/>
      <c r="E439" s="64">
        <v>46018.0</v>
      </c>
      <c r="F439" s="14" t="s">
        <v>17</v>
      </c>
      <c r="G439" s="15" t="s">
        <v>272</v>
      </c>
      <c r="H439" s="16">
        <v>32263.0</v>
      </c>
      <c r="I439" s="17">
        <f t="shared" si="7"/>
        <v>17737</v>
      </c>
      <c r="J439" s="25" t="s">
        <v>1</v>
      </c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ht="33.75" customHeight="1">
      <c r="A440" s="11" t="s">
        <v>686</v>
      </c>
      <c r="B440" s="22" t="s">
        <v>802</v>
      </c>
      <c r="C440" s="11" t="s">
        <v>846</v>
      </c>
      <c r="D440" s="11"/>
      <c r="E440" s="64">
        <v>46018.0</v>
      </c>
      <c r="F440" s="14" t="s">
        <v>17</v>
      </c>
      <c r="G440" s="15" t="s">
        <v>272</v>
      </c>
      <c r="H440" s="16">
        <v>40041.0</v>
      </c>
      <c r="I440" s="17">
        <f t="shared" si="7"/>
        <v>9959</v>
      </c>
      <c r="J440" s="25" t="s">
        <v>1</v>
      </c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ht="33.75" customHeight="1">
      <c r="A441" s="11" t="s">
        <v>446</v>
      </c>
      <c r="B441" s="22" t="s">
        <v>49</v>
      </c>
      <c r="C441" s="11" t="s">
        <v>847</v>
      </c>
      <c r="D441" s="11"/>
      <c r="E441" s="64">
        <v>46018.0</v>
      </c>
      <c r="F441" s="14" t="s">
        <v>26</v>
      </c>
      <c r="G441" s="15" t="s">
        <v>848</v>
      </c>
      <c r="H441" s="16">
        <v>26309.0</v>
      </c>
      <c r="I441" s="17">
        <f t="shared" si="7"/>
        <v>2437</v>
      </c>
      <c r="J441" s="25" t="s">
        <v>1</v>
      </c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ht="33.75" customHeight="1">
      <c r="A442" s="11" t="s">
        <v>849</v>
      </c>
      <c r="B442" s="22" t="s">
        <v>49</v>
      </c>
      <c r="C442" s="11" t="s">
        <v>850</v>
      </c>
      <c r="D442" s="11"/>
      <c r="E442" s="64">
        <v>46018.0</v>
      </c>
      <c r="F442" s="14" t="s">
        <v>26</v>
      </c>
      <c r="G442" s="15" t="s">
        <v>851</v>
      </c>
      <c r="H442" s="16">
        <v>6697.0</v>
      </c>
      <c r="I442" s="17">
        <f t="shared" si="7"/>
        <v>3772</v>
      </c>
      <c r="J442" s="25" t="s">
        <v>1</v>
      </c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ht="33.75" customHeight="1">
      <c r="A443" s="11" t="s">
        <v>852</v>
      </c>
      <c r="B443" s="22" t="s">
        <v>853</v>
      </c>
      <c r="C443" s="11" t="s">
        <v>854</v>
      </c>
      <c r="D443" s="11"/>
      <c r="E443" s="64">
        <v>46018.0</v>
      </c>
      <c r="F443" s="14" t="s">
        <v>287</v>
      </c>
      <c r="G443" s="15" t="s">
        <v>855</v>
      </c>
      <c r="H443" s="16">
        <v>34757.0</v>
      </c>
      <c r="I443" s="17">
        <f t="shared" si="7"/>
        <v>10623</v>
      </c>
      <c r="J443" s="25" t="s">
        <v>1</v>
      </c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ht="33.75" customHeight="1">
      <c r="A444" s="11" t="s">
        <v>856</v>
      </c>
      <c r="B444" s="20" t="s">
        <v>88</v>
      </c>
      <c r="C444" s="11" t="s">
        <v>857</v>
      </c>
      <c r="D444" s="11"/>
      <c r="E444" s="64">
        <v>46018.0</v>
      </c>
      <c r="F444" s="14" t="s">
        <v>287</v>
      </c>
      <c r="G444" s="15" t="s">
        <v>858</v>
      </c>
      <c r="H444" s="16">
        <v>9872.0</v>
      </c>
      <c r="I444" s="17">
        <f t="shared" si="7"/>
        <v>1351</v>
      </c>
      <c r="J444" s="25" t="s">
        <v>1</v>
      </c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ht="33.75" customHeight="1">
      <c r="A445" s="11" t="s">
        <v>135</v>
      </c>
      <c r="B445" s="22" t="s">
        <v>260</v>
      </c>
      <c r="C445" s="11" t="s">
        <v>859</v>
      </c>
      <c r="D445" s="11"/>
      <c r="E445" s="64" t="s">
        <v>860</v>
      </c>
      <c r="F445" s="14" t="s">
        <v>287</v>
      </c>
      <c r="G445" s="15" t="s">
        <v>812</v>
      </c>
      <c r="H445" s="16">
        <v>20549.0</v>
      </c>
      <c r="I445" s="17"/>
      <c r="J445" s="25" t="s">
        <v>1</v>
      </c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ht="33.75" customHeight="1">
      <c r="A446" s="11" t="s">
        <v>736</v>
      </c>
      <c r="B446" s="22" t="s">
        <v>260</v>
      </c>
      <c r="C446" s="11" t="s">
        <v>861</v>
      </c>
      <c r="D446" s="11"/>
      <c r="E446" s="64">
        <v>46018.0</v>
      </c>
      <c r="F446" s="14" t="s">
        <v>287</v>
      </c>
      <c r="G446" s="15" t="s">
        <v>21</v>
      </c>
      <c r="H446" s="16">
        <v>8357.0</v>
      </c>
      <c r="I446" s="17">
        <f t="shared" ref="I446:I449" si="8">G446-H446</f>
        <v>1643</v>
      </c>
      <c r="J446" s="25" t="s">
        <v>1</v>
      </c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ht="33.75" customHeight="1">
      <c r="A447" s="117" t="s">
        <v>769</v>
      </c>
      <c r="B447" s="118" t="s">
        <v>862</v>
      </c>
      <c r="C447" s="129" t="s">
        <v>831</v>
      </c>
      <c r="D447" s="129"/>
      <c r="E447" s="119" t="s">
        <v>863</v>
      </c>
      <c r="F447" s="120" t="s">
        <v>287</v>
      </c>
      <c r="G447" s="130"/>
      <c r="H447" s="122"/>
      <c r="I447" s="123">
        <f t="shared" si="8"/>
        <v>0</v>
      </c>
      <c r="J447" s="91" t="s">
        <v>864</v>
      </c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33.75" customHeight="1">
      <c r="A448" s="11" t="s">
        <v>686</v>
      </c>
      <c r="B448" s="30" t="s">
        <v>31</v>
      </c>
      <c r="C448" s="34" t="s">
        <v>865</v>
      </c>
      <c r="D448" s="35"/>
      <c r="E448" s="78">
        <v>46018.0</v>
      </c>
      <c r="F448" s="14" t="s">
        <v>17</v>
      </c>
      <c r="G448" s="15" t="s">
        <v>866</v>
      </c>
      <c r="H448" s="16">
        <v>12330.0</v>
      </c>
      <c r="I448" s="17">
        <f t="shared" si="8"/>
        <v>37003</v>
      </c>
      <c r="J448" s="25" t="s">
        <v>1</v>
      </c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ht="33.75" customHeight="1">
      <c r="A449" s="11" t="s">
        <v>686</v>
      </c>
      <c r="B449" s="30" t="s">
        <v>31</v>
      </c>
      <c r="C449" s="34" t="s">
        <v>867</v>
      </c>
      <c r="D449" s="35"/>
      <c r="E449" s="78">
        <v>46018.0</v>
      </c>
      <c r="F449" s="14" t="s">
        <v>17</v>
      </c>
      <c r="G449" s="15" t="s">
        <v>866</v>
      </c>
      <c r="H449" s="16">
        <v>38194.0</v>
      </c>
      <c r="I449" s="17">
        <f t="shared" si="8"/>
        <v>11139</v>
      </c>
      <c r="J449" s="25" t="s">
        <v>1</v>
      </c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ht="33.75" customHeight="1">
      <c r="A450" s="11" t="s">
        <v>686</v>
      </c>
      <c r="B450" s="30" t="s">
        <v>31</v>
      </c>
      <c r="C450" s="34" t="s">
        <v>868</v>
      </c>
      <c r="D450" s="35"/>
      <c r="E450" s="78">
        <v>46018.0</v>
      </c>
      <c r="F450" s="14" t="s">
        <v>17</v>
      </c>
      <c r="G450" s="15" t="s">
        <v>866</v>
      </c>
      <c r="H450" s="16">
        <v>36696.0</v>
      </c>
      <c r="I450" s="17"/>
      <c r="J450" s="25" t="s">
        <v>1</v>
      </c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ht="33.75" customHeight="1">
      <c r="A451" s="11" t="s">
        <v>686</v>
      </c>
      <c r="B451" s="30" t="s">
        <v>31</v>
      </c>
      <c r="C451" s="34" t="s">
        <v>869</v>
      </c>
      <c r="D451" s="35"/>
      <c r="E451" s="78">
        <v>46018.0</v>
      </c>
      <c r="F451" s="14" t="s">
        <v>17</v>
      </c>
      <c r="G451" s="53" t="s">
        <v>866</v>
      </c>
      <c r="H451" s="16">
        <v>25546.0</v>
      </c>
      <c r="I451" s="17"/>
      <c r="J451" s="25" t="s">
        <v>1</v>
      </c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ht="33.75" customHeight="1">
      <c r="A452" s="11" t="s">
        <v>686</v>
      </c>
      <c r="B452" s="30" t="s">
        <v>31</v>
      </c>
      <c r="C452" s="34" t="s">
        <v>870</v>
      </c>
      <c r="D452" s="35"/>
      <c r="E452" s="78">
        <v>46018.0</v>
      </c>
      <c r="F452" s="14" t="s">
        <v>17</v>
      </c>
      <c r="G452" s="15" t="s">
        <v>866</v>
      </c>
      <c r="H452" s="16">
        <v>42372.0</v>
      </c>
      <c r="I452" s="17"/>
      <c r="J452" s="25" t="s">
        <v>1</v>
      </c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ht="33.75" customHeight="1">
      <c r="A453" s="11" t="s">
        <v>686</v>
      </c>
      <c r="B453" s="22" t="s">
        <v>31</v>
      </c>
      <c r="C453" s="34" t="s">
        <v>871</v>
      </c>
      <c r="D453" s="35"/>
      <c r="E453" s="64">
        <v>46018.0</v>
      </c>
      <c r="F453" s="14" t="s">
        <v>17</v>
      </c>
      <c r="G453" s="15" t="s">
        <v>866</v>
      </c>
      <c r="H453" s="16"/>
      <c r="I453" s="17"/>
      <c r="J453" s="25" t="s">
        <v>1</v>
      </c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ht="33.75" customHeight="1">
      <c r="A454" s="11" t="s">
        <v>577</v>
      </c>
      <c r="B454" s="22" t="s">
        <v>31</v>
      </c>
      <c r="C454" s="11" t="s">
        <v>872</v>
      </c>
      <c r="D454" s="11"/>
      <c r="E454" s="64">
        <v>46018.0</v>
      </c>
      <c r="F454" s="14" t="s">
        <v>26</v>
      </c>
      <c r="G454" s="15" t="s">
        <v>873</v>
      </c>
      <c r="H454" s="16">
        <v>13110.0</v>
      </c>
      <c r="I454" s="17">
        <f t="shared" ref="I454:I465" si="9">G454-H454</f>
        <v>2682</v>
      </c>
      <c r="J454" s="25" t="s">
        <v>1</v>
      </c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ht="33.75" customHeight="1">
      <c r="A455" s="11" t="s">
        <v>789</v>
      </c>
      <c r="B455" s="22" t="s">
        <v>31</v>
      </c>
      <c r="C455" s="11" t="s">
        <v>874</v>
      </c>
      <c r="D455" s="11"/>
      <c r="E455" s="64">
        <v>46018.0</v>
      </c>
      <c r="F455" s="14" t="s">
        <v>26</v>
      </c>
      <c r="G455" s="15" t="s">
        <v>875</v>
      </c>
      <c r="H455" s="16">
        <v>19170.0</v>
      </c>
      <c r="I455" s="17">
        <f t="shared" si="9"/>
        <v>3728</v>
      </c>
      <c r="J455" s="25" t="s">
        <v>1</v>
      </c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ht="33.75" customHeight="1">
      <c r="A456" s="95" t="s">
        <v>876</v>
      </c>
      <c r="B456" s="96" t="s">
        <v>31</v>
      </c>
      <c r="C456" s="95" t="s">
        <v>877</v>
      </c>
      <c r="D456" s="95"/>
      <c r="E456" s="97">
        <v>46018.0</v>
      </c>
      <c r="F456" s="98" t="s">
        <v>26</v>
      </c>
      <c r="G456" s="99" t="s">
        <v>878</v>
      </c>
      <c r="H456" s="100"/>
      <c r="I456" s="101">
        <f t="shared" si="9"/>
        <v>21841</v>
      </c>
      <c r="J456" s="102" t="s">
        <v>696</v>
      </c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33.75" customHeight="1">
      <c r="A457" s="11" t="s">
        <v>879</v>
      </c>
      <c r="B457" s="22" t="s">
        <v>880</v>
      </c>
      <c r="C457" s="11" t="s">
        <v>881</v>
      </c>
      <c r="D457" s="11"/>
      <c r="E457" s="64">
        <v>46018.0</v>
      </c>
      <c r="F457" s="14" t="s">
        <v>26</v>
      </c>
      <c r="G457" s="27"/>
      <c r="H457" s="16">
        <v>13769.0</v>
      </c>
      <c r="I457" s="17">
        <f t="shared" si="9"/>
        <v>-13769</v>
      </c>
      <c r="J457" s="25" t="s">
        <v>1</v>
      </c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ht="33.75" customHeight="1">
      <c r="A458" s="11" t="s">
        <v>882</v>
      </c>
      <c r="B458" s="22" t="s">
        <v>31</v>
      </c>
      <c r="C458" s="11" t="s">
        <v>883</v>
      </c>
      <c r="D458" s="11"/>
      <c r="E458" s="64">
        <v>46018.0</v>
      </c>
      <c r="F458" s="14" t="s">
        <v>26</v>
      </c>
      <c r="G458" s="27"/>
      <c r="H458" s="16">
        <v>7202.0</v>
      </c>
      <c r="I458" s="17">
        <f t="shared" si="9"/>
        <v>-7202</v>
      </c>
      <c r="J458" s="25" t="s">
        <v>1</v>
      </c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ht="33.75" customHeight="1">
      <c r="A459" s="11" t="s">
        <v>884</v>
      </c>
      <c r="B459" s="22" t="s">
        <v>619</v>
      </c>
      <c r="C459" s="11" t="s">
        <v>885</v>
      </c>
      <c r="D459" s="11"/>
      <c r="E459" s="64">
        <v>46018.0</v>
      </c>
      <c r="F459" s="14" t="s">
        <v>26</v>
      </c>
      <c r="G459" s="15" t="s">
        <v>886</v>
      </c>
      <c r="H459" s="16">
        <v>9804.0</v>
      </c>
      <c r="I459" s="17">
        <f t="shared" si="9"/>
        <v>1846</v>
      </c>
      <c r="J459" s="25" t="s">
        <v>1</v>
      </c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ht="33.75" customHeight="1">
      <c r="A460" s="11" t="s">
        <v>823</v>
      </c>
      <c r="B460" s="22" t="s">
        <v>530</v>
      </c>
      <c r="C460" s="29" t="s">
        <v>887</v>
      </c>
      <c r="D460" s="29"/>
      <c r="E460" s="64" t="s">
        <v>863</v>
      </c>
      <c r="F460" s="14" t="s">
        <v>287</v>
      </c>
      <c r="G460" s="15" t="s">
        <v>272</v>
      </c>
      <c r="H460" s="16">
        <v>35353.0</v>
      </c>
      <c r="I460" s="17">
        <f t="shared" si="9"/>
        <v>14647</v>
      </c>
      <c r="J460" s="25" t="s">
        <v>1</v>
      </c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ht="33.75" customHeight="1">
      <c r="A461" s="11" t="s">
        <v>823</v>
      </c>
      <c r="B461" s="22" t="s">
        <v>530</v>
      </c>
      <c r="C461" s="11" t="s">
        <v>888</v>
      </c>
      <c r="D461" s="11"/>
      <c r="E461" s="76" t="s">
        <v>863</v>
      </c>
      <c r="F461" s="14" t="s">
        <v>287</v>
      </c>
      <c r="G461" s="15" t="s">
        <v>272</v>
      </c>
      <c r="H461" s="16">
        <v>40560.0</v>
      </c>
      <c r="I461" s="17">
        <f t="shared" si="9"/>
        <v>9440</v>
      </c>
      <c r="J461" s="25" t="s">
        <v>1</v>
      </c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ht="33.75" customHeight="1">
      <c r="A462" s="11" t="s">
        <v>40</v>
      </c>
      <c r="B462" s="22" t="s">
        <v>619</v>
      </c>
      <c r="C462" s="11" t="s">
        <v>889</v>
      </c>
      <c r="D462" s="11"/>
      <c r="E462" s="64">
        <v>46018.0</v>
      </c>
      <c r="F462" s="14" t="s">
        <v>26</v>
      </c>
      <c r="G462" s="16">
        <v>50000.0</v>
      </c>
      <c r="H462" s="16">
        <v>31388.0</v>
      </c>
      <c r="I462" s="17">
        <f t="shared" si="9"/>
        <v>18612</v>
      </c>
      <c r="J462" s="25" t="s">
        <v>1</v>
      </c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ht="33.75" customHeight="1">
      <c r="A463" s="11" t="s">
        <v>216</v>
      </c>
      <c r="B463" s="22" t="s">
        <v>530</v>
      </c>
      <c r="C463" s="11" t="s">
        <v>890</v>
      </c>
      <c r="D463" s="11"/>
      <c r="E463" s="64">
        <v>46018.0</v>
      </c>
      <c r="F463" s="14" t="s">
        <v>26</v>
      </c>
      <c r="G463" s="16">
        <v>41564.0</v>
      </c>
      <c r="H463" s="16">
        <v>38493.0</v>
      </c>
      <c r="I463" s="17">
        <f t="shared" si="9"/>
        <v>3071</v>
      </c>
      <c r="J463" s="25" t="s">
        <v>1</v>
      </c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ht="33.75" customHeight="1">
      <c r="A464" s="117" t="s">
        <v>420</v>
      </c>
      <c r="B464" s="118" t="s">
        <v>323</v>
      </c>
      <c r="C464" s="117" t="s">
        <v>891</v>
      </c>
      <c r="D464" s="117"/>
      <c r="E464" s="119">
        <v>46018.0</v>
      </c>
      <c r="F464" s="120" t="s">
        <v>287</v>
      </c>
      <c r="G464" s="131">
        <v>33847.0</v>
      </c>
      <c r="H464" s="122"/>
      <c r="I464" s="123">
        <f t="shared" si="9"/>
        <v>33847</v>
      </c>
      <c r="J464" s="91" t="s">
        <v>892</v>
      </c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33.75" customHeight="1">
      <c r="A465" s="11" t="s">
        <v>795</v>
      </c>
      <c r="B465" s="22" t="s">
        <v>893</v>
      </c>
      <c r="C465" s="11" t="s">
        <v>894</v>
      </c>
      <c r="D465" s="11"/>
      <c r="E465" s="64">
        <v>46018.0</v>
      </c>
      <c r="F465" s="14" t="s">
        <v>26</v>
      </c>
      <c r="G465" s="16">
        <v>10292.0</v>
      </c>
      <c r="H465" s="16">
        <v>8870.0</v>
      </c>
      <c r="I465" s="17">
        <f t="shared" si="9"/>
        <v>1422</v>
      </c>
      <c r="J465" s="11" t="s">
        <v>894</v>
      </c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33.75" customHeight="1">
      <c r="A466" s="117" t="s">
        <v>686</v>
      </c>
      <c r="B466" s="118" t="s">
        <v>34</v>
      </c>
      <c r="C466" s="117" t="s">
        <v>895</v>
      </c>
      <c r="D466" s="117"/>
      <c r="E466" s="119">
        <v>46018.0</v>
      </c>
      <c r="F466" s="120" t="s">
        <v>17</v>
      </c>
      <c r="G466" s="130"/>
      <c r="H466" s="122"/>
      <c r="I466" s="123"/>
      <c r="J466" s="91" t="s">
        <v>896</v>
      </c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33.75" customHeight="1">
      <c r="A467" s="11" t="s">
        <v>686</v>
      </c>
      <c r="B467" s="30" t="s">
        <v>34</v>
      </c>
      <c r="C467" s="132" t="s">
        <v>897</v>
      </c>
      <c r="D467" s="11"/>
      <c r="E467" s="64">
        <v>46018.0</v>
      </c>
      <c r="F467" s="14" t="s">
        <v>17</v>
      </c>
      <c r="G467" s="38" t="s">
        <v>272</v>
      </c>
      <c r="H467" s="28"/>
      <c r="I467" s="17">
        <f t="shared" ref="I467:I535" si="10">G467-H467</f>
        <v>50000</v>
      </c>
      <c r="J467" s="25" t="s">
        <v>1</v>
      </c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ht="33.75" customHeight="1">
      <c r="A468" s="11" t="s">
        <v>686</v>
      </c>
      <c r="B468" s="30" t="s">
        <v>34</v>
      </c>
      <c r="C468" s="132" t="s">
        <v>898</v>
      </c>
      <c r="D468" s="11"/>
      <c r="E468" s="78">
        <v>46018.0</v>
      </c>
      <c r="F468" s="14" t="s">
        <v>17</v>
      </c>
      <c r="G468" s="38" t="s">
        <v>272</v>
      </c>
      <c r="H468" s="16">
        <v>36479.0</v>
      </c>
      <c r="I468" s="17">
        <f t="shared" si="10"/>
        <v>13521</v>
      </c>
      <c r="J468" s="25" t="s">
        <v>1</v>
      </c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ht="33.75" customHeight="1">
      <c r="A469" s="11" t="s">
        <v>686</v>
      </c>
      <c r="B469" s="30" t="s">
        <v>34</v>
      </c>
      <c r="C469" s="132" t="s">
        <v>899</v>
      </c>
      <c r="D469" s="11"/>
      <c r="E469" s="78">
        <v>46018.0</v>
      </c>
      <c r="F469" s="14" t="s">
        <v>17</v>
      </c>
      <c r="G469" s="38" t="s">
        <v>272</v>
      </c>
      <c r="H469" s="16">
        <v>28587.0</v>
      </c>
      <c r="I469" s="17">
        <f t="shared" si="10"/>
        <v>21413</v>
      </c>
      <c r="J469" s="25" t="s">
        <v>1</v>
      </c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ht="33.75" customHeight="1">
      <c r="A470" s="11" t="s">
        <v>686</v>
      </c>
      <c r="B470" s="30" t="s">
        <v>34</v>
      </c>
      <c r="C470" s="132" t="s">
        <v>900</v>
      </c>
      <c r="D470" s="11"/>
      <c r="E470" s="78">
        <v>46018.0</v>
      </c>
      <c r="F470" s="14" t="s">
        <v>17</v>
      </c>
      <c r="G470" s="15" t="s">
        <v>272</v>
      </c>
      <c r="H470" s="16">
        <v>31532.0</v>
      </c>
      <c r="I470" s="17">
        <f t="shared" si="10"/>
        <v>18468</v>
      </c>
      <c r="J470" s="25" t="s">
        <v>1</v>
      </c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ht="33.75" customHeight="1">
      <c r="A471" s="11" t="s">
        <v>901</v>
      </c>
      <c r="B471" s="30" t="s">
        <v>34</v>
      </c>
      <c r="C471" s="133" t="s">
        <v>902</v>
      </c>
      <c r="D471" s="77"/>
      <c r="E471" s="64">
        <v>46018.0</v>
      </c>
      <c r="F471" s="14" t="s">
        <v>26</v>
      </c>
      <c r="G471" s="15" t="s">
        <v>903</v>
      </c>
      <c r="H471" s="16">
        <v>14043.0</v>
      </c>
      <c r="I471" s="17">
        <f t="shared" si="10"/>
        <v>624</v>
      </c>
      <c r="J471" s="25" t="s">
        <v>1</v>
      </c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ht="33.75" customHeight="1">
      <c r="A472" s="11" t="s">
        <v>671</v>
      </c>
      <c r="B472" s="22" t="s">
        <v>15</v>
      </c>
      <c r="C472" s="11" t="s">
        <v>904</v>
      </c>
      <c r="D472" s="11"/>
      <c r="E472" s="64">
        <v>46018.0</v>
      </c>
      <c r="F472" s="14" t="s">
        <v>287</v>
      </c>
      <c r="G472" s="15" t="s">
        <v>905</v>
      </c>
      <c r="H472" s="16">
        <v>9890.0</v>
      </c>
      <c r="I472" s="17">
        <f t="shared" si="10"/>
        <v>974</v>
      </c>
      <c r="J472" s="25" t="s">
        <v>1</v>
      </c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ht="33.75" customHeight="1">
      <c r="A473" s="11" t="s">
        <v>906</v>
      </c>
      <c r="B473" s="22" t="s">
        <v>49</v>
      </c>
      <c r="C473" s="11" t="s">
        <v>907</v>
      </c>
      <c r="D473" s="11"/>
      <c r="E473" s="64">
        <v>46019.0</v>
      </c>
      <c r="F473" s="14" t="s">
        <v>26</v>
      </c>
      <c r="G473" s="15" t="s">
        <v>21</v>
      </c>
      <c r="H473" s="16">
        <v>7474.0</v>
      </c>
      <c r="I473" s="17">
        <f t="shared" si="10"/>
        <v>2526</v>
      </c>
      <c r="J473" s="25" t="s">
        <v>1</v>
      </c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ht="33.75" customHeight="1">
      <c r="A474" s="11" t="s">
        <v>489</v>
      </c>
      <c r="B474" s="22" t="s">
        <v>85</v>
      </c>
      <c r="C474" s="11" t="s">
        <v>908</v>
      </c>
      <c r="D474" s="11"/>
      <c r="E474" s="64">
        <v>46019.0</v>
      </c>
      <c r="F474" s="14" t="s">
        <v>99</v>
      </c>
      <c r="G474" s="15" t="s">
        <v>272</v>
      </c>
      <c r="H474" s="16">
        <v>40331.0</v>
      </c>
      <c r="I474" s="17">
        <f t="shared" si="10"/>
        <v>9669</v>
      </c>
      <c r="J474" s="25" t="s">
        <v>1</v>
      </c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ht="33.75" customHeight="1">
      <c r="A475" s="11" t="s">
        <v>909</v>
      </c>
      <c r="B475" s="22" t="s">
        <v>88</v>
      </c>
      <c r="C475" s="11" t="s">
        <v>910</v>
      </c>
      <c r="D475" s="11"/>
      <c r="E475" s="64">
        <v>46019.0</v>
      </c>
      <c r="F475" s="14" t="s">
        <v>287</v>
      </c>
      <c r="G475" s="16">
        <v>14700.0</v>
      </c>
      <c r="H475" s="16">
        <v>12560.0</v>
      </c>
      <c r="I475" s="17">
        <f t="shared" si="10"/>
        <v>2140</v>
      </c>
      <c r="J475" s="25" t="s">
        <v>1</v>
      </c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ht="33.75" customHeight="1">
      <c r="A476" s="11" t="s">
        <v>911</v>
      </c>
      <c r="B476" s="22" t="s">
        <v>88</v>
      </c>
      <c r="C476" s="11" t="s">
        <v>912</v>
      </c>
      <c r="D476" s="11"/>
      <c r="E476" s="64">
        <v>46019.0</v>
      </c>
      <c r="F476" s="14" t="s">
        <v>99</v>
      </c>
      <c r="G476" s="15" t="s">
        <v>913</v>
      </c>
      <c r="H476" s="16">
        <v>19836.0</v>
      </c>
      <c r="I476" s="17">
        <f t="shared" si="10"/>
        <v>6468</v>
      </c>
      <c r="J476" s="25" t="s">
        <v>1</v>
      </c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ht="33.75" customHeight="1">
      <c r="A477" s="11" t="s">
        <v>647</v>
      </c>
      <c r="B477" s="22" t="s">
        <v>260</v>
      </c>
      <c r="C477" s="11" t="s">
        <v>914</v>
      </c>
      <c r="D477" s="11"/>
      <c r="E477" s="64">
        <v>46019.0</v>
      </c>
      <c r="F477" s="14" t="s">
        <v>287</v>
      </c>
      <c r="G477" s="15" t="s">
        <v>21</v>
      </c>
      <c r="H477" s="16">
        <v>6476.0</v>
      </c>
      <c r="I477" s="17">
        <f t="shared" si="10"/>
        <v>3524</v>
      </c>
      <c r="J477" s="25" t="s">
        <v>1</v>
      </c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ht="33.75" customHeight="1">
      <c r="A478" s="11" t="s">
        <v>686</v>
      </c>
      <c r="B478" s="22" t="s">
        <v>915</v>
      </c>
      <c r="C478" s="11" t="s">
        <v>916</v>
      </c>
      <c r="D478" s="11"/>
      <c r="E478" s="64">
        <v>46019.0</v>
      </c>
      <c r="F478" s="14" t="s">
        <v>17</v>
      </c>
      <c r="G478" s="15" t="s">
        <v>917</v>
      </c>
      <c r="H478" s="16">
        <v>43899.0</v>
      </c>
      <c r="I478" s="17">
        <f t="shared" si="10"/>
        <v>3932</v>
      </c>
      <c r="J478" s="25" t="s">
        <v>1</v>
      </c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ht="33.75" customHeight="1">
      <c r="A479" s="11" t="s">
        <v>823</v>
      </c>
      <c r="B479" s="22" t="s">
        <v>125</v>
      </c>
      <c r="C479" s="29" t="s">
        <v>918</v>
      </c>
      <c r="D479" s="29"/>
      <c r="E479" s="64">
        <v>46019.0</v>
      </c>
      <c r="F479" s="14" t="s">
        <v>287</v>
      </c>
      <c r="G479" s="15" t="s">
        <v>684</v>
      </c>
      <c r="H479" s="16">
        <v>24677.0</v>
      </c>
      <c r="I479" s="17">
        <f t="shared" si="10"/>
        <v>10323</v>
      </c>
      <c r="J479" s="25" t="s">
        <v>1</v>
      </c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ht="33.75" customHeight="1">
      <c r="A480" s="11" t="s">
        <v>823</v>
      </c>
      <c r="B480" s="22" t="s">
        <v>125</v>
      </c>
      <c r="C480" s="11" t="s">
        <v>919</v>
      </c>
      <c r="D480" s="11"/>
      <c r="E480" s="64">
        <v>46019.0</v>
      </c>
      <c r="F480" s="14" t="s">
        <v>287</v>
      </c>
      <c r="G480" s="15" t="s">
        <v>684</v>
      </c>
      <c r="H480" s="16">
        <v>23780.0</v>
      </c>
      <c r="I480" s="17">
        <f t="shared" si="10"/>
        <v>11220</v>
      </c>
      <c r="J480" s="25" t="s">
        <v>920</v>
      </c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ht="33.75" customHeight="1">
      <c r="A481" s="11" t="s">
        <v>884</v>
      </c>
      <c r="B481" s="22" t="s">
        <v>619</v>
      </c>
      <c r="C481" s="11" t="s">
        <v>921</v>
      </c>
      <c r="D481" s="11"/>
      <c r="E481" s="64">
        <v>46019.0</v>
      </c>
      <c r="F481" s="14" t="s">
        <v>99</v>
      </c>
      <c r="G481" s="15" t="s">
        <v>922</v>
      </c>
      <c r="H481" s="16">
        <v>39438.0</v>
      </c>
      <c r="I481" s="17">
        <f t="shared" si="10"/>
        <v>2974</v>
      </c>
      <c r="J481" s="25" t="s">
        <v>1</v>
      </c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ht="33.75" customHeight="1">
      <c r="A482" s="11" t="s">
        <v>489</v>
      </c>
      <c r="B482" s="22" t="s">
        <v>530</v>
      </c>
      <c r="C482" s="29" t="s">
        <v>923</v>
      </c>
      <c r="D482" s="29"/>
      <c r="E482" s="64">
        <v>46019.0</v>
      </c>
      <c r="F482" s="14" t="s">
        <v>99</v>
      </c>
      <c r="G482" s="15" t="s">
        <v>272</v>
      </c>
      <c r="H482" s="16">
        <v>25980.0</v>
      </c>
      <c r="I482" s="17">
        <f t="shared" si="10"/>
        <v>24020</v>
      </c>
      <c r="J482" s="25" t="s">
        <v>1</v>
      </c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ht="33.75" customHeight="1">
      <c r="A483" s="82" t="s">
        <v>906</v>
      </c>
      <c r="B483" s="83" t="s">
        <v>19</v>
      </c>
      <c r="C483" s="82" t="s">
        <v>924</v>
      </c>
      <c r="D483" s="82"/>
      <c r="E483" s="84">
        <v>46019.0</v>
      </c>
      <c r="F483" s="85" t="s">
        <v>99</v>
      </c>
      <c r="G483" s="86" t="s">
        <v>925</v>
      </c>
      <c r="H483" s="87"/>
      <c r="I483" s="88">
        <f t="shared" si="10"/>
        <v>16779</v>
      </c>
      <c r="J483" s="89" t="s">
        <v>3</v>
      </c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ht="33.75" customHeight="1">
      <c r="A484" s="11" t="s">
        <v>686</v>
      </c>
      <c r="B484" s="22" t="s">
        <v>802</v>
      </c>
      <c r="C484" s="11">
        <v>-31.0</v>
      </c>
      <c r="D484" s="11"/>
      <c r="E484" s="64">
        <v>46020.0</v>
      </c>
      <c r="F484" s="14" t="s">
        <v>99</v>
      </c>
      <c r="G484" s="15" t="s">
        <v>926</v>
      </c>
      <c r="H484" s="28"/>
      <c r="I484" s="17">
        <f t="shared" si="10"/>
        <v>41426</v>
      </c>
      <c r="J484" s="25" t="s">
        <v>1</v>
      </c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ht="33.75" customHeight="1">
      <c r="A485" s="11" t="s">
        <v>686</v>
      </c>
      <c r="B485" s="22" t="s">
        <v>802</v>
      </c>
      <c r="C485" s="24">
        <v>-31.0</v>
      </c>
      <c r="D485" s="24"/>
      <c r="E485" s="76">
        <v>46020.0</v>
      </c>
      <c r="F485" s="14" t="s">
        <v>99</v>
      </c>
      <c r="G485" s="15" t="s">
        <v>926</v>
      </c>
      <c r="H485" s="28"/>
      <c r="I485" s="17">
        <f t="shared" si="10"/>
        <v>41426</v>
      </c>
      <c r="J485" s="25" t="s">
        <v>1</v>
      </c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ht="33.75" customHeight="1">
      <c r="A486" s="11" t="s">
        <v>516</v>
      </c>
      <c r="B486" s="12"/>
      <c r="C486" s="11" t="s">
        <v>927</v>
      </c>
      <c r="D486" s="11"/>
      <c r="E486" s="76">
        <v>46020.0</v>
      </c>
      <c r="F486" s="14" t="s">
        <v>17</v>
      </c>
      <c r="G486" s="15" t="s">
        <v>21</v>
      </c>
      <c r="H486" s="16">
        <v>8027.0</v>
      </c>
      <c r="I486" s="17">
        <f t="shared" si="10"/>
        <v>1973</v>
      </c>
      <c r="J486" s="25" t="s">
        <v>1</v>
      </c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ht="33.75" customHeight="1">
      <c r="A487" s="11" t="s">
        <v>517</v>
      </c>
      <c r="B487" s="12"/>
      <c r="C487" s="11" t="s">
        <v>927</v>
      </c>
      <c r="D487" s="11"/>
      <c r="E487" s="76">
        <v>46020.0</v>
      </c>
      <c r="F487" s="14" t="s">
        <v>17</v>
      </c>
      <c r="G487" s="15" t="s">
        <v>21</v>
      </c>
      <c r="H487" s="16">
        <v>7596.0</v>
      </c>
      <c r="I487" s="17">
        <f t="shared" si="10"/>
        <v>2404</v>
      </c>
      <c r="J487" s="25" t="s">
        <v>1</v>
      </c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ht="33.75" customHeight="1">
      <c r="A488" s="11" t="s">
        <v>928</v>
      </c>
      <c r="B488" s="12"/>
      <c r="C488" s="11" t="s">
        <v>927</v>
      </c>
      <c r="D488" s="11"/>
      <c r="E488" s="76">
        <v>46020.0</v>
      </c>
      <c r="F488" s="14" t="s">
        <v>17</v>
      </c>
      <c r="G488" s="15" t="s">
        <v>21</v>
      </c>
      <c r="H488" s="16">
        <v>7779.0</v>
      </c>
      <c r="I488" s="17">
        <f t="shared" si="10"/>
        <v>2221</v>
      </c>
      <c r="J488" s="25" t="s">
        <v>1</v>
      </c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ht="33.75" customHeight="1">
      <c r="A489" s="11" t="s">
        <v>24</v>
      </c>
      <c r="B489" s="22" t="s">
        <v>98</v>
      </c>
      <c r="C489" s="11" t="s">
        <v>929</v>
      </c>
      <c r="D489" s="11"/>
      <c r="E489" s="76">
        <v>46020.0</v>
      </c>
      <c r="F489" s="14" t="s">
        <v>287</v>
      </c>
      <c r="G489" s="15" t="s">
        <v>164</v>
      </c>
      <c r="H489" s="16">
        <v>16734.0</v>
      </c>
      <c r="I489" s="17">
        <f t="shared" si="10"/>
        <v>2929</v>
      </c>
      <c r="J489" s="25" t="s">
        <v>1</v>
      </c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ht="33.75" customHeight="1">
      <c r="A490" s="117" t="s">
        <v>930</v>
      </c>
      <c r="B490" s="118" t="s">
        <v>931</v>
      </c>
      <c r="C490" s="117" t="s">
        <v>932</v>
      </c>
      <c r="D490" s="117"/>
      <c r="E490" s="134">
        <v>46020.0</v>
      </c>
      <c r="F490" s="120" t="s">
        <v>287</v>
      </c>
      <c r="G490" s="121" t="s">
        <v>933</v>
      </c>
      <c r="H490" s="122"/>
      <c r="I490" s="123">
        <f t="shared" si="10"/>
        <v>11200</v>
      </c>
      <c r="J490" s="91" t="s">
        <v>931</v>
      </c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33.75" customHeight="1">
      <c r="A491" s="11" t="s">
        <v>823</v>
      </c>
      <c r="B491" s="22" t="s">
        <v>34</v>
      </c>
      <c r="C491" s="11" t="s">
        <v>934</v>
      </c>
      <c r="D491" s="11"/>
      <c r="E491" s="76">
        <v>46020.0</v>
      </c>
      <c r="F491" s="14" t="s">
        <v>99</v>
      </c>
      <c r="G491" s="15" t="s">
        <v>513</v>
      </c>
      <c r="H491" s="16">
        <v>22045.0</v>
      </c>
      <c r="I491" s="17">
        <f t="shared" si="10"/>
        <v>7955</v>
      </c>
      <c r="J491" s="25" t="s">
        <v>1</v>
      </c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ht="33.75" customHeight="1">
      <c r="A492" s="11" t="s">
        <v>40</v>
      </c>
      <c r="B492" s="22" t="s">
        <v>935</v>
      </c>
      <c r="C492" s="11" t="s">
        <v>936</v>
      </c>
      <c r="D492" s="11"/>
      <c r="E492" s="76">
        <v>46020.0</v>
      </c>
      <c r="F492" s="14" t="s">
        <v>99</v>
      </c>
      <c r="G492" s="15" t="s">
        <v>937</v>
      </c>
      <c r="H492" s="16">
        <v>16025.0</v>
      </c>
      <c r="I492" s="17">
        <f t="shared" si="10"/>
        <v>15122</v>
      </c>
      <c r="J492" s="25" t="s">
        <v>1</v>
      </c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ht="33.75" customHeight="1">
      <c r="A493" s="11" t="s">
        <v>938</v>
      </c>
      <c r="B493" s="22" t="s">
        <v>935</v>
      </c>
      <c r="C493" s="11" t="s">
        <v>939</v>
      </c>
      <c r="D493" s="11"/>
      <c r="E493" s="76">
        <v>46020.0</v>
      </c>
      <c r="F493" s="14" t="s">
        <v>99</v>
      </c>
      <c r="G493" s="15" t="s">
        <v>272</v>
      </c>
      <c r="H493" s="16">
        <v>16955.0</v>
      </c>
      <c r="I493" s="17">
        <f t="shared" si="10"/>
        <v>33045</v>
      </c>
      <c r="J493" s="25" t="s">
        <v>1</v>
      </c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ht="33.75" customHeight="1">
      <c r="A494" s="11" t="s">
        <v>938</v>
      </c>
      <c r="B494" s="22" t="s">
        <v>935</v>
      </c>
      <c r="C494" s="11" t="s">
        <v>940</v>
      </c>
      <c r="D494" s="11"/>
      <c r="E494" s="76">
        <v>46020.0</v>
      </c>
      <c r="F494" s="14" t="s">
        <v>99</v>
      </c>
      <c r="G494" s="15" t="s">
        <v>272</v>
      </c>
      <c r="H494" s="16">
        <v>11888.0</v>
      </c>
      <c r="I494" s="17">
        <f t="shared" si="10"/>
        <v>38112</v>
      </c>
      <c r="J494" s="25" t="s">
        <v>1</v>
      </c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ht="33.75" customHeight="1">
      <c r="A495" s="11" t="s">
        <v>941</v>
      </c>
      <c r="B495" s="22" t="s">
        <v>19</v>
      </c>
      <c r="C495" s="33" t="s">
        <v>942</v>
      </c>
      <c r="D495" s="33"/>
      <c r="E495" s="76">
        <v>46020.0</v>
      </c>
      <c r="F495" s="14" t="s">
        <v>287</v>
      </c>
      <c r="G495" s="15" t="s">
        <v>943</v>
      </c>
      <c r="H495" s="16">
        <v>29736.0</v>
      </c>
      <c r="I495" s="17">
        <f t="shared" si="10"/>
        <v>8188</v>
      </c>
      <c r="J495" s="25" t="s">
        <v>1</v>
      </c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ht="33.75" customHeight="1">
      <c r="A496" s="11" t="s">
        <v>686</v>
      </c>
      <c r="B496" s="30" t="s">
        <v>140</v>
      </c>
      <c r="C496" s="135" t="s">
        <v>944</v>
      </c>
      <c r="D496" s="11"/>
      <c r="E496" s="136">
        <v>46020.0</v>
      </c>
      <c r="F496" s="14" t="s">
        <v>17</v>
      </c>
      <c r="G496" s="15" t="s">
        <v>945</v>
      </c>
      <c r="H496" s="16">
        <v>29535.0</v>
      </c>
      <c r="I496" s="17">
        <f t="shared" si="10"/>
        <v>12001</v>
      </c>
      <c r="J496" s="25" t="s">
        <v>1</v>
      </c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ht="33.75" customHeight="1">
      <c r="A497" s="11" t="s">
        <v>686</v>
      </c>
      <c r="B497" s="30" t="s">
        <v>140</v>
      </c>
      <c r="C497" s="135" t="s">
        <v>946</v>
      </c>
      <c r="D497" s="11"/>
      <c r="E497" s="136">
        <v>46020.0</v>
      </c>
      <c r="F497" s="14" t="s">
        <v>17</v>
      </c>
      <c r="G497" s="15" t="s">
        <v>945</v>
      </c>
      <c r="H497" s="16">
        <v>28476.0</v>
      </c>
      <c r="I497" s="17">
        <f t="shared" si="10"/>
        <v>13060</v>
      </c>
      <c r="J497" s="25" t="s">
        <v>1</v>
      </c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ht="33.75" customHeight="1">
      <c r="A498" s="11" t="s">
        <v>736</v>
      </c>
      <c r="B498" s="30" t="s">
        <v>947</v>
      </c>
      <c r="C498" s="135" t="s">
        <v>948</v>
      </c>
      <c r="D498" s="11"/>
      <c r="E498" s="136">
        <v>46020.0</v>
      </c>
      <c r="F498" s="14" t="s">
        <v>26</v>
      </c>
      <c r="G498" s="15" t="s">
        <v>513</v>
      </c>
      <c r="H498" s="16">
        <v>26280.0</v>
      </c>
      <c r="I498" s="17">
        <f t="shared" si="10"/>
        <v>3720</v>
      </c>
      <c r="J498" s="91" t="s">
        <v>700</v>
      </c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33.75" customHeight="1">
      <c r="A499" s="66" t="s">
        <v>949</v>
      </c>
      <c r="B499" s="137" t="s">
        <v>556</v>
      </c>
      <c r="C499" s="77" t="s">
        <v>950</v>
      </c>
      <c r="D499" s="77"/>
      <c r="E499" s="78">
        <v>46020.0</v>
      </c>
      <c r="F499" s="14" t="s">
        <v>26</v>
      </c>
      <c r="G499" s="15" t="s">
        <v>513</v>
      </c>
      <c r="H499" s="16">
        <v>23947.0</v>
      </c>
      <c r="I499" s="17">
        <f t="shared" si="10"/>
        <v>6053</v>
      </c>
      <c r="J499" s="25" t="s">
        <v>1</v>
      </c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ht="33.75" customHeight="1">
      <c r="A500" s="11" t="s">
        <v>446</v>
      </c>
      <c r="B500" s="22" t="s">
        <v>49</v>
      </c>
      <c r="C500" s="11" t="s">
        <v>951</v>
      </c>
      <c r="D500" s="11"/>
      <c r="E500" s="64">
        <v>46021.0</v>
      </c>
      <c r="F500" s="14" t="s">
        <v>287</v>
      </c>
      <c r="G500" s="15" t="s">
        <v>952</v>
      </c>
      <c r="H500" s="16">
        <v>25441.0</v>
      </c>
      <c r="I500" s="17">
        <f t="shared" si="10"/>
        <v>36387</v>
      </c>
      <c r="J500" s="25" t="s">
        <v>1</v>
      </c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ht="33.75" customHeight="1">
      <c r="A501" s="11" t="s">
        <v>375</v>
      </c>
      <c r="B501" s="22" t="s">
        <v>81</v>
      </c>
      <c r="C501" s="11" t="s">
        <v>953</v>
      </c>
      <c r="D501" s="11"/>
      <c r="E501" s="64">
        <v>46021.0</v>
      </c>
      <c r="F501" s="14" t="s">
        <v>99</v>
      </c>
      <c r="G501" s="15" t="s">
        <v>21</v>
      </c>
      <c r="H501" s="16">
        <v>9178.0</v>
      </c>
      <c r="I501" s="17">
        <f t="shared" si="10"/>
        <v>822</v>
      </c>
      <c r="J501" s="25" t="s">
        <v>1</v>
      </c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ht="33.75" customHeight="1">
      <c r="A502" s="11" t="s">
        <v>135</v>
      </c>
      <c r="B502" s="22" t="s">
        <v>88</v>
      </c>
      <c r="C502" s="11" t="s">
        <v>954</v>
      </c>
      <c r="D502" s="11"/>
      <c r="E502" s="64">
        <v>46021.0</v>
      </c>
      <c r="F502" s="14" t="s">
        <v>287</v>
      </c>
      <c r="G502" s="15" t="s">
        <v>812</v>
      </c>
      <c r="H502" s="16">
        <v>20538.0</v>
      </c>
      <c r="I502" s="17">
        <f t="shared" si="10"/>
        <v>1515</v>
      </c>
      <c r="J502" s="25" t="s">
        <v>1</v>
      </c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ht="33.75" customHeight="1">
      <c r="A503" s="11" t="s">
        <v>184</v>
      </c>
      <c r="B503" s="22" t="s">
        <v>85</v>
      </c>
      <c r="C503" s="33" t="s">
        <v>955</v>
      </c>
      <c r="D503" s="33"/>
      <c r="E503" s="64">
        <v>46021.0</v>
      </c>
      <c r="F503" s="14" t="s">
        <v>99</v>
      </c>
      <c r="G503" s="15" t="s">
        <v>956</v>
      </c>
      <c r="H503" s="16">
        <v>21917.0</v>
      </c>
      <c r="I503" s="17">
        <f t="shared" si="10"/>
        <v>900</v>
      </c>
      <c r="J503" s="25" t="s">
        <v>1</v>
      </c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ht="33.75" customHeight="1">
      <c r="A504" s="11" t="s">
        <v>331</v>
      </c>
      <c r="B504" s="30" t="s">
        <v>31</v>
      </c>
      <c r="C504" s="43" t="s">
        <v>957</v>
      </c>
      <c r="D504" s="29"/>
      <c r="E504" s="78">
        <v>46021.0</v>
      </c>
      <c r="F504" s="14" t="s">
        <v>17</v>
      </c>
      <c r="G504" s="15" t="s">
        <v>21</v>
      </c>
      <c r="H504" s="16">
        <v>8978.0</v>
      </c>
      <c r="I504" s="17">
        <f t="shared" si="10"/>
        <v>1022</v>
      </c>
      <c r="J504" s="25" t="s">
        <v>1</v>
      </c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ht="33.75" customHeight="1">
      <c r="A505" s="11" t="s">
        <v>930</v>
      </c>
      <c r="B505" s="22" t="s">
        <v>125</v>
      </c>
      <c r="C505" s="11" t="s">
        <v>958</v>
      </c>
      <c r="D505" s="11"/>
      <c r="E505" s="76">
        <v>46020.0</v>
      </c>
      <c r="F505" s="14" t="s">
        <v>287</v>
      </c>
      <c r="G505" s="15" t="s">
        <v>933</v>
      </c>
      <c r="H505" s="16">
        <v>8251.0</v>
      </c>
      <c r="I505" s="17">
        <f t="shared" si="10"/>
        <v>2949</v>
      </c>
      <c r="J505" s="25" t="s">
        <v>1</v>
      </c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ht="33.75" customHeight="1">
      <c r="A506" s="11" t="s">
        <v>959</v>
      </c>
      <c r="B506" s="22" t="s">
        <v>530</v>
      </c>
      <c r="C506" s="11" t="s">
        <v>960</v>
      </c>
      <c r="D506" s="11"/>
      <c r="E506" s="64">
        <v>46021.0</v>
      </c>
      <c r="F506" s="14" t="s">
        <v>99</v>
      </c>
      <c r="G506" s="15" t="s">
        <v>961</v>
      </c>
      <c r="H506" s="16">
        <v>22945.0</v>
      </c>
      <c r="I506" s="17">
        <f t="shared" si="10"/>
        <v>2049</v>
      </c>
      <c r="J506" s="25" t="s">
        <v>1</v>
      </c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ht="33.75" customHeight="1">
      <c r="A507" s="11" t="s">
        <v>741</v>
      </c>
      <c r="B507" s="22"/>
      <c r="C507" s="11" t="s">
        <v>962</v>
      </c>
      <c r="D507" s="11"/>
      <c r="E507" s="64">
        <v>46021.0</v>
      </c>
      <c r="F507" s="14" t="s">
        <v>99</v>
      </c>
      <c r="G507" s="27"/>
      <c r="H507" s="16">
        <v>25258.0</v>
      </c>
      <c r="I507" s="17">
        <f t="shared" si="10"/>
        <v>-25258</v>
      </c>
      <c r="J507" s="25" t="s">
        <v>1</v>
      </c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ht="33.75" customHeight="1">
      <c r="A508" s="11" t="s">
        <v>823</v>
      </c>
      <c r="B508" s="22" t="s">
        <v>34</v>
      </c>
      <c r="C508" s="11" t="s">
        <v>963</v>
      </c>
      <c r="D508" s="11"/>
      <c r="E508" s="64">
        <v>46021.0</v>
      </c>
      <c r="F508" s="14" t="s">
        <v>99</v>
      </c>
      <c r="G508" s="15" t="s">
        <v>964</v>
      </c>
      <c r="H508" s="16">
        <v>38668.0</v>
      </c>
      <c r="I508" s="17">
        <f t="shared" si="10"/>
        <v>12665</v>
      </c>
      <c r="J508" s="25" t="s">
        <v>1</v>
      </c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ht="33.75" customHeight="1">
      <c r="A509" s="11" t="s">
        <v>823</v>
      </c>
      <c r="B509" s="22" t="s">
        <v>34</v>
      </c>
      <c r="C509" s="11" t="s">
        <v>965</v>
      </c>
      <c r="D509" s="11"/>
      <c r="E509" s="64">
        <v>46021.0</v>
      </c>
      <c r="F509" s="14" t="s">
        <v>99</v>
      </c>
      <c r="G509" s="15" t="s">
        <v>964</v>
      </c>
      <c r="H509" s="16">
        <v>41006.0</v>
      </c>
      <c r="I509" s="17">
        <f t="shared" si="10"/>
        <v>10327</v>
      </c>
      <c r="J509" s="25" t="s">
        <v>1</v>
      </c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ht="33.75" customHeight="1">
      <c r="A510" s="11" t="s">
        <v>823</v>
      </c>
      <c r="B510" s="22" t="s">
        <v>34</v>
      </c>
      <c r="C510" s="11" t="s">
        <v>966</v>
      </c>
      <c r="D510" s="11"/>
      <c r="E510" s="64">
        <v>46021.0</v>
      </c>
      <c r="F510" s="14" t="s">
        <v>99</v>
      </c>
      <c r="G510" s="15" t="s">
        <v>964</v>
      </c>
      <c r="H510" s="16">
        <v>16001.0</v>
      </c>
      <c r="I510" s="17">
        <f t="shared" si="10"/>
        <v>35332</v>
      </c>
      <c r="J510" s="25" t="s">
        <v>1</v>
      </c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ht="33.75" customHeight="1">
      <c r="A511" s="11" t="s">
        <v>823</v>
      </c>
      <c r="B511" s="22" t="s">
        <v>34</v>
      </c>
      <c r="C511" s="11" t="s">
        <v>967</v>
      </c>
      <c r="D511" s="11"/>
      <c r="E511" s="64">
        <v>46021.0</v>
      </c>
      <c r="F511" s="14" t="s">
        <v>287</v>
      </c>
      <c r="G511" s="15" t="s">
        <v>964</v>
      </c>
      <c r="H511" s="16">
        <v>20041.0</v>
      </c>
      <c r="I511" s="17">
        <f t="shared" si="10"/>
        <v>31292</v>
      </c>
      <c r="J511" s="25" t="s">
        <v>1</v>
      </c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ht="33.75" customHeight="1">
      <c r="A512" s="11" t="s">
        <v>823</v>
      </c>
      <c r="B512" s="22" t="s">
        <v>34</v>
      </c>
      <c r="C512" s="33" t="s">
        <v>968</v>
      </c>
      <c r="D512" s="33"/>
      <c r="E512" s="64">
        <v>46021.0</v>
      </c>
      <c r="F512" s="14" t="s">
        <v>287</v>
      </c>
      <c r="G512" s="15" t="s">
        <v>964</v>
      </c>
      <c r="H512" s="16">
        <v>18428.0</v>
      </c>
      <c r="I512" s="17">
        <f t="shared" si="10"/>
        <v>32905</v>
      </c>
      <c r="J512" s="25" t="s">
        <v>1</v>
      </c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ht="33.75" customHeight="1">
      <c r="A513" s="11" t="s">
        <v>823</v>
      </c>
      <c r="B513" s="30" t="s">
        <v>34</v>
      </c>
      <c r="C513" s="34" t="s">
        <v>969</v>
      </c>
      <c r="D513" s="35"/>
      <c r="E513" s="78">
        <v>46021.0</v>
      </c>
      <c r="F513" s="14" t="s">
        <v>287</v>
      </c>
      <c r="G513" s="15" t="s">
        <v>964</v>
      </c>
      <c r="H513" s="16">
        <v>18528.0</v>
      </c>
      <c r="I513" s="17">
        <f t="shared" si="10"/>
        <v>32805</v>
      </c>
      <c r="J513" s="25" t="s">
        <v>1</v>
      </c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ht="33.75" customHeight="1">
      <c r="A514" s="11" t="s">
        <v>970</v>
      </c>
      <c r="B514" s="30" t="s">
        <v>31</v>
      </c>
      <c r="C514" s="34" t="s">
        <v>971</v>
      </c>
      <c r="D514" s="35"/>
      <c r="E514" s="78">
        <v>46021.0</v>
      </c>
      <c r="F514" s="14" t="s">
        <v>99</v>
      </c>
      <c r="G514" s="15" t="s">
        <v>972</v>
      </c>
      <c r="H514" s="16">
        <v>22283.0</v>
      </c>
      <c r="I514" s="17">
        <f t="shared" si="10"/>
        <v>7371</v>
      </c>
      <c r="J514" s="25" t="s">
        <v>1</v>
      </c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ht="33.75" customHeight="1">
      <c r="A515" s="11" t="s">
        <v>941</v>
      </c>
      <c r="B515" s="30" t="s">
        <v>34</v>
      </c>
      <c r="C515" s="138" t="s">
        <v>973</v>
      </c>
      <c r="D515" s="77"/>
      <c r="E515" s="78">
        <v>46021.0</v>
      </c>
      <c r="F515" s="14" t="s">
        <v>17</v>
      </c>
      <c r="G515" s="15" t="s">
        <v>974</v>
      </c>
      <c r="H515" s="16">
        <v>25437.0</v>
      </c>
      <c r="I515" s="17">
        <f t="shared" si="10"/>
        <v>36563</v>
      </c>
      <c r="J515" s="25" t="s">
        <v>1</v>
      </c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ht="33.75" customHeight="1">
      <c r="A516" s="11" t="s">
        <v>941</v>
      </c>
      <c r="B516" s="30" t="s">
        <v>34</v>
      </c>
      <c r="C516" s="135" t="s">
        <v>975</v>
      </c>
      <c r="D516" s="11"/>
      <c r="E516" s="78">
        <v>46021.0</v>
      </c>
      <c r="F516" s="14" t="s">
        <v>17</v>
      </c>
      <c r="G516" s="15" t="s">
        <v>974</v>
      </c>
      <c r="H516" s="16">
        <v>29691.0</v>
      </c>
      <c r="I516" s="17">
        <f t="shared" si="10"/>
        <v>32309</v>
      </c>
      <c r="J516" s="25" t="s">
        <v>1</v>
      </c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ht="33.75" customHeight="1">
      <c r="A517" s="11" t="s">
        <v>446</v>
      </c>
      <c r="B517" s="139" t="s">
        <v>49</v>
      </c>
      <c r="C517" s="77" t="s">
        <v>976</v>
      </c>
      <c r="D517" s="77"/>
      <c r="E517" s="64">
        <v>46022.0</v>
      </c>
      <c r="F517" s="14" t="s">
        <v>26</v>
      </c>
      <c r="G517" s="15" t="s">
        <v>977</v>
      </c>
      <c r="H517" s="16">
        <v>31685.0</v>
      </c>
      <c r="I517" s="17">
        <f t="shared" si="10"/>
        <v>2887</v>
      </c>
      <c r="J517" s="25" t="s">
        <v>1</v>
      </c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ht="33.75" customHeight="1">
      <c r="A518" s="11" t="s">
        <v>489</v>
      </c>
      <c r="B518" s="139" t="s">
        <v>44</v>
      </c>
      <c r="C518" s="77" t="s">
        <v>978</v>
      </c>
      <c r="D518" s="77"/>
      <c r="E518" s="64">
        <v>46022.0</v>
      </c>
      <c r="F518" s="14" t="s">
        <v>287</v>
      </c>
      <c r="G518" s="15" t="s">
        <v>979</v>
      </c>
      <c r="H518" s="16">
        <v>28736.0</v>
      </c>
      <c r="I518" s="17">
        <f t="shared" si="10"/>
        <v>4973</v>
      </c>
      <c r="J518" s="25" t="s">
        <v>1</v>
      </c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ht="33.75" customHeight="1">
      <c r="A519" s="11" t="s">
        <v>184</v>
      </c>
      <c r="B519" s="139" t="s">
        <v>980</v>
      </c>
      <c r="C519" s="77" t="s">
        <v>981</v>
      </c>
      <c r="D519" s="77"/>
      <c r="E519" s="64">
        <v>46022.0</v>
      </c>
      <c r="F519" s="14" t="s">
        <v>99</v>
      </c>
      <c r="G519" s="15" t="s">
        <v>982</v>
      </c>
      <c r="H519" s="16">
        <v>21676.0</v>
      </c>
      <c r="I519" s="17">
        <f t="shared" si="10"/>
        <v>1230</v>
      </c>
      <c r="J519" s="25" t="s">
        <v>1</v>
      </c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ht="33.75" customHeight="1">
      <c r="A520" s="117" t="s">
        <v>769</v>
      </c>
      <c r="B520" s="140" t="s">
        <v>983</v>
      </c>
      <c r="C520" s="141" t="s">
        <v>770</v>
      </c>
      <c r="D520" s="141"/>
      <c r="E520" s="119">
        <v>46022.0</v>
      </c>
      <c r="F520" s="120" t="s">
        <v>287</v>
      </c>
      <c r="G520" s="121"/>
      <c r="H520" s="122"/>
      <c r="I520" s="123">
        <f t="shared" si="10"/>
        <v>0</v>
      </c>
      <c r="J520" s="91" t="s">
        <v>3</v>
      </c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33.75" customHeight="1">
      <c r="A521" s="33" t="s">
        <v>823</v>
      </c>
      <c r="B521" s="142" t="s">
        <v>31</v>
      </c>
      <c r="C521" s="143" t="s">
        <v>984</v>
      </c>
      <c r="D521" s="144"/>
      <c r="E521" s="145">
        <v>46022.0</v>
      </c>
      <c r="F521" s="146" t="s">
        <v>99</v>
      </c>
      <c r="G521" s="116"/>
      <c r="H521" s="147">
        <v>30373.0</v>
      </c>
      <c r="I521" s="148">
        <f t="shared" si="10"/>
        <v>-30373</v>
      </c>
      <c r="J521" s="149" t="s">
        <v>1</v>
      </c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ht="33.75" customHeight="1">
      <c r="A522" s="34" t="s">
        <v>823</v>
      </c>
      <c r="B522" s="150" t="s">
        <v>31</v>
      </c>
      <c r="C522" s="34" t="s">
        <v>984</v>
      </c>
      <c r="D522" s="34"/>
      <c r="E522" s="151">
        <v>46022.0</v>
      </c>
      <c r="F522" s="34" t="s">
        <v>99</v>
      </c>
      <c r="G522" s="150"/>
      <c r="H522" s="152">
        <v>30373.0</v>
      </c>
      <c r="I522" s="153">
        <f t="shared" si="10"/>
        <v>-30373</v>
      </c>
      <c r="J522" s="152" t="s">
        <v>1</v>
      </c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ht="33.75" customHeight="1">
      <c r="A523" s="34" t="s">
        <v>534</v>
      </c>
      <c r="B523" s="150" t="s">
        <v>985</v>
      </c>
      <c r="C523" s="150" t="s">
        <v>986</v>
      </c>
      <c r="D523" s="150"/>
      <c r="E523" s="151">
        <v>46023.0</v>
      </c>
      <c r="F523" s="34" t="s">
        <v>26</v>
      </c>
      <c r="G523" s="150" t="s">
        <v>987</v>
      </c>
      <c r="H523" s="152">
        <v>16270.0</v>
      </c>
      <c r="I523" s="153">
        <f t="shared" si="10"/>
        <v>2828</v>
      </c>
      <c r="J523" s="152" t="s">
        <v>1</v>
      </c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ht="33.75" customHeight="1">
      <c r="A524" s="77" t="s">
        <v>577</v>
      </c>
      <c r="B524" s="154" t="s">
        <v>985</v>
      </c>
      <c r="C524" s="154" t="s">
        <v>988</v>
      </c>
      <c r="D524" s="154"/>
      <c r="E524" s="155">
        <v>46023.0</v>
      </c>
      <c r="F524" s="156" t="s">
        <v>26</v>
      </c>
      <c r="G524" s="157" t="s">
        <v>989</v>
      </c>
      <c r="H524" s="158">
        <v>6332.0</v>
      </c>
      <c r="I524" s="159">
        <f t="shared" si="10"/>
        <v>892</v>
      </c>
      <c r="J524" s="160" t="s">
        <v>1</v>
      </c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ht="33.75" customHeight="1">
      <c r="A525" s="11" t="s">
        <v>785</v>
      </c>
      <c r="B525" s="22" t="s">
        <v>985</v>
      </c>
      <c r="C525" s="22" t="s">
        <v>990</v>
      </c>
      <c r="D525" s="22"/>
      <c r="E525" s="64">
        <v>46023.0</v>
      </c>
      <c r="F525" s="14" t="s">
        <v>26</v>
      </c>
      <c r="G525" s="15" t="s">
        <v>991</v>
      </c>
      <c r="H525" s="16">
        <v>10865.0</v>
      </c>
      <c r="I525" s="17">
        <f t="shared" si="10"/>
        <v>1136</v>
      </c>
      <c r="J525" s="25" t="s">
        <v>1</v>
      </c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ht="33.75" customHeight="1">
      <c r="A526" s="11" t="s">
        <v>789</v>
      </c>
      <c r="B526" s="22" t="s">
        <v>985</v>
      </c>
      <c r="C526" s="22" t="s">
        <v>992</v>
      </c>
      <c r="D526" s="22"/>
      <c r="E526" s="64">
        <v>46023.0</v>
      </c>
      <c r="F526" s="14" t="s">
        <v>26</v>
      </c>
      <c r="G526" s="15" t="s">
        <v>993</v>
      </c>
      <c r="H526" s="16">
        <v>9181.0</v>
      </c>
      <c r="I526" s="17">
        <f t="shared" si="10"/>
        <v>810</v>
      </c>
      <c r="J526" s="25" t="s">
        <v>1</v>
      </c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ht="33.75" customHeight="1">
      <c r="A527" s="11" t="s">
        <v>539</v>
      </c>
      <c r="B527" s="22" t="s">
        <v>985</v>
      </c>
      <c r="C527" s="22" t="s">
        <v>994</v>
      </c>
      <c r="D527" s="22"/>
      <c r="E527" s="64">
        <v>46023.0</v>
      </c>
      <c r="F527" s="14" t="s">
        <v>26</v>
      </c>
      <c r="G527" s="15" t="s">
        <v>590</v>
      </c>
      <c r="H527" s="16">
        <v>10762.0</v>
      </c>
      <c r="I527" s="17">
        <f t="shared" si="10"/>
        <v>1238</v>
      </c>
      <c r="J527" s="25" t="s">
        <v>1</v>
      </c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ht="33.75" customHeight="1">
      <c r="A528" s="11" t="s">
        <v>884</v>
      </c>
      <c r="B528" s="22" t="s">
        <v>34</v>
      </c>
      <c r="C528" s="11" t="s">
        <v>995</v>
      </c>
      <c r="D528" s="11"/>
      <c r="E528" s="64">
        <v>46023.0</v>
      </c>
      <c r="F528" s="14" t="s">
        <v>99</v>
      </c>
      <c r="G528" s="15" t="s">
        <v>996</v>
      </c>
      <c r="H528" s="16">
        <v>37180.0</v>
      </c>
      <c r="I528" s="17">
        <f t="shared" si="10"/>
        <v>5319</v>
      </c>
      <c r="J528" s="25" t="s">
        <v>1</v>
      </c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ht="33.75" customHeight="1">
      <c r="A529" s="11" t="s">
        <v>446</v>
      </c>
      <c r="B529" s="22" t="s">
        <v>49</v>
      </c>
      <c r="C529" s="11" t="s">
        <v>997</v>
      </c>
      <c r="D529" s="11"/>
      <c r="E529" s="64">
        <v>46024.0</v>
      </c>
      <c r="F529" s="14" t="s">
        <v>287</v>
      </c>
      <c r="G529" s="15" t="s">
        <v>998</v>
      </c>
      <c r="H529" s="16">
        <v>12355.0</v>
      </c>
      <c r="I529" s="17">
        <f t="shared" si="10"/>
        <v>2196</v>
      </c>
      <c r="J529" s="25" t="s">
        <v>1</v>
      </c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ht="33.75" customHeight="1">
      <c r="A530" s="11" t="s">
        <v>823</v>
      </c>
      <c r="B530" s="22" t="s">
        <v>31</v>
      </c>
      <c r="C530" s="11" t="s">
        <v>999</v>
      </c>
      <c r="D530" s="11"/>
      <c r="E530" s="64">
        <v>46024.0</v>
      </c>
      <c r="F530" s="14" t="s">
        <v>287</v>
      </c>
      <c r="G530" s="15" t="s">
        <v>1000</v>
      </c>
      <c r="H530" s="16">
        <v>33823.0</v>
      </c>
      <c r="I530" s="17">
        <f t="shared" si="10"/>
        <v>3448</v>
      </c>
      <c r="J530" s="25" t="s">
        <v>1</v>
      </c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ht="33.75" customHeight="1">
      <c r="A531" s="11" t="s">
        <v>736</v>
      </c>
      <c r="B531" s="22" t="s">
        <v>31</v>
      </c>
      <c r="C531" s="29" t="s">
        <v>1001</v>
      </c>
      <c r="D531" s="29"/>
      <c r="E531" s="64">
        <v>46024.0</v>
      </c>
      <c r="F531" s="14" t="s">
        <v>17</v>
      </c>
      <c r="G531" s="15" t="s">
        <v>513</v>
      </c>
      <c r="H531" s="16">
        <v>26601.0</v>
      </c>
      <c r="I531" s="17">
        <f t="shared" si="10"/>
        <v>3399</v>
      </c>
      <c r="J531" s="25" t="s">
        <v>1</v>
      </c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ht="33.75" customHeight="1">
      <c r="A532" s="11" t="s">
        <v>647</v>
      </c>
      <c r="B532" s="22" t="s">
        <v>161</v>
      </c>
      <c r="C532" s="11" t="s">
        <v>1002</v>
      </c>
      <c r="D532" s="11"/>
      <c r="E532" s="64">
        <v>46024.0</v>
      </c>
      <c r="F532" s="14" t="s">
        <v>17</v>
      </c>
      <c r="G532" s="15" t="s">
        <v>1003</v>
      </c>
      <c r="H532" s="16">
        <v>8865.0</v>
      </c>
      <c r="I532" s="17">
        <f t="shared" si="10"/>
        <v>1128</v>
      </c>
      <c r="J532" s="25" t="s">
        <v>1</v>
      </c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ht="33.75" customHeight="1">
      <c r="A533" s="11" t="s">
        <v>1004</v>
      </c>
      <c r="B533" s="22" t="s">
        <v>1005</v>
      </c>
      <c r="C533" s="11" t="s">
        <v>1006</v>
      </c>
      <c r="D533" s="11"/>
      <c r="E533" s="64">
        <v>46024.0</v>
      </c>
      <c r="F533" s="14" t="s">
        <v>287</v>
      </c>
      <c r="G533" s="15" t="s">
        <v>21</v>
      </c>
      <c r="H533" s="16">
        <v>8242.0</v>
      </c>
      <c r="I533" s="17">
        <f t="shared" si="10"/>
        <v>1758</v>
      </c>
      <c r="J533" s="25" t="s">
        <v>1</v>
      </c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ht="33.75" customHeight="1">
      <c r="A534" s="11" t="s">
        <v>24</v>
      </c>
      <c r="B534" s="22" t="s">
        <v>237</v>
      </c>
      <c r="C534" s="11" t="s">
        <v>1007</v>
      </c>
      <c r="D534" s="11"/>
      <c r="E534" s="64">
        <v>46024.0</v>
      </c>
      <c r="F534" s="14" t="s">
        <v>17</v>
      </c>
      <c r="G534" s="15" t="s">
        <v>1008</v>
      </c>
      <c r="H534" s="16">
        <v>27096.0</v>
      </c>
      <c r="I534" s="17">
        <f t="shared" si="10"/>
        <v>32321</v>
      </c>
      <c r="J534" s="25" t="s">
        <v>1</v>
      </c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ht="33.75" customHeight="1">
      <c r="A535" s="11" t="s">
        <v>941</v>
      </c>
      <c r="B535" s="22" t="s">
        <v>34</v>
      </c>
      <c r="C535" s="11" t="s">
        <v>1009</v>
      </c>
      <c r="D535" s="11"/>
      <c r="E535" s="64">
        <v>46024.0</v>
      </c>
      <c r="F535" s="14" t="s">
        <v>99</v>
      </c>
      <c r="G535" s="15" t="s">
        <v>1010</v>
      </c>
      <c r="H535" s="16">
        <v>29101.0</v>
      </c>
      <c r="I535" s="17">
        <f t="shared" si="10"/>
        <v>9908</v>
      </c>
      <c r="J535" s="25" t="s">
        <v>1</v>
      </c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ht="33.75" customHeight="1">
      <c r="A536" s="11" t="s">
        <v>40</v>
      </c>
      <c r="B536" s="22" t="s">
        <v>1011</v>
      </c>
      <c r="C536" s="11" t="s">
        <v>1012</v>
      </c>
      <c r="D536" s="11"/>
      <c r="E536" s="64">
        <v>46024.0</v>
      </c>
      <c r="F536" s="14" t="s">
        <v>26</v>
      </c>
      <c r="G536" s="15" t="s">
        <v>1013</v>
      </c>
      <c r="H536" s="16">
        <v>21686.0</v>
      </c>
      <c r="I536" s="17">
        <v>49999.0</v>
      </c>
      <c r="J536" s="25" t="s">
        <v>1</v>
      </c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ht="33.75" customHeight="1">
      <c r="A537" s="11" t="s">
        <v>1014</v>
      </c>
      <c r="B537" s="22" t="s">
        <v>1015</v>
      </c>
      <c r="C537" s="11" t="s">
        <v>1016</v>
      </c>
      <c r="D537" s="11"/>
      <c r="E537" s="64">
        <v>46025.0</v>
      </c>
      <c r="F537" s="14" t="s">
        <v>287</v>
      </c>
      <c r="G537" s="15" t="s">
        <v>1017</v>
      </c>
      <c r="H537" s="16">
        <v>34318.0</v>
      </c>
      <c r="I537" s="17">
        <f t="shared" ref="I537:I538" si="11">G537-H537</f>
        <v>9734</v>
      </c>
      <c r="J537" s="25" t="s">
        <v>1</v>
      </c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ht="33.75" customHeight="1">
      <c r="A538" s="11" t="s">
        <v>184</v>
      </c>
      <c r="B538" s="22" t="s">
        <v>1018</v>
      </c>
      <c r="C538" s="11" t="s">
        <v>1019</v>
      </c>
      <c r="D538" s="11"/>
      <c r="E538" s="64">
        <v>46025.0</v>
      </c>
      <c r="F538" s="14" t="s">
        <v>17</v>
      </c>
      <c r="G538" s="15" t="s">
        <v>1020</v>
      </c>
      <c r="H538" s="16">
        <v>49158.0</v>
      </c>
      <c r="I538" s="17">
        <f t="shared" si="11"/>
        <v>38033</v>
      </c>
      <c r="J538" s="25" t="s">
        <v>1</v>
      </c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ht="33.75" customHeight="1">
      <c r="A539" s="11" t="s">
        <v>135</v>
      </c>
      <c r="B539" s="22" t="s">
        <v>31</v>
      </c>
      <c r="C539" s="11" t="s">
        <v>627</v>
      </c>
      <c r="D539" s="11"/>
      <c r="E539" s="64">
        <v>46024.0</v>
      </c>
      <c r="F539" s="14" t="s">
        <v>99</v>
      </c>
      <c r="G539" s="38" t="s">
        <v>1021</v>
      </c>
      <c r="H539" s="16">
        <v>9658.0</v>
      </c>
      <c r="I539" s="17">
        <v>22051.0</v>
      </c>
      <c r="J539" s="25" t="s">
        <v>1</v>
      </c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ht="33.75" customHeight="1">
      <c r="A540" s="11" t="s">
        <v>789</v>
      </c>
      <c r="B540" s="22" t="s">
        <v>31</v>
      </c>
      <c r="C540" s="11" t="s">
        <v>992</v>
      </c>
      <c r="D540" s="11"/>
      <c r="E540" s="64">
        <v>46025.0</v>
      </c>
      <c r="F540" s="14" t="s">
        <v>17</v>
      </c>
      <c r="G540" s="15" t="s">
        <v>1022</v>
      </c>
      <c r="H540" s="16">
        <v>12500.0</v>
      </c>
      <c r="I540" s="17">
        <f t="shared" ref="I540:I552" si="12">G540-H540</f>
        <v>1962</v>
      </c>
      <c r="J540" s="25" t="s">
        <v>1</v>
      </c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ht="33.75" customHeight="1">
      <c r="A541" s="11" t="s">
        <v>577</v>
      </c>
      <c r="B541" s="22" t="s">
        <v>34</v>
      </c>
      <c r="C541" s="11" t="s">
        <v>988</v>
      </c>
      <c r="D541" s="11"/>
      <c r="E541" s="64">
        <v>46025.0</v>
      </c>
      <c r="F541" s="14" t="s">
        <v>287</v>
      </c>
      <c r="G541" s="15" t="s">
        <v>1023</v>
      </c>
      <c r="H541" s="16">
        <v>11061.0</v>
      </c>
      <c r="I541" s="17">
        <f t="shared" si="12"/>
        <v>2276</v>
      </c>
      <c r="J541" s="25" t="s">
        <v>1</v>
      </c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ht="33.75" customHeight="1">
      <c r="A542" s="11" t="s">
        <v>534</v>
      </c>
      <c r="B542" s="22" t="s">
        <v>893</v>
      </c>
      <c r="C542" s="11" t="s">
        <v>986</v>
      </c>
      <c r="D542" s="11"/>
      <c r="E542" s="64">
        <v>46025.0</v>
      </c>
      <c r="F542" s="14" t="s">
        <v>287</v>
      </c>
      <c r="G542" s="15" t="s">
        <v>1024</v>
      </c>
      <c r="H542" s="16">
        <v>24907.0</v>
      </c>
      <c r="I542" s="17">
        <f t="shared" si="12"/>
        <v>1126</v>
      </c>
      <c r="J542" s="25" t="s">
        <v>1</v>
      </c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ht="33.75" customHeight="1">
      <c r="A543" s="11" t="s">
        <v>534</v>
      </c>
      <c r="B543" s="22" t="s">
        <v>1025</v>
      </c>
      <c r="C543" s="11" t="s">
        <v>986</v>
      </c>
      <c r="D543" s="11"/>
      <c r="E543" s="64">
        <v>46025.0</v>
      </c>
      <c r="F543" s="14" t="s">
        <v>287</v>
      </c>
      <c r="G543" s="15" t="s">
        <v>1026</v>
      </c>
      <c r="H543" s="16">
        <v>28829.0</v>
      </c>
      <c r="I543" s="17">
        <f t="shared" si="12"/>
        <v>17307</v>
      </c>
      <c r="J543" s="25" t="s">
        <v>1</v>
      </c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ht="33.75" customHeight="1">
      <c r="A544" s="11" t="s">
        <v>837</v>
      </c>
      <c r="B544" s="22" t="s">
        <v>98</v>
      </c>
      <c r="C544" s="11" t="s">
        <v>1027</v>
      </c>
      <c r="D544" s="11"/>
      <c r="E544" s="64">
        <v>46025.0</v>
      </c>
      <c r="F544" s="14" t="s">
        <v>26</v>
      </c>
      <c r="G544" s="15" t="s">
        <v>21</v>
      </c>
      <c r="H544" s="16">
        <v>9098.0</v>
      </c>
      <c r="I544" s="17">
        <f t="shared" si="12"/>
        <v>902</v>
      </c>
      <c r="J544" s="91" t="s">
        <v>700</v>
      </c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33.75" customHeight="1">
      <c r="A545" s="11" t="s">
        <v>1028</v>
      </c>
      <c r="B545" s="22" t="s">
        <v>49</v>
      </c>
      <c r="C545" s="11" t="s">
        <v>1029</v>
      </c>
      <c r="D545" s="11"/>
      <c r="E545" s="64">
        <v>46026.0</v>
      </c>
      <c r="F545" s="14" t="s">
        <v>26</v>
      </c>
      <c r="G545" s="15" t="s">
        <v>925</v>
      </c>
      <c r="H545" s="16">
        <v>12521.0</v>
      </c>
      <c r="I545" s="17">
        <f t="shared" si="12"/>
        <v>4258</v>
      </c>
      <c r="J545" s="25" t="s">
        <v>1</v>
      </c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ht="33.75" customHeight="1">
      <c r="A546" s="11" t="s">
        <v>1030</v>
      </c>
      <c r="B546" s="22" t="s">
        <v>85</v>
      </c>
      <c r="C546" s="11" t="s">
        <v>1031</v>
      </c>
      <c r="D546" s="11"/>
      <c r="E546" s="64">
        <v>46026.0</v>
      </c>
      <c r="F546" s="14" t="s">
        <v>17</v>
      </c>
      <c r="G546" s="15" t="s">
        <v>1032</v>
      </c>
      <c r="H546" s="16">
        <v>22678.0</v>
      </c>
      <c r="I546" s="17">
        <f t="shared" si="12"/>
        <v>2332</v>
      </c>
      <c r="J546" s="25" t="s">
        <v>1</v>
      </c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ht="33.75" customHeight="1">
      <c r="A547" s="11" t="s">
        <v>1004</v>
      </c>
      <c r="B547" s="22" t="s">
        <v>1033</v>
      </c>
      <c r="C547" s="11" t="s">
        <v>1034</v>
      </c>
      <c r="D547" s="11"/>
      <c r="E547" s="64">
        <v>46026.0</v>
      </c>
      <c r="F547" s="14" t="s">
        <v>287</v>
      </c>
      <c r="G547" s="15" t="s">
        <v>21</v>
      </c>
      <c r="H547" s="16">
        <v>8138.0</v>
      </c>
      <c r="I547" s="17">
        <f t="shared" si="12"/>
        <v>1862</v>
      </c>
      <c r="J547" s="25" t="s">
        <v>1</v>
      </c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ht="33.75" customHeight="1">
      <c r="A548" s="11" t="s">
        <v>837</v>
      </c>
      <c r="B548" s="22" t="s">
        <v>1035</v>
      </c>
      <c r="C548" s="11" t="s">
        <v>1027</v>
      </c>
      <c r="D548" s="11"/>
      <c r="E548" s="64">
        <v>46026.0</v>
      </c>
      <c r="F548" s="14" t="s">
        <v>26</v>
      </c>
      <c r="G548" s="15" t="s">
        <v>21</v>
      </c>
      <c r="H548" s="16">
        <v>8988.0</v>
      </c>
      <c r="I548" s="17">
        <f t="shared" si="12"/>
        <v>1012</v>
      </c>
      <c r="J548" s="49" t="s">
        <v>3</v>
      </c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33.75" customHeight="1">
      <c r="A549" s="11" t="s">
        <v>469</v>
      </c>
      <c r="B549" s="22" t="s">
        <v>31</v>
      </c>
      <c r="C549" s="11" t="s">
        <v>1036</v>
      </c>
      <c r="D549" s="11"/>
      <c r="E549" s="64">
        <v>46026.0</v>
      </c>
      <c r="F549" s="14" t="s">
        <v>99</v>
      </c>
      <c r="G549" s="15" t="s">
        <v>1037</v>
      </c>
      <c r="H549" s="16">
        <v>23440.0</v>
      </c>
      <c r="I549" s="17">
        <f t="shared" si="12"/>
        <v>15207</v>
      </c>
      <c r="J549" s="25" t="s">
        <v>1</v>
      </c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ht="33.75" customHeight="1">
      <c r="A550" s="11" t="s">
        <v>701</v>
      </c>
      <c r="B550" s="22" t="s">
        <v>31</v>
      </c>
      <c r="C550" s="11" t="s">
        <v>1038</v>
      </c>
      <c r="D550" s="11"/>
      <c r="E550" s="64">
        <v>46026.0</v>
      </c>
      <c r="F550" s="14" t="s">
        <v>99</v>
      </c>
      <c r="G550" s="15" t="s">
        <v>21</v>
      </c>
      <c r="H550" s="16">
        <v>8114.0</v>
      </c>
      <c r="I550" s="17">
        <f t="shared" si="12"/>
        <v>1886</v>
      </c>
      <c r="J550" s="25" t="s">
        <v>1</v>
      </c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33.75" customHeight="1">
      <c r="A551" s="11" t="s">
        <v>795</v>
      </c>
      <c r="B551" s="22" t="s">
        <v>125</v>
      </c>
      <c r="C551" s="11" t="s">
        <v>1039</v>
      </c>
      <c r="D551" s="11"/>
      <c r="E551" s="64">
        <v>46026.0</v>
      </c>
      <c r="F551" s="14" t="s">
        <v>17</v>
      </c>
      <c r="G551" s="15" t="s">
        <v>1040</v>
      </c>
      <c r="H551" s="16">
        <v>8622.0</v>
      </c>
      <c r="I551" s="17">
        <f t="shared" si="12"/>
        <v>1676</v>
      </c>
      <c r="J551" s="91" t="s">
        <v>700</v>
      </c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33.75" customHeight="1">
      <c r="A552" s="11" t="s">
        <v>216</v>
      </c>
      <c r="B552" s="22" t="s">
        <v>323</v>
      </c>
      <c r="C552" s="29" t="s">
        <v>1041</v>
      </c>
      <c r="D552" s="29"/>
      <c r="E552" s="64">
        <v>46026.0</v>
      </c>
      <c r="F552" s="14" t="s">
        <v>17</v>
      </c>
      <c r="G552" s="15" t="s">
        <v>1042</v>
      </c>
      <c r="H552" s="16">
        <v>39596.0</v>
      </c>
      <c r="I552" s="17">
        <f t="shared" si="12"/>
        <v>1969</v>
      </c>
      <c r="J552" s="25" t="s">
        <v>1</v>
      </c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33.75" customHeight="1">
      <c r="A553" s="11" t="s">
        <v>40</v>
      </c>
      <c r="B553" s="22" t="s">
        <v>1043</v>
      </c>
      <c r="C553" s="11" t="s">
        <v>1044</v>
      </c>
      <c r="D553" s="11"/>
      <c r="E553" s="64">
        <v>46026.0</v>
      </c>
      <c r="F553" s="14" t="s">
        <v>287</v>
      </c>
      <c r="G553" s="15" t="s">
        <v>1045</v>
      </c>
      <c r="H553" s="16">
        <v>32604.0</v>
      </c>
      <c r="I553" s="39">
        <v>2664.0</v>
      </c>
      <c r="J553" s="25" t="s">
        <v>1</v>
      </c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33.75" customHeight="1">
      <c r="A554" s="11" t="s">
        <v>24</v>
      </c>
      <c r="B554" s="22" t="s">
        <v>34</v>
      </c>
      <c r="C554" s="11" t="s">
        <v>1046</v>
      </c>
      <c r="D554" s="11"/>
      <c r="E554" s="64">
        <v>46026.0</v>
      </c>
      <c r="F554" s="14" t="s">
        <v>99</v>
      </c>
      <c r="G554" s="15" t="s">
        <v>1008</v>
      </c>
      <c r="H554" s="16">
        <v>33517.0</v>
      </c>
      <c r="I554" s="17">
        <f t="shared" ref="I554:I559" si="13">G554-H554</f>
        <v>25900</v>
      </c>
      <c r="J554" s="25" t="s">
        <v>1</v>
      </c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33.75" customHeight="1">
      <c r="A555" s="11" t="s">
        <v>833</v>
      </c>
      <c r="B555" s="22" t="s">
        <v>1043</v>
      </c>
      <c r="C555" s="11" t="s">
        <v>1047</v>
      </c>
      <c r="D555" s="11"/>
      <c r="E555" s="64">
        <v>46026.0</v>
      </c>
      <c r="F555" s="14" t="s">
        <v>287</v>
      </c>
      <c r="G555" s="15" t="s">
        <v>1048</v>
      </c>
      <c r="H555" s="16">
        <v>13387.0</v>
      </c>
      <c r="I555" s="17">
        <f t="shared" si="13"/>
        <v>1037</v>
      </c>
      <c r="J555" s="25" t="s">
        <v>1</v>
      </c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33.75" customHeight="1">
      <c r="A556" s="11" t="s">
        <v>1028</v>
      </c>
      <c r="B556" s="22" t="s">
        <v>19</v>
      </c>
      <c r="C556" s="11" t="s">
        <v>1049</v>
      </c>
      <c r="D556" s="11"/>
      <c r="E556" s="64">
        <v>46026.0</v>
      </c>
      <c r="F556" s="14" t="s">
        <v>99</v>
      </c>
      <c r="G556" s="38" t="s">
        <v>925</v>
      </c>
      <c r="H556" s="16">
        <v>12830.0</v>
      </c>
      <c r="I556" s="17">
        <f t="shared" si="13"/>
        <v>3949</v>
      </c>
      <c r="J556" s="25" t="s">
        <v>1</v>
      </c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33.75" customHeight="1">
      <c r="A557" s="161" t="s">
        <v>823</v>
      </c>
      <c r="B557" s="162"/>
      <c r="C557" s="161" t="s">
        <v>1050</v>
      </c>
      <c r="D557" s="161"/>
      <c r="E557" s="163">
        <v>46026.0</v>
      </c>
      <c r="F557" s="164" t="s">
        <v>99</v>
      </c>
      <c r="G557" s="165"/>
      <c r="H557" s="166"/>
      <c r="I557" s="167">
        <f t="shared" si="13"/>
        <v>0</v>
      </c>
      <c r="J557" s="168" t="s">
        <v>1051</v>
      </c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9"/>
      <c r="W557" s="169"/>
      <c r="X557" s="169"/>
      <c r="Y557" s="169"/>
      <c r="Z557" s="169"/>
    </row>
    <row r="558" ht="33.75" customHeight="1">
      <c r="A558" s="11" t="s">
        <v>524</v>
      </c>
      <c r="B558" s="22" t="s">
        <v>49</v>
      </c>
      <c r="C558" s="11" t="s">
        <v>1052</v>
      </c>
      <c r="D558" s="11"/>
      <c r="E558" s="64">
        <v>46027.0</v>
      </c>
      <c r="F558" s="14" t="s">
        <v>99</v>
      </c>
      <c r="G558" s="15" t="s">
        <v>1053</v>
      </c>
      <c r="H558" s="16">
        <v>9556.0</v>
      </c>
      <c r="I558" s="17">
        <f t="shared" si="13"/>
        <v>1714</v>
      </c>
      <c r="J558" s="25" t="s">
        <v>1</v>
      </c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33.75" customHeight="1">
      <c r="A559" s="11" t="s">
        <v>28</v>
      </c>
      <c r="B559" s="22" t="s">
        <v>578</v>
      </c>
      <c r="C559" s="11" t="s">
        <v>1054</v>
      </c>
      <c r="D559" s="11"/>
      <c r="E559" s="64">
        <v>46027.0</v>
      </c>
      <c r="F559" s="14" t="s">
        <v>17</v>
      </c>
      <c r="G559" s="15" t="s">
        <v>933</v>
      </c>
      <c r="H559" s="16">
        <v>9812.0</v>
      </c>
      <c r="I559" s="17">
        <f t="shared" si="13"/>
        <v>1388</v>
      </c>
      <c r="J559" s="25" t="s">
        <v>1</v>
      </c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33.75" customHeight="1">
      <c r="A560" s="11" t="s">
        <v>1055</v>
      </c>
      <c r="B560" s="22" t="s">
        <v>1015</v>
      </c>
      <c r="C560" s="11" t="s">
        <v>1056</v>
      </c>
      <c r="D560" s="11"/>
      <c r="E560" s="64">
        <v>46027.0</v>
      </c>
      <c r="F560" s="14" t="s">
        <v>287</v>
      </c>
      <c r="G560" s="15" t="s">
        <v>1057</v>
      </c>
      <c r="H560" s="16">
        <v>16766.0</v>
      </c>
      <c r="I560" s="39">
        <v>20788.0</v>
      </c>
      <c r="J560" s="25" t="s">
        <v>1</v>
      </c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33.75" customHeight="1">
      <c r="A561" s="11" t="s">
        <v>28</v>
      </c>
      <c r="B561" s="22" t="s">
        <v>181</v>
      </c>
      <c r="C561" s="11" t="s">
        <v>1054</v>
      </c>
      <c r="D561" s="11"/>
      <c r="E561" s="64">
        <v>46027.0</v>
      </c>
      <c r="F561" s="14" t="s">
        <v>17</v>
      </c>
      <c r="G561" s="15" t="s">
        <v>933</v>
      </c>
      <c r="H561" s="16">
        <v>9995.0</v>
      </c>
      <c r="I561" s="17">
        <f t="shared" ref="I561:I570" si="14">G561-H561</f>
        <v>1205</v>
      </c>
      <c r="J561" s="25" t="s">
        <v>1</v>
      </c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ht="33.75" customHeight="1">
      <c r="A562" s="11" t="s">
        <v>752</v>
      </c>
      <c r="B562" s="22" t="s">
        <v>1058</v>
      </c>
      <c r="C562" s="11" t="s">
        <v>1059</v>
      </c>
      <c r="D562" s="11"/>
      <c r="E562" s="64">
        <v>46027.0</v>
      </c>
      <c r="F562" s="14" t="s">
        <v>99</v>
      </c>
      <c r="G562" s="15" t="s">
        <v>21</v>
      </c>
      <c r="H562" s="16">
        <v>8986.0</v>
      </c>
      <c r="I562" s="17">
        <f t="shared" si="14"/>
        <v>1014</v>
      </c>
      <c r="J562" s="25" t="s">
        <v>1</v>
      </c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ht="33.75" customHeight="1">
      <c r="A563" s="11" t="s">
        <v>366</v>
      </c>
      <c r="B563" s="22" t="s">
        <v>1060</v>
      </c>
      <c r="C563" s="11" t="s">
        <v>1061</v>
      </c>
      <c r="D563" s="11"/>
      <c r="E563" s="64">
        <v>46027.0</v>
      </c>
      <c r="F563" s="14" t="s">
        <v>17</v>
      </c>
      <c r="G563" s="15" t="s">
        <v>21</v>
      </c>
      <c r="H563" s="16">
        <v>9432.0</v>
      </c>
      <c r="I563" s="17">
        <f t="shared" si="14"/>
        <v>568</v>
      </c>
      <c r="J563" s="25" t="s">
        <v>1</v>
      </c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ht="33.75" customHeight="1">
      <c r="A564" s="11" t="s">
        <v>837</v>
      </c>
      <c r="B564" s="22" t="s">
        <v>15</v>
      </c>
      <c r="C564" s="11" t="s">
        <v>1027</v>
      </c>
      <c r="D564" s="11"/>
      <c r="E564" s="64">
        <v>46027.0</v>
      </c>
      <c r="F564" s="14" t="s">
        <v>287</v>
      </c>
      <c r="G564" s="15" t="s">
        <v>21</v>
      </c>
      <c r="H564" s="16">
        <v>9514.0</v>
      </c>
      <c r="I564" s="17">
        <f t="shared" si="14"/>
        <v>486</v>
      </c>
      <c r="J564" s="25" t="s">
        <v>1</v>
      </c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ht="33.75" customHeight="1">
      <c r="A565" s="11" t="s">
        <v>28</v>
      </c>
      <c r="B565" s="30" t="s">
        <v>49</v>
      </c>
      <c r="C565" s="170" t="s">
        <v>1062</v>
      </c>
      <c r="D565" s="171"/>
      <c r="E565" s="78">
        <v>46028.0</v>
      </c>
      <c r="F565" s="14" t="s">
        <v>17</v>
      </c>
      <c r="G565" s="15" t="s">
        <v>1063</v>
      </c>
      <c r="H565" s="16">
        <v>11454.0</v>
      </c>
      <c r="I565" s="17">
        <f t="shared" si="14"/>
        <v>1531</v>
      </c>
      <c r="J565" s="25" t="s">
        <v>1</v>
      </c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ht="33.75" customHeight="1">
      <c r="A566" s="11" t="s">
        <v>1064</v>
      </c>
      <c r="B566" s="30" t="s">
        <v>85</v>
      </c>
      <c r="C566" s="43" t="s">
        <v>1065</v>
      </c>
      <c r="D566" s="29"/>
      <c r="E566" s="78">
        <v>46028.0</v>
      </c>
      <c r="F566" s="14" t="s">
        <v>99</v>
      </c>
      <c r="G566" s="15" t="s">
        <v>1066</v>
      </c>
      <c r="H566" s="16">
        <v>20519.0</v>
      </c>
      <c r="I566" s="17">
        <f t="shared" si="14"/>
        <v>1895</v>
      </c>
      <c r="J566" s="25" t="s">
        <v>1</v>
      </c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ht="33.75" customHeight="1">
      <c r="A567" s="11" t="s">
        <v>805</v>
      </c>
      <c r="B567" s="30" t="s">
        <v>31</v>
      </c>
      <c r="C567" s="172" t="s">
        <v>1067</v>
      </c>
      <c r="D567" s="173"/>
      <c r="E567" s="78">
        <v>46028.0</v>
      </c>
      <c r="F567" s="14" t="s">
        <v>287</v>
      </c>
      <c r="G567" s="15" t="s">
        <v>21</v>
      </c>
      <c r="H567" s="16">
        <v>8331.0</v>
      </c>
      <c r="I567" s="17">
        <f t="shared" si="14"/>
        <v>1669</v>
      </c>
      <c r="J567" s="25" t="s">
        <v>1</v>
      </c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ht="33.75" customHeight="1">
      <c r="A568" s="11" t="s">
        <v>1068</v>
      </c>
      <c r="B568" s="142" t="s">
        <v>260</v>
      </c>
      <c r="C568" s="43" t="s">
        <v>1069</v>
      </c>
      <c r="D568" s="29"/>
      <c r="E568" s="174">
        <v>46028.0</v>
      </c>
      <c r="F568" s="146" t="s">
        <v>99</v>
      </c>
      <c r="G568" s="15" t="s">
        <v>1070</v>
      </c>
      <c r="H568" s="16">
        <v>10815.0</v>
      </c>
      <c r="I568" s="17">
        <f t="shared" si="14"/>
        <v>816</v>
      </c>
      <c r="J568" s="25" t="s">
        <v>1</v>
      </c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ht="33.75" customHeight="1">
      <c r="A569" s="66" t="s">
        <v>28</v>
      </c>
      <c r="B569" s="150" t="s">
        <v>91</v>
      </c>
      <c r="C569" s="173" t="s">
        <v>1062</v>
      </c>
      <c r="D569" s="173"/>
      <c r="E569" s="151">
        <v>46028.0</v>
      </c>
      <c r="F569" s="34" t="s">
        <v>17</v>
      </c>
      <c r="G569" s="22" t="s">
        <v>21</v>
      </c>
      <c r="H569" s="16">
        <v>8650.0</v>
      </c>
      <c r="I569" s="17">
        <f t="shared" si="14"/>
        <v>1350</v>
      </c>
      <c r="J569" s="25" t="s">
        <v>1</v>
      </c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ht="33.75" customHeight="1">
      <c r="A570" s="11" t="s">
        <v>135</v>
      </c>
      <c r="B570" s="30" t="s">
        <v>1071</v>
      </c>
      <c r="C570" s="43" t="s">
        <v>1072</v>
      </c>
      <c r="D570" s="29"/>
      <c r="E570" s="78">
        <v>46028.0</v>
      </c>
      <c r="F570" s="14" t="s">
        <v>99</v>
      </c>
      <c r="G570" s="15" t="s">
        <v>1073</v>
      </c>
      <c r="H570" s="16">
        <v>28656.0</v>
      </c>
      <c r="I570" s="17">
        <f t="shared" si="14"/>
        <v>4381</v>
      </c>
      <c r="J570" s="25" t="s">
        <v>1</v>
      </c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ht="33.75" customHeight="1">
      <c r="A571" s="66" t="s">
        <v>1055</v>
      </c>
      <c r="B571" s="150" t="s">
        <v>1074</v>
      </c>
      <c r="C571" s="34" t="s">
        <v>1056</v>
      </c>
      <c r="D571" s="34"/>
      <c r="E571" s="151">
        <v>46028.0</v>
      </c>
      <c r="F571" s="34" t="s">
        <v>287</v>
      </c>
      <c r="G571" s="22" t="s">
        <v>21</v>
      </c>
      <c r="H571" s="16">
        <v>8587.0</v>
      </c>
      <c r="I571" s="39">
        <v>1422.0</v>
      </c>
      <c r="J571" s="25" t="s">
        <v>1</v>
      </c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ht="33.75" customHeight="1">
      <c r="A572" s="11" t="s">
        <v>40</v>
      </c>
      <c r="B572" s="175" t="s">
        <v>34</v>
      </c>
      <c r="C572" s="43" t="s">
        <v>1075</v>
      </c>
      <c r="D572" s="29"/>
      <c r="E572" s="176">
        <v>46028.0</v>
      </c>
      <c r="F572" s="156" t="s">
        <v>287</v>
      </c>
      <c r="G572" s="15" t="s">
        <v>1045</v>
      </c>
      <c r="H572" s="16">
        <v>32910.0</v>
      </c>
      <c r="I572" s="17">
        <f t="shared" ref="I572:I631" si="15">G572-H572</f>
        <v>2358</v>
      </c>
      <c r="J572" s="25" t="s">
        <v>1</v>
      </c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ht="33.75" customHeight="1">
      <c r="A573" s="11" t="s">
        <v>24</v>
      </c>
      <c r="B573" s="30" t="s">
        <v>323</v>
      </c>
      <c r="C573" s="172" t="s">
        <v>1076</v>
      </c>
      <c r="D573" s="173"/>
      <c r="E573" s="78">
        <v>46028.0</v>
      </c>
      <c r="F573" s="14" t="s">
        <v>17</v>
      </c>
      <c r="G573" s="177" t="s">
        <v>1077</v>
      </c>
      <c r="H573" s="16">
        <v>45282.0</v>
      </c>
      <c r="I573" s="17">
        <f t="shared" si="15"/>
        <v>4193</v>
      </c>
      <c r="J573" s="25" t="s">
        <v>1</v>
      </c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ht="33.75" customHeight="1">
      <c r="A574" s="11" t="s">
        <v>1078</v>
      </c>
      <c r="B574" s="30" t="s">
        <v>398</v>
      </c>
      <c r="C574" s="172" t="s">
        <v>1079</v>
      </c>
      <c r="D574" s="173"/>
      <c r="E574" s="78">
        <v>46028.0</v>
      </c>
      <c r="F574" s="14" t="s">
        <v>287</v>
      </c>
      <c r="G574" s="15" t="s">
        <v>1080</v>
      </c>
      <c r="H574" s="16">
        <v>19471.0</v>
      </c>
      <c r="I574" s="17">
        <f t="shared" si="15"/>
        <v>62529</v>
      </c>
      <c r="J574" s="25" t="s">
        <v>1</v>
      </c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ht="33.75" customHeight="1">
      <c r="A575" s="24" t="s">
        <v>837</v>
      </c>
      <c r="B575" s="22" t="s">
        <v>15</v>
      </c>
      <c r="C575" s="77" t="s">
        <v>1027</v>
      </c>
      <c r="D575" s="77"/>
      <c r="E575" s="64">
        <v>46028.0</v>
      </c>
      <c r="F575" s="14" t="s">
        <v>287</v>
      </c>
      <c r="G575" s="15" t="s">
        <v>1081</v>
      </c>
      <c r="H575" s="16">
        <v>25944.0</v>
      </c>
      <c r="I575" s="17">
        <f t="shared" si="15"/>
        <v>4592</v>
      </c>
      <c r="J575" s="25" t="s">
        <v>1</v>
      </c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ht="33.75" customHeight="1">
      <c r="A576" s="11" t="s">
        <v>369</v>
      </c>
      <c r="B576" s="20" t="s">
        <v>49</v>
      </c>
      <c r="C576" s="11" t="s">
        <v>1082</v>
      </c>
      <c r="D576" s="11"/>
      <c r="E576" s="64">
        <v>46029.0</v>
      </c>
      <c r="F576" s="14" t="s">
        <v>26</v>
      </c>
      <c r="G576" s="15" t="s">
        <v>72</v>
      </c>
      <c r="H576" s="16">
        <v>10049.0</v>
      </c>
      <c r="I576" s="17">
        <f t="shared" si="15"/>
        <v>4951</v>
      </c>
      <c r="J576" s="25" t="s">
        <v>1</v>
      </c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ht="33.75" customHeight="1">
      <c r="A577" s="11" t="s">
        <v>1083</v>
      </c>
      <c r="B577" s="20" t="s">
        <v>49</v>
      </c>
      <c r="C577" s="11" t="s">
        <v>1082</v>
      </c>
      <c r="D577" s="11"/>
      <c r="E577" s="76">
        <v>46029.0</v>
      </c>
      <c r="F577" s="14" t="s">
        <v>26</v>
      </c>
      <c r="G577" s="15" t="s">
        <v>21</v>
      </c>
      <c r="H577" s="16">
        <v>5208.0</v>
      </c>
      <c r="I577" s="17">
        <f t="shared" si="15"/>
        <v>4792</v>
      </c>
      <c r="J577" s="25" t="s">
        <v>1</v>
      </c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ht="33.75" customHeight="1">
      <c r="A578" s="11" t="s">
        <v>370</v>
      </c>
      <c r="B578" s="20" t="s">
        <v>49</v>
      </c>
      <c r="C578" s="11" t="s">
        <v>1082</v>
      </c>
      <c r="D578" s="11"/>
      <c r="E578" s="76">
        <v>46029.0</v>
      </c>
      <c r="F578" s="14" t="s">
        <v>26</v>
      </c>
      <c r="G578" s="15" t="s">
        <v>21</v>
      </c>
      <c r="H578" s="16">
        <v>6672.0</v>
      </c>
      <c r="I578" s="17">
        <f t="shared" si="15"/>
        <v>3328</v>
      </c>
      <c r="J578" s="25" t="s">
        <v>1</v>
      </c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ht="33.75" customHeight="1">
      <c r="A579" s="11" t="s">
        <v>1084</v>
      </c>
      <c r="B579" s="20" t="s">
        <v>49</v>
      </c>
      <c r="C579" s="11" t="s">
        <v>1082</v>
      </c>
      <c r="D579" s="11"/>
      <c r="E579" s="76">
        <v>46029.0</v>
      </c>
      <c r="F579" s="14" t="s">
        <v>26</v>
      </c>
      <c r="G579" s="15" t="s">
        <v>21</v>
      </c>
      <c r="H579" s="16">
        <v>7977.0</v>
      </c>
      <c r="I579" s="17">
        <f t="shared" si="15"/>
        <v>2023</v>
      </c>
      <c r="J579" s="25" t="s">
        <v>1</v>
      </c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ht="33.75" customHeight="1">
      <c r="A580" s="11" t="s">
        <v>28</v>
      </c>
      <c r="B580" s="22" t="s">
        <v>81</v>
      </c>
      <c r="C580" s="11" t="s">
        <v>1085</v>
      </c>
      <c r="D580" s="11"/>
      <c r="E580" s="64">
        <v>46029.0</v>
      </c>
      <c r="F580" s="14" t="s">
        <v>17</v>
      </c>
      <c r="G580" s="15" t="s">
        <v>933</v>
      </c>
      <c r="H580" s="16">
        <v>9768.0</v>
      </c>
      <c r="I580" s="17">
        <f t="shared" si="15"/>
        <v>1432</v>
      </c>
      <c r="J580" s="25" t="s">
        <v>1</v>
      </c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ht="33.75" customHeight="1">
      <c r="A581" s="11" t="s">
        <v>40</v>
      </c>
      <c r="B581" s="22" t="s">
        <v>1086</v>
      </c>
      <c r="C581" s="11" t="s">
        <v>1087</v>
      </c>
      <c r="D581" s="11"/>
      <c r="E581" s="64">
        <v>46029.0</v>
      </c>
      <c r="F581" s="14" t="s">
        <v>17</v>
      </c>
      <c r="G581" s="15" t="s">
        <v>1088</v>
      </c>
      <c r="H581" s="16">
        <v>34328.0</v>
      </c>
      <c r="I581" s="17">
        <f t="shared" si="15"/>
        <v>3395</v>
      </c>
      <c r="J581" s="25" t="s">
        <v>1</v>
      </c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ht="33.75" customHeight="1">
      <c r="A582" s="11" t="s">
        <v>1089</v>
      </c>
      <c r="B582" s="22" t="s">
        <v>44</v>
      </c>
      <c r="C582" s="11" t="s">
        <v>1090</v>
      </c>
      <c r="D582" s="11"/>
      <c r="E582" s="76">
        <v>46029.0</v>
      </c>
      <c r="F582" s="14" t="s">
        <v>287</v>
      </c>
      <c r="G582" s="15" t="s">
        <v>1091</v>
      </c>
      <c r="H582" s="16">
        <v>34860.0</v>
      </c>
      <c r="I582" s="17">
        <f t="shared" si="15"/>
        <v>8942</v>
      </c>
      <c r="J582" s="25" t="s">
        <v>1</v>
      </c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ht="33.75" customHeight="1">
      <c r="A583" s="11" t="s">
        <v>210</v>
      </c>
      <c r="B583" s="22" t="s">
        <v>85</v>
      </c>
      <c r="C583" s="11" t="s">
        <v>1092</v>
      </c>
      <c r="D583" s="11"/>
      <c r="E583" s="76">
        <v>46029.0</v>
      </c>
      <c r="F583" s="14" t="s">
        <v>99</v>
      </c>
      <c r="G583" s="15" t="s">
        <v>21</v>
      </c>
      <c r="H583" s="16">
        <v>9871.0</v>
      </c>
      <c r="I583" s="17">
        <f t="shared" si="15"/>
        <v>129</v>
      </c>
      <c r="J583" s="25" t="s">
        <v>1</v>
      </c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ht="33.75" customHeight="1">
      <c r="A584" s="11" t="s">
        <v>1068</v>
      </c>
      <c r="B584" s="22" t="s">
        <v>88</v>
      </c>
      <c r="C584" s="11" t="s">
        <v>1069</v>
      </c>
      <c r="D584" s="11"/>
      <c r="E584" s="76">
        <v>46029.0</v>
      </c>
      <c r="F584" s="14" t="s">
        <v>99</v>
      </c>
      <c r="G584" s="15" t="s">
        <v>1093</v>
      </c>
      <c r="H584" s="16">
        <v>12017.0</v>
      </c>
      <c r="I584" s="17">
        <f t="shared" si="15"/>
        <v>1452</v>
      </c>
      <c r="J584" s="25" t="s">
        <v>1</v>
      </c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ht="33.75" customHeight="1">
      <c r="A585" s="11" t="s">
        <v>884</v>
      </c>
      <c r="B585" s="22" t="s">
        <v>31</v>
      </c>
      <c r="C585" s="11" t="s">
        <v>1094</v>
      </c>
      <c r="D585" s="11"/>
      <c r="E585" s="76">
        <v>46029.0</v>
      </c>
      <c r="F585" s="14" t="s">
        <v>287</v>
      </c>
      <c r="G585" s="15" t="s">
        <v>1095</v>
      </c>
      <c r="H585" s="16">
        <v>34762.0</v>
      </c>
      <c r="I585" s="17">
        <f t="shared" si="15"/>
        <v>7738</v>
      </c>
      <c r="J585" s="25" t="s">
        <v>1</v>
      </c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ht="33.75" customHeight="1">
      <c r="A586" s="11" t="s">
        <v>752</v>
      </c>
      <c r="B586" s="22" t="s">
        <v>91</v>
      </c>
      <c r="C586" s="11" t="s">
        <v>1096</v>
      </c>
      <c r="D586" s="11"/>
      <c r="E586" s="64">
        <v>46029.0</v>
      </c>
      <c r="F586" s="14" t="s">
        <v>17</v>
      </c>
      <c r="G586" s="15" t="s">
        <v>21</v>
      </c>
      <c r="H586" s="16">
        <v>8949.0</v>
      </c>
      <c r="I586" s="17">
        <f t="shared" si="15"/>
        <v>1051</v>
      </c>
      <c r="J586" s="25" t="s">
        <v>1</v>
      </c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ht="33.75" customHeight="1">
      <c r="A587" s="11" t="s">
        <v>135</v>
      </c>
      <c r="B587" s="22" t="s">
        <v>1097</v>
      </c>
      <c r="C587" s="11" t="s">
        <v>1072</v>
      </c>
      <c r="D587" s="11"/>
      <c r="E587" s="64">
        <v>46029.0</v>
      </c>
      <c r="F587" s="14" t="s">
        <v>99</v>
      </c>
      <c r="G587" s="15" t="s">
        <v>1098</v>
      </c>
      <c r="H587" s="16">
        <v>27122.0</v>
      </c>
      <c r="I587" s="17">
        <f t="shared" si="15"/>
        <v>5914</v>
      </c>
      <c r="J587" s="25" t="s">
        <v>1</v>
      </c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ht="33.75" customHeight="1">
      <c r="A588" s="11" t="s">
        <v>1099</v>
      </c>
      <c r="B588" s="22" t="s">
        <v>161</v>
      </c>
      <c r="C588" s="11" t="s">
        <v>1100</v>
      </c>
      <c r="D588" s="11"/>
      <c r="E588" s="64">
        <v>46029.0</v>
      </c>
      <c r="F588" s="14" t="s">
        <v>99</v>
      </c>
      <c r="G588" s="15" t="s">
        <v>1101</v>
      </c>
      <c r="H588" s="16">
        <v>7894.0</v>
      </c>
      <c r="I588" s="17">
        <f t="shared" si="15"/>
        <v>2253</v>
      </c>
      <c r="J588" s="25" t="s">
        <v>1</v>
      </c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ht="33.75" customHeight="1">
      <c r="A589" s="11" t="s">
        <v>276</v>
      </c>
      <c r="B589" s="22"/>
      <c r="C589" s="11" t="s">
        <v>1102</v>
      </c>
      <c r="D589" s="11"/>
      <c r="E589" s="76">
        <v>46029.0</v>
      </c>
      <c r="F589" s="14" t="s">
        <v>17</v>
      </c>
      <c r="G589" s="15" t="s">
        <v>1103</v>
      </c>
      <c r="H589" s="16">
        <v>33858.0</v>
      </c>
      <c r="I589" s="17">
        <f t="shared" si="15"/>
        <v>25209</v>
      </c>
      <c r="J589" s="25" t="s">
        <v>1</v>
      </c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ht="33.75" customHeight="1">
      <c r="A590" s="11" t="s">
        <v>1104</v>
      </c>
      <c r="B590" s="22" t="s">
        <v>98</v>
      </c>
      <c r="C590" s="11" t="s">
        <v>1105</v>
      </c>
      <c r="D590" s="11"/>
      <c r="E590" s="76">
        <v>46029.0</v>
      </c>
      <c r="F590" s="14" t="s">
        <v>26</v>
      </c>
      <c r="G590" s="15" t="s">
        <v>21</v>
      </c>
      <c r="H590" s="16">
        <v>8239.0</v>
      </c>
      <c r="I590" s="17">
        <f t="shared" si="15"/>
        <v>1761</v>
      </c>
      <c r="J590" s="25" t="s">
        <v>1</v>
      </c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ht="33.75" customHeight="1">
      <c r="A591" s="11" t="s">
        <v>749</v>
      </c>
      <c r="B591" s="22" t="s">
        <v>98</v>
      </c>
      <c r="C591" s="11" t="s">
        <v>1106</v>
      </c>
      <c r="D591" s="11"/>
      <c r="E591" s="64">
        <v>46029.0</v>
      </c>
      <c r="F591" s="14" t="s">
        <v>99</v>
      </c>
      <c r="G591" s="15" t="s">
        <v>1107</v>
      </c>
      <c r="H591" s="16">
        <v>12927.0</v>
      </c>
      <c r="I591" s="17">
        <f t="shared" si="15"/>
        <v>2289</v>
      </c>
      <c r="J591" s="25" t="s">
        <v>1</v>
      </c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ht="33.75" customHeight="1">
      <c r="A592" s="11" t="s">
        <v>1078</v>
      </c>
      <c r="B592" s="22" t="s">
        <v>398</v>
      </c>
      <c r="C592" s="11" t="s">
        <v>1108</v>
      </c>
      <c r="D592" s="11"/>
      <c r="E592" s="64">
        <v>46029.0</v>
      </c>
      <c r="F592" s="14" t="s">
        <v>287</v>
      </c>
      <c r="G592" s="15" t="s">
        <v>1109</v>
      </c>
      <c r="H592" s="16">
        <v>40000.0</v>
      </c>
      <c r="I592" s="17">
        <f t="shared" si="15"/>
        <v>1000</v>
      </c>
      <c r="J592" s="25" t="s">
        <v>1</v>
      </c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ht="33.75" customHeight="1">
      <c r="A593" s="11" t="s">
        <v>1078</v>
      </c>
      <c r="B593" s="22" t="s">
        <v>398</v>
      </c>
      <c r="C593" s="11" t="s">
        <v>1110</v>
      </c>
      <c r="D593" s="11"/>
      <c r="E593" s="64">
        <v>46029.0</v>
      </c>
      <c r="F593" s="14" t="s">
        <v>287</v>
      </c>
      <c r="G593" s="15" t="s">
        <v>1109</v>
      </c>
      <c r="H593" s="16">
        <v>40027.0</v>
      </c>
      <c r="I593" s="17">
        <f t="shared" si="15"/>
        <v>973</v>
      </c>
      <c r="J593" s="25" t="s">
        <v>1</v>
      </c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ht="33.75" customHeight="1">
      <c r="A594" s="11" t="s">
        <v>1111</v>
      </c>
      <c r="B594" s="22" t="s">
        <v>802</v>
      </c>
      <c r="C594" s="11" t="s">
        <v>1112</v>
      </c>
      <c r="D594" s="11"/>
      <c r="E594" s="64">
        <v>45665.0</v>
      </c>
      <c r="F594" s="14" t="s">
        <v>287</v>
      </c>
      <c r="G594" s="15" t="s">
        <v>110</v>
      </c>
      <c r="H594" s="16" t="s">
        <v>1113</v>
      </c>
      <c r="I594" s="17">
        <f t="shared" si="15"/>
        <v>3503</v>
      </c>
      <c r="J594" s="25" t="s">
        <v>1</v>
      </c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ht="33.75" customHeight="1">
      <c r="A595" s="11" t="s">
        <v>28</v>
      </c>
      <c r="B595" s="22" t="s">
        <v>49</v>
      </c>
      <c r="C595" s="11" t="s">
        <v>1114</v>
      </c>
      <c r="D595" s="11"/>
      <c r="E595" s="64">
        <v>45665.0</v>
      </c>
      <c r="F595" s="14" t="s">
        <v>17</v>
      </c>
      <c r="G595" s="15" t="s">
        <v>21</v>
      </c>
      <c r="H595" s="16" t="s">
        <v>1115</v>
      </c>
      <c r="I595" s="17">
        <f t="shared" si="15"/>
        <v>-12042</v>
      </c>
      <c r="J595" s="25" t="s">
        <v>1</v>
      </c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ht="33.75" customHeight="1">
      <c r="A596" s="11" t="s">
        <v>1116</v>
      </c>
      <c r="B596" s="20" t="s">
        <v>49</v>
      </c>
      <c r="C596" s="11" t="s">
        <v>1117</v>
      </c>
      <c r="D596" s="11"/>
      <c r="E596" s="64">
        <v>46030.0</v>
      </c>
      <c r="F596" s="14" t="s">
        <v>99</v>
      </c>
      <c r="G596" s="38" t="s">
        <v>21</v>
      </c>
      <c r="H596" s="28"/>
      <c r="I596" s="17">
        <f t="shared" si="15"/>
        <v>10000</v>
      </c>
      <c r="J596" s="25" t="s">
        <v>1</v>
      </c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ht="33.75" customHeight="1">
      <c r="A597" s="11" t="s">
        <v>667</v>
      </c>
      <c r="B597" s="20" t="s">
        <v>49</v>
      </c>
      <c r="C597" s="11" t="s">
        <v>1117</v>
      </c>
      <c r="D597" s="11"/>
      <c r="E597" s="64">
        <v>46030.0</v>
      </c>
      <c r="F597" s="14" t="s">
        <v>99</v>
      </c>
      <c r="G597" s="38" t="s">
        <v>21</v>
      </c>
      <c r="H597" s="16" t="s">
        <v>1118</v>
      </c>
      <c r="I597" s="17">
        <f t="shared" si="15"/>
        <v>1453</v>
      </c>
      <c r="J597" s="25" t="s">
        <v>1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ht="33.75" customHeight="1">
      <c r="A598" s="11" t="s">
        <v>109</v>
      </c>
      <c r="B598" s="20" t="s">
        <v>49</v>
      </c>
      <c r="C598" s="11" t="s">
        <v>1117</v>
      </c>
      <c r="D598" s="11"/>
      <c r="E598" s="64">
        <v>46030.0</v>
      </c>
      <c r="F598" s="14" t="s">
        <v>99</v>
      </c>
      <c r="G598" s="38" t="s">
        <v>21</v>
      </c>
      <c r="H598" s="16" t="s">
        <v>1119</v>
      </c>
      <c r="I598" s="17">
        <f t="shared" si="15"/>
        <v>1067</v>
      </c>
      <c r="J598" s="25" t="s">
        <v>1</v>
      </c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ht="33.75" customHeight="1">
      <c r="A599" s="11" t="s">
        <v>516</v>
      </c>
      <c r="B599" s="20" t="s">
        <v>49</v>
      </c>
      <c r="C599" s="11" t="s">
        <v>1120</v>
      </c>
      <c r="D599" s="11"/>
      <c r="E599" s="64">
        <v>46030.0</v>
      </c>
      <c r="F599" s="14" t="s">
        <v>99</v>
      </c>
      <c r="G599" s="38" t="s">
        <v>21</v>
      </c>
      <c r="H599" s="16">
        <v>6297.0</v>
      </c>
      <c r="I599" s="17">
        <f t="shared" si="15"/>
        <v>3703</v>
      </c>
      <c r="J599" s="25" t="s">
        <v>1</v>
      </c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ht="33.75" customHeight="1">
      <c r="A600" s="11" t="s">
        <v>517</v>
      </c>
      <c r="B600" s="20" t="s">
        <v>49</v>
      </c>
      <c r="C600" s="11" t="s">
        <v>1120</v>
      </c>
      <c r="D600" s="11"/>
      <c r="E600" s="64">
        <v>46030.0</v>
      </c>
      <c r="F600" s="14" t="s">
        <v>99</v>
      </c>
      <c r="G600" s="38" t="s">
        <v>21</v>
      </c>
      <c r="H600" s="16">
        <v>5886.0</v>
      </c>
      <c r="I600" s="17">
        <f t="shared" si="15"/>
        <v>4114</v>
      </c>
      <c r="J600" s="25" t="s">
        <v>1</v>
      </c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ht="33.75" customHeight="1">
      <c r="A601" s="11" t="s">
        <v>1121</v>
      </c>
      <c r="B601" s="20" t="s">
        <v>49</v>
      </c>
      <c r="C601" s="11" t="s">
        <v>1120</v>
      </c>
      <c r="D601" s="11"/>
      <c r="E601" s="64">
        <v>46030.0</v>
      </c>
      <c r="F601" s="14" t="s">
        <v>99</v>
      </c>
      <c r="G601" s="38" t="s">
        <v>21</v>
      </c>
      <c r="H601" s="16">
        <v>8547.0</v>
      </c>
      <c r="I601" s="17">
        <f t="shared" si="15"/>
        <v>1453</v>
      </c>
      <c r="J601" s="25" t="s">
        <v>1</v>
      </c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ht="33.75" customHeight="1">
      <c r="A602" s="11" t="s">
        <v>373</v>
      </c>
      <c r="B602" s="20" t="s">
        <v>49</v>
      </c>
      <c r="C602" s="11" t="s">
        <v>1120</v>
      </c>
      <c r="D602" s="11"/>
      <c r="E602" s="64">
        <v>46030.0</v>
      </c>
      <c r="F602" s="14" t="s">
        <v>99</v>
      </c>
      <c r="G602" s="38" t="s">
        <v>21</v>
      </c>
      <c r="H602" s="16">
        <v>6971.0</v>
      </c>
      <c r="I602" s="17">
        <f t="shared" si="15"/>
        <v>3029</v>
      </c>
      <c r="J602" s="25" t="s">
        <v>1</v>
      </c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ht="33.75" customHeight="1">
      <c r="A603" s="11" t="s">
        <v>375</v>
      </c>
      <c r="B603" s="20" t="s">
        <v>49</v>
      </c>
      <c r="C603" s="11" t="s">
        <v>1120</v>
      </c>
      <c r="D603" s="11"/>
      <c r="E603" s="64">
        <v>46030.0</v>
      </c>
      <c r="F603" s="14" t="s">
        <v>99</v>
      </c>
      <c r="G603" s="38" t="s">
        <v>21</v>
      </c>
      <c r="H603" s="16">
        <v>0.0</v>
      </c>
      <c r="I603" s="17">
        <f t="shared" si="15"/>
        <v>10000</v>
      </c>
      <c r="J603" s="25" t="s">
        <v>1</v>
      </c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ht="33.75" customHeight="1">
      <c r="A604" s="11" t="s">
        <v>715</v>
      </c>
      <c r="B604" s="22" t="s">
        <v>31</v>
      </c>
      <c r="C604" s="11" t="s">
        <v>1122</v>
      </c>
      <c r="D604" s="11"/>
      <c r="E604" s="64">
        <v>46030.0</v>
      </c>
      <c r="F604" s="14" t="s">
        <v>287</v>
      </c>
      <c r="G604" s="15" t="s">
        <v>1123</v>
      </c>
      <c r="H604" s="16">
        <v>9296.0</v>
      </c>
      <c r="I604" s="17">
        <f t="shared" si="15"/>
        <v>1185</v>
      </c>
      <c r="J604" s="25" t="s">
        <v>1</v>
      </c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ht="33.75" customHeight="1">
      <c r="A605" s="11" t="s">
        <v>1124</v>
      </c>
      <c r="B605" s="22" t="s">
        <v>31</v>
      </c>
      <c r="C605" s="11" t="s">
        <v>1125</v>
      </c>
      <c r="D605" s="11"/>
      <c r="E605" s="64">
        <v>46030.0</v>
      </c>
      <c r="F605" s="14" t="s">
        <v>17</v>
      </c>
      <c r="G605" s="15" t="s">
        <v>1126</v>
      </c>
      <c r="H605" s="16" t="s">
        <v>1127</v>
      </c>
      <c r="I605" s="17">
        <f t="shared" si="15"/>
        <v>12823</v>
      </c>
      <c r="J605" s="25" t="s">
        <v>1</v>
      </c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ht="33.75" customHeight="1">
      <c r="A606" s="11" t="s">
        <v>1128</v>
      </c>
      <c r="B606" s="22" t="s">
        <v>31</v>
      </c>
      <c r="C606" s="11" t="s">
        <v>1129</v>
      </c>
      <c r="D606" s="11"/>
      <c r="E606" s="64">
        <v>46030.0</v>
      </c>
      <c r="F606" s="14" t="s">
        <v>17</v>
      </c>
      <c r="G606" s="15" t="s">
        <v>1130</v>
      </c>
      <c r="H606" s="16" t="s">
        <v>1131</v>
      </c>
      <c r="I606" s="17">
        <f t="shared" si="15"/>
        <v>1434</v>
      </c>
      <c r="J606" s="25" t="s">
        <v>1</v>
      </c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ht="33.75" customHeight="1">
      <c r="A607" s="11" t="s">
        <v>688</v>
      </c>
      <c r="B607" s="22" t="s">
        <v>31</v>
      </c>
      <c r="C607" s="11" t="s">
        <v>1132</v>
      </c>
      <c r="D607" s="11"/>
      <c r="E607" s="64">
        <v>46030.0</v>
      </c>
      <c r="F607" s="14" t="s">
        <v>1133</v>
      </c>
      <c r="G607" s="15" t="s">
        <v>21</v>
      </c>
      <c r="H607" s="16" t="s">
        <v>1134</v>
      </c>
      <c r="I607" s="17">
        <f t="shared" si="15"/>
        <v>1300</v>
      </c>
      <c r="J607" s="25" t="s">
        <v>1</v>
      </c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ht="33.75" customHeight="1">
      <c r="A608" s="11" t="s">
        <v>210</v>
      </c>
      <c r="B608" s="22" t="s">
        <v>91</v>
      </c>
      <c r="C608" s="11" t="s">
        <v>1092</v>
      </c>
      <c r="D608" s="11"/>
      <c r="E608" s="64">
        <v>46030.0</v>
      </c>
      <c r="F608" s="14" t="s">
        <v>1133</v>
      </c>
      <c r="G608" s="15" t="s">
        <v>21</v>
      </c>
      <c r="H608" s="16" t="s">
        <v>1135</v>
      </c>
      <c r="I608" s="17">
        <f t="shared" si="15"/>
        <v>85</v>
      </c>
      <c r="J608" s="25" t="s">
        <v>1</v>
      </c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ht="33.75" customHeight="1">
      <c r="A609" s="11" t="s">
        <v>28</v>
      </c>
      <c r="B609" s="22" t="s">
        <v>91</v>
      </c>
      <c r="C609" s="11" t="s">
        <v>1114</v>
      </c>
      <c r="D609" s="11"/>
      <c r="E609" s="64">
        <v>46030.0</v>
      </c>
      <c r="F609" s="14" t="s">
        <v>17</v>
      </c>
      <c r="G609" s="15" t="s">
        <v>72</v>
      </c>
      <c r="H609" s="16" t="s">
        <v>1136</v>
      </c>
      <c r="I609" s="17">
        <f t="shared" si="15"/>
        <v>1725</v>
      </c>
      <c r="J609" s="25" t="s">
        <v>1</v>
      </c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ht="33.75" customHeight="1">
      <c r="A610" s="11" t="s">
        <v>534</v>
      </c>
      <c r="B610" s="22" t="s">
        <v>34</v>
      </c>
      <c r="C610" s="11" t="s">
        <v>1137</v>
      </c>
      <c r="D610" s="11"/>
      <c r="E610" s="64">
        <v>46030.0</v>
      </c>
      <c r="F610" s="14" t="s">
        <v>1133</v>
      </c>
      <c r="G610" s="15" t="s">
        <v>72</v>
      </c>
      <c r="H610" s="15" t="s">
        <v>1138</v>
      </c>
      <c r="I610" s="17">
        <f t="shared" si="15"/>
        <v>1083</v>
      </c>
      <c r="J610" s="91" t="s">
        <v>1139</v>
      </c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33.75" customHeight="1">
      <c r="A611" s="11" t="s">
        <v>789</v>
      </c>
      <c r="B611" s="22" t="s">
        <v>34</v>
      </c>
      <c r="C611" s="11" t="s">
        <v>1140</v>
      </c>
      <c r="D611" s="11"/>
      <c r="E611" s="64">
        <v>46030.0</v>
      </c>
      <c r="F611" s="14" t="s">
        <v>1141</v>
      </c>
      <c r="G611" s="15" t="s">
        <v>590</v>
      </c>
      <c r="H611" s="15" t="s">
        <v>1142</v>
      </c>
      <c r="I611" s="17">
        <f t="shared" si="15"/>
        <v>1371</v>
      </c>
      <c r="J611" s="91" t="s">
        <v>1139</v>
      </c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33.75" customHeight="1">
      <c r="A612" s="11" t="s">
        <v>135</v>
      </c>
      <c r="B612" s="22" t="s">
        <v>1143</v>
      </c>
      <c r="C612" s="11" t="s">
        <v>1072</v>
      </c>
      <c r="D612" s="11"/>
      <c r="E612" s="64">
        <v>46030.0</v>
      </c>
      <c r="F612" s="14" t="s">
        <v>287</v>
      </c>
      <c r="G612" s="15" t="s">
        <v>1098</v>
      </c>
      <c r="H612" s="16">
        <v>26890.0</v>
      </c>
      <c r="I612" s="17">
        <f t="shared" si="15"/>
        <v>6146</v>
      </c>
      <c r="J612" s="25" t="s">
        <v>1</v>
      </c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ht="33.75" customHeight="1">
      <c r="A613" s="11" t="s">
        <v>701</v>
      </c>
      <c r="B613" s="22" t="s">
        <v>237</v>
      </c>
      <c r="C613" s="11" t="s">
        <v>1038</v>
      </c>
      <c r="D613" s="11"/>
      <c r="E613" s="64">
        <v>46030.0</v>
      </c>
      <c r="F613" s="14" t="s">
        <v>99</v>
      </c>
      <c r="G613" s="15" t="s">
        <v>1144</v>
      </c>
      <c r="H613" s="16" t="s">
        <v>1145</v>
      </c>
      <c r="I613" s="17">
        <f t="shared" si="15"/>
        <v>2242</v>
      </c>
      <c r="J613" s="25" t="s">
        <v>1</v>
      </c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ht="33.75" customHeight="1">
      <c r="A614" s="11" t="s">
        <v>1146</v>
      </c>
      <c r="B614" s="22" t="s">
        <v>34</v>
      </c>
      <c r="C614" s="11" t="s">
        <v>1147</v>
      </c>
      <c r="D614" s="11"/>
      <c r="E614" s="64">
        <v>46030.0</v>
      </c>
      <c r="F614" s="14" t="s">
        <v>99</v>
      </c>
      <c r="G614" s="15" t="s">
        <v>110</v>
      </c>
      <c r="H614" s="16">
        <v>14249.0</v>
      </c>
      <c r="I614" s="17">
        <f t="shared" si="15"/>
        <v>5751</v>
      </c>
      <c r="J614" s="25" t="s">
        <v>1</v>
      </c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ht="33.75" customHeight="1">
      <c r="A615" s="11" t="s">
        <v>469</v>
      </c>
      <c r="B615" s="22" t="s">
        <v>15</v>
      </c>
      <c r="C615" s="33" t="s">
        <v>1148</v>
      </c>
      <c r="D615" s="33"/>
      <c r="E615" s="64">
        <v>46030.0</v>
      </c>
      <c r="F615" s="14" t="s">
        <v>1141</v>
      </c>
      <c r="G615" s="15" t="s">
        <v>1149</v>
      </c>
      <c r="H615" s="15" t="s">
        <v>1150</v>
      </c>
      <c r="I615" s="17">
        <f t="shared" si="15"/>
        <v>2602</v>
      </c>
      <c r="J615" s="91" t="s">
        <v>3</v>
      </c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33.75" customHeight="1">
      <c r="A616" s="11" t="s">
        <v>40</v>
      </c>
      <c r="B616" s="30" t="s">
        <v>15</v>
      </c>
      <c r="C616" s="43" t="s">
        <v>1151</v>
      </c>
      <c r="D616" s="29"/>
      <c r="E616" s="78">
        <v>46030.0</v>
      </c>
      <c r="F616" s="14" t="s">
        <v>17</v>
      </c>
      <c r="G616" s="15" t="s">
        <v>1152</v>
      </c>
      <c r="H616" s="15" t="s">
        <v>1153</v>
      </c>
      <c r="I616" s="17">
        <f t="shared" si="15"/>
        <v>1881</v>
      </c>
      <c r="J616" s="25" t="s">
        <v>1</v>
      </c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ht="33.75" customHeight="1">
      <c r="A617" s="11" t="s">
        <v>1078</v>
      </c>
      <c r="B617" s="30" t="s">
        <v>398</v>
      </c>
      <c r="C617" s="43" t="s">
        <v>1154</v>
      </c>
      <c r="D617" s="29"/>
      <c r="E617" s="78">
        <v>46030.0</v>
      </c>
      <c r="F617" s="14" t="s">
        <v>17</v>
      </c>
      <c r="G617" s="15" t="s">
        <v>1109</v>
      </c>
      <c r="H617" s="15" t="s">
        <v>1155</v>
      </c>
      <c r="I617" s="17">
        <f t="shared" si="15"/>
        <v>1226</v>
      </c>
      <c r="J617" s="25" t="s">
        <v>1</v>
      </c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ht="33.75" customHeight="1">
      <c r="A618" s="11" t="s">
        <v>1078</v>
      </c>
      <c r="B618" s="22" t="s">
        <v>398</v>
      </c>
      <c r="C618" s="77" t="s">
        <v>1156</v>
      </c>
      <c r="D618" s="77"/>
      <c r="E618" s="64">
        <v>46030.0</v>
      </c>
      <c r="F618" s="14" t="s">
        <v>17</v>
      </c>
      <c r="G618" s="38" t="s">
        <v>1109</v>
      </c>
      <c r="H618" s="15" t="s">
        <v>1157</v>
      </c>
      <c r="I618" s="17">
        <f t="shared" si="15"/>
        <v>4685</v>
      </c>
      <c r="J618" s="25" t="s">
        <v>1</v>
      </c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ht="33.75" customHeight="1">
      <c r="A619" s="11" t="s">
        <v>28</v>
      </c>
      <c r="B619" s="22" t="s">
        <v>81</v>
      </c>
      <c r="C619" s="11" t="s">
        <v>1158</v>
      </c>
      <c r="D619" s="11"/>
      <c r="E619" s="64">
        <v>46031.0</v>
      </c>
      <c r="F619" s="14" t="s">
        <v>17</v>
      </c>
      <c r="G619" s="15" t="s">
        <v>590</v>
      </c>
      <c r="H619" s="15" t="s">
        <v>1159</v>
      </c>
      <c r="I619" s="17">
        <f t="shared" si="15"/>
        <v>1480</v>
      </c>
      <c r="J619" s="25" t="s">
        <v>1</v>
      </c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ht="33.75" customHeight="1">
      <c r="A620" s="11" t="s">
        <v>1160</v>
      </c>
      <c r="B620" s="22" t="s">
        <v>1161</v>
      </c>
      <c r="C620" s="11" t="s">
        <v>1162</v>
      </c>
      <c r="D620" s="11"/>
      <c r="E620" s="64">
        <v>46031.0</v>
      </c>
      <c r="F620" s="14" t="s">
        <v>99</v>
      </c>
      <c r="G620" s="178">
        <v>10000.0</v>
      </c>
      <c r="H620" s="15" t="s">
        <v>1163</v>
      </c>
      <c r="I620" s="17">
        <f t="shared" si="15"/>
        <v>3338</v>
      </c>
      <c r="J620" s="25" t="s">
        <v>1</v>
      </c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ht="33.75" customHeight="1">
      <c r="A621" s="11" t="s">
        <v>375</v>
      </c>
      <c r="B621" s="22" t="s">
        <v>1161</v>
      </c>
      <c r="C621" s="11" t="s">
        <v>1162</v>
      </c>
      <c r="D621" s="11"/>
      <c r="E621" s="64">
        <v>46031.0</v>
      </c>
      <c r="F621" s="14" t="s">
        <v>99</v>
      </c>
      <c r="G621" s="178">
        <v>10000.0</v>
      </c>
      <c r="H621" s="15" t="s">
        <v>989</v>
      </c>
      <c r="I621" s="17">
        <f t="shared" si="15"/>
        <v>2776</v>
      </c>
      <c r="J621" s="25" t="s">
        <v>1</v>
      </c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ht="33.75" customHeight="1">
      <c r="A622" s="11" t="s">
        <v>1164</v>
      </c>
      <c r="B622" s="22" t="s">
        <v>1161</v>
      </c>
      <c r="C622" s="11" t="s">
        <v>1162</v>
      </c>
      <c r="D622" s="11"/>
      <c r="E622" s="64">
        <v>46031.0</v>
      </c>
      <c r="F622" s="14" t="s">
        <v>99</v>
      </c>
      <c r="G622" s="178">
        <v>10000.0</v>
      </c>
      <c r="H622" s="15" t="s">
        <v>1165</v>
      </c>
      <c r="I622" s="17">
        <f t="shared" si="15"/>
        <v>2461</v>
      </c>
      <c r="J622" s="25" t="s">
        <v>1</v>
      </c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ht="33.75" customHeight="1">
      <c r="A623" s="11" t="s">
        <v>1166</v>
      </c>
      <c r="B623" s="22" t="s">
        <v>1161</v>
      </c>
      <c r="C623" s="11" t="s">
        <v>1162</v>
      </c>
      <c r="D623" s="11"/>
      <c r="E623" s="64">
        <v>46031.0</v>
      </c>
      <c r="F623" s="14" t="s">
        <v>99</v>
      </c>
      <c r="G623" s="178">
        <v>10000.0</v>
      </c>
      <c r="H623" s="15" t="s">
        <v>1167</v>
      </c>
      <c r="I623" s="17">
        <f t="shared" si="15"/>
        <v>4485</v>
      </c>
      <c r="J623" s="25" t="s">
        <v>1</v>
      </c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ht="33.75" customHeight="1">
      <c r="A624" s="11" t="s">
        <v>369</v>
      </c>
      <c r="B624" s="22" t="s">
        <v>1161</v>
      </c>
      <c r="C624" s="11" t="s">
        <v>1162</v>
      </c>
      <c r="D624" s="11"/>
      <c r="E624" s="64">
        <v>46031.0</v>
      </c>
      <c r="F624" s="14" t="s">
        <v>99</v>
      </c>
      <c r="G624" s="178">
        <v>10000.0</v>
      </c>
      <c r="H624" s="15" t="s">
        <v>1168</v>
      </c>
      <c r="I624" s="17">
        <f t="shared" si="15"/>
        <v>3460</v>
      </c>
      <c r="J624" s="25" t="s">
        <v>1</v>
      </c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ht="33.75" customHeight="1">
      <c r="A625" s="11" t="s">
        <v>516</v>
      </c>
      <c r="B625" s="22" t="s">
        <v>1161</v>
      </c>
      <c r="C625" s="11" t="s">
        <v>1162</v>
      </c>
      <c r="D625" s="11"/>
      <c r="E625" s="64">
        <v>46031.0</v>
      </c>
      <c r="F625" s="14" t="s">
        <v>99</v>
      </c>
      <c r="G625" s="178">
        <v>10000.0</v>
      </c>
      <c r="H625" s="15" t="s">
        <v>1169</v>
      </c>
      <c r="I625" s="17">
        <f t="shared" si="15"/>
        <v>4482</v>
      </c>
      <c r="J625" s="25" t="s">
        <v>1</v>
      </c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ht="33.75" customHeight="1">
      <c r="A626" s="11" t="s">
        <v>517</v>
      </c>
      <c r="B626" s="22" t="s">
        <v>1161</v>
      </c>
      <c r="C626" s="11" t="s">
        <v>1170</v>
      </c>
      <c r="D626" s="11"/>
      <c r="E626" s="64">
        <v>46031.0</v>
      </c>
      <c r="F626" s="14" t="s">
        <v>287</v>
      </c>
      <c r="G626" s="178">
        <v>10000.0</v>
      </c>
      <c r="H626" s="15" t="s">
        <v>1171</v>
      </c>
      <c r="I626" s="17">
        <f t="shared" si="15"/>
        <v>3506</v>
      </c>
      <c r="J626" s="25" t="s">
        <v>1</v>
      </c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ht="33.75" customHeight="1">
      <c r="A627" s="11" t="s">
        <v>693</v>
      </c>
      <c r="B627" s="22" t="s">
        <v>1161</v>
      </c>
      <c r="C627" s="11" t="s">
        <v>1170</v>
      </c>
      <c r="D627" s="11"/>
      <c r="E627" s="64">
        <v>46031.0</v>
      </c>
      <c r="F627" s="14" t="s">
        <v>287</v>
      </c>
      <c r="G627" s="178">
        <v>10000.0</v>
      </c>
      <c r="H627" s="15" t="s">
        <v>1172</v>
      </c>
      <c r="I627" s="17">
        <f t="shared" si="15"/>
        <v>6129</v>
      </c>
      <c r="J627" s="25" t="s">
        <v>1</v>
      </c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ht="33.75" customHeight="1">
      <c r="A628" s="11" t="s">
        <v>1173</v>
      </c>
      <c r="B628" s="22" t="s">
        <v>1161</v>
      </c>
      <c r="C628" s="11" t="s">
        <v>1170</v>
      </c>
      <c r="D628" s="11"/>
      <c r="E628" s="64">
        <v>46031.0</v>
      </c>
      <c r="F628" s="14" t="s">
        <v>287</v>
      </c>
      <c r="G628" s="178">
        <v>10000.0</v>
      </c>
      <c r="H628" s="15" t="s">
        <v>1174</v>
      </c>
      <c r="I628" s="17">
        <f t="shared" si="15"/>
        <v>2847</v>
      </c>
      <c r="J628" s="25" t="s">
        <v>1</v>
      </c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ht="33.75" customHeight="1">
      <c r="A629" s="11" t="s">
        <v>1175</v>
      </c>
      <c r="B629" s="22" t="s">
        <v>1161</v>
      </c>
      <c r="C629" s="11" t="s">
        <v>1170</v>
      </c>
      <c r="D629" s="11"/>
      <c r="E629" s="64">
        <v>46031.0</v>
      </c>
      <c r="F629" s="14" t="s">
        <v>287</v>
      </c>
      <c r="G629" s="178">
        <v>10000.0</v>
      </c>
      <c r="H629" s="15" t="s">
        <v>1176</v>
      </c>
      <c r="I629" s="17">
        <f t="shared" si="15"/>
        <v>1312</v>
      </c>
      <c r="J629" s="25" t="s">
        <v>1</v>
      </c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ht="33.75" customHeight="1">
      <c r="A630" s="11" t="s">
        <v>1177</v>
      </c>
      <c r="B630" s="22" t="s">
        <v>1161</v>
      </c>
      <c r="C630" s="11" t="s">
        <v>1170</v>
      </c>
      <c r="D630" s="11"/>
      <c r="E630" s="64">
        <v>46031.0</v>
      </c>
      <c r="F630" s="14" t="s">
        <v>287</v>
      </c>
      <c r="G630" s="178">
        <v>10000.0</v>
      </c>
      <c r="H630" s="15" t="s">
        <v>1178</v>
      </c>
      <c r="I630" s="17">
        <f t="shared" si="15"/>
        <v>1066</v>
      </c>
      <c r="J630" s="25" t="s">
        <v>1</v>
      </c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ht="33.75" customHeight="1">
      <c r="A631" s="11" t="s">
        <v>135</v>
      </c>
      <c r="B631" s="22" t="s">
        <v>1086</v>
      </c>
      <c r="C631" s="11" t="s">
        <v>1072</v>
      </c>
      <c r="D631" s="11"/>
      <c r="E631" s="64">
        <v>46031.0</v>
      </c>
      <c r="F631" s="14" t="s">
        <v>287</v>
      </c>
      <c r="G631" s="38" t="s">
        <v>1098</v>
      </c>
      <c r="H631" s="16">
        <v>26826.0</v>
      </c>
      <c r="I631" s="17">
        <f t="shared" si="15"/>
        <v>6210</v>
      </c>
      <c r="J631" s="25" t="s">
        <v>1</v>
      </c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ht="33.75" customHeight="1">
      <c r="A632" s="11" t="s">
        <v>704</v>
      </c>
      <c r="B632" s="22" t="s">
        <v>31</v>
      </c>
      <c r="C632" s="11" t="s">
        <v>1179</v>
      </c>
      <c r="D632" s="11"/>
      <c r="E632" s="64">
        <v>46031.0</v>
      </c>
      <c r="F632" s="21" t="s">
        <v>99</v>
      </c>
      <c r="G632" s="38" t="s">
        <v>1180</v>
      </c>
      <c r="H632" s="15" t="s">
        <v>1181</v>
      </c>
      <c r="I632" s="17">
        <v>11060.0</v>
      </c>
      <c r="J632" s="25" t="s">
        <v>1</v>
      </c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ht="33.75" customHeight="1">
      <c r="A633" s="11" t="s">
        <v>674</v>
      </c>
      <c r="B633" s="22" t="s">
        <v>237</v>
      </c>
      <c r="C633" s="11" t="s">
        <v>1182</v>
      </c>
      <c r="D633" s="11"/>
      <c r="E633" s="64">
        <v>46031.0</v>
      </c>
      <c r="F633" s="14" t="s">
        <v>1133</v>
      </c>
      <c r="G633" s="15" t="s">
        <v>21</v>
      </c>
      <c r="H633" s="15" t="s">
        <v>1183</v>
      </c>
      <c r="I633" s="17">
        <f t="shared" ref="I633:I637" si="16">G633-H633</f>
        <v>1707</v>
      </c>
      <c r="J633" s="25" t="s">
        <v>1</v>
      </c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ht="33.75" customHeight="1">
      <c r="A634" s="11" t="s">
        <v>40</v>
      </c>
      <c r="B634" s="22" t="s">
        <v>1184</v>
      </c>
      <c r="C634" s="11" t="s">
        <v>1185</v>
      </c>
      <c r="D634" s="11"/>
      <c r="E634" s="64">
        <v>46031.0</v>
      </c>
      <c r="F634" s="14" t="s">
        <v>17</v>
      </c>
      <c r="G634" s="15" t="s">
        <v>1152</v>
      </c>
      <c r="H634" s="15" t="s">
        <v>1186</v>
      </c>
      <c r="I634" s="17">
        <f t="shared" si="16"/>
        <v>2811</v>
      </c>
      <c r="J634" s="25" t="s">
        <v>1</v>
      </c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ht="33.75" customHeight="1">
      <c r="A635" s="11" t="s">
        <v>752</v>
      </c>
      <c r="B635" s="22" t="s">
        <v>34</v>
      </c>
      <c r="C635" s="11" t="s">
        <v>1096</v>
      </c>
      <c r="D635" s="11"/>
      <c r="E635" s="64">
        <v>46031.0</v>
      </c>
      <c r="F635" s="14" t="s">
        <v>1141</v>
      </c>
      <c r="G635" s="15" t="s">
        <v>21</v>
      </c>
      <c r="H635" s="15" t="s">
        <v>1187</v>
      </c>
      <c r="I635" s="17">
        <f t="shared" si="16"/>
        <v>2529</v>
      </c>
      <c r="J635" s="25" t="s">
        <v>1</v>
      </c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ht="33.75" customHeight="1">
      <c r="A636" s="11" t="s">
        <v>785</v>
      </c>
      <c r="B636" s="22" t="s">
        <v>34</v>
      </c>
      <c r="C636" s="11" t="s">
        <v>1188</v>
      </c>
      <c r="D636" s="11"/>
      <c r="E636" s="64">
        <v>46031.0</v>
      </c>
      <c r="F636" s="14" t="s">
        <v>26</v>
      </c>
      <c r="G636" s="15" t="s">
        <v>72</v>
      </c>
      <c r="H636" s="15" t="s">
        <v>1189</v>
      </c>
      <c r="I636" s="17">
        <f t="shared" si="16"/>
        <v>3468</v>
      </c>
      <c r="J636" s="25" t="s">
        <v>1</v>
      </c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ht="33.75" customHeight="1">
      <c r="A637" s="11" t="s">
        <v>534</v>
      </c>
      <c r="B637" s="22" t="s">
        <v>34</v>
      </c>
      <c r="C637" s="11" t="s">
        <v>1190</v>
      </c>
      <c r="D637" s="11"/>
      <c r="E637" s="64">
        <v>46031.0</v>
      </c>
      <c r="F637" s="14" t="s">
        <v>1191</v>
      </c>
      <c r="G637" s="38" t="s">
        <v>72</v>
      </c>
      <c r="H637" s="16">
        <v>12023.0</v>
      </c>
      <c r="I637" s="17">
        <f t="shared" si="16"/>
        <v>2977</v>
      </c>
      <c r="J637" s="25" t="s">
        <v>1</v>
      </c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ht="33.75" customHeight="1">
      <c r="A638" s="24" t="s">
        <v>1192</v>
      </c>
      <c r="B638" s="22" t="s">
        <v>25</v>
      </c>
      <c r="C638" s="11" t="s">
        <v>1193</v>
      </c>
      <c r="D638" s="11"/>
      <c r="E638" s="64">
        <v>46031.0</v>
      </c>
      <c r="F638" s="21" t="s">
        <v>287</v>
      </c>
      <c r="G638" s="38" t="s">
        <v>1194</v>
      </c>
      <c r="H638" s="15" t="s">
        <v>1195</v>
      </c>
      <c r="I638" s="17">
        <v>8745.0</v>
      </c>
      <c r="J638" s="25" t="s">
        <v>1</v>
      </c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ht="33.75" customHeight="1">
      <c r="A639" s="24" t="s">
        <v>28</v>
      </c>
      <c r="B639" s="22" t="s">
        <v>49</v>
      </c>
      <c r="C639" s="11" t="s">
        <v>1196</v>
      </c>
      <c r="D639" s="11"/>
      <c r="E639" s="64">
        <v>46035.0</v>
      </c>
      <c r="F639" s="14" t="s">
        <v>17</v>
      </c>
      <c r="G639" s="178">
        <v>10999.0</v>
      </c>
      <c r="H639" s="15" t="s">
        <v>1197</v>
      </c>
      <c r="I639" s="17">
        <f t="shared" ref="I639:I656" si="17">G639-H639</f>
        <v>1386</v>
      </c>
      <c r="J639" s="25" t="s">
        <v>1</v>
      </c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ht="33.75" customHeight="1">
      <c r="A640" s="11" t="s">
        <v>693</v>
      </c>
      <c r="B640" s="20" t="s">
        <v>49</v>
      </c>
      <c r="C640" s="11" t="s">
        <v>1198</v>
      </c>
      <c r="D640" s="11"/>
      <c r="E640" s="76">
        <v>46035.0</v>
      </c>
      <c r="F640" s="14" t="s">
        <v>99</v>
      </c>
      <c r="G640" s="178">
        <v>10000.0</v>
      </c>
      <c r="H640" s="15" t="s">
        <v>1199</v>
      </c>
      <c r="I640" s="17">
        <f t="shared" si="17"/>
        <v>2198</v>
      </c>
      <c r="J640" s="25" t="s">
        <v>1</v>
      </c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ht="33.75" customHeight="1">
      <c r="A641" s="11" t="s">
        <v>695</v>
      </c>
      <c r="B641" s="20" t="s">
        <v>49</v>
      </c>
      <c r="C641" s="11" t="s">
        <v>1198</v>
      </c>
      <c r="D641" s="11"/>
      <c r="E641" s="76">
        <v>46035.0</v>
      </c>
      <c r="F641" s="14" t="s">
        <v>99</v>
      </c>
      <c r="G641" s="178">
        <v>10000.0</v>
      </c>
      <c r="H641" s="15" t="s">
        <v>1200</v>
      </c>
      <c r="I641" s="17">
        <f t="shared" si="17"/>
        <v>2285</v>
      </c>
      <c r="J641" s="25" t="s">
        <v>1</v>
      </c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ht="33.75" customHeight="1">
      <c r="A642" s="11" t="s">
        <v>109</v>
      </c>
      <c r="B642" s="20" t="s">
        <v>49</v>
      </c>
      <c r="C642" s="11" t="s">
        <v>1198</v>
      </c>
      <c r="D642" s="11"/>
      <c r="E642" s="76">
        <v>46035.0</v>
      </c>
      <c r="F642" s="14" t="s">
        <v>99</v>
      </c>
      <c r="G642" s="178">
        <v>13205.0</v>
      </c>
      <c r="H642" s="15" t="s">
        <v>1201</v>
      </c>
      <c r="I642" s="17">
        <f t="shared" si="17"/>
        <v>3741</v>
      </c>
      <c r="J642" s="25" t="s">
        <v>1</v>
      </c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ht="33.75" customHeight="1">
      <c r="A643" s="11" t="s">
        <v>515</v>
      </c>
      <c r="B643" s="20" t="s">
        <v>49</v>
      </c>
      <c r="C643" s="11" t="s">
        <v>1198</v>
      </c>
      <c r="D643" s="11"/>
      <c r="E643" s="76">
        <v>46035.0</v>
      </c>
      <c r="F643" s="14" t="s">
        <v>99</v>
      </c>
      <c r="G643" s="15" t="s">
        <v>573</v>
      </c>
      <c r="H643" s="15" t="s">
        <v>1202</v>
      </c>
      <c r="I643" s="17">
        <f t="shared" si="17"/>
        <v>1843</v>
      </c>
      <c r="J643" s="25" t="s">
        <v>1</v>
      </c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ht="33.75" customHeight="1">
      <c r="A644" s="11" t="s">
        <v>1203</v>
      </c>
      <c r="B644" s="22" t="s">
        <v>85</v>
      </c>
      <c r="C644" s="11" t="s">
        <v>1204</v>
      </c>
      <c r="D644" s="11"/>
      <c r="E644" s="76">
        <v>46035.0</v>
      </c>
      <c r="F644" s="14" t="s">
        <v>287</v>
      </c>
      <c r="G644" s="178">
        <v>10006.0</v>
      </c>
      <c r="H644" s="16">
        <v>5447.0</v>
      </c>
      <c r="I644" s="17">
        <f t="shared" si="17"/>
        <v>4559</v>
      </c>
      <c r="J644" s="25" t="s">
        <v>1</v>
      </c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ht="33.75" customHeight="1">
      <c r="A645" s="11" t="s">
        <v>210</v>
      </c>
      <c r="B645" s="22" t="s">
        <v>88</v>
      </c>
      <c r="C645" s="11" t="s">
        <v>1205</v>
      </c>
      <c r="D645" s="11"/>
      <c r="E645" s="76">
        <v>46035.0</v>
      </c>
      <c r="F645" s="14" t="s">
        <v>17</v>
      </c>
      <c r="G645" s="178">
        <v>12013.0</v>
      </c>
      <c r="H645" s="15" t="s">
        <v>1206</v>
      </c>
      <c r="I645" s="17">
        <f t="shared" si="17"/>
        <v>-7824</v>
      </c>
      <c r="J645" s="25" t="s">
        <v>1</v>
      </c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ht="33.75" customHeight="1">
      <c r="A646" s="11" t="s">
        <v>184</v>
      </c>
      <c r="B646" s="22" t="s">
        <v>88</v>
      </c>
      <c r="C646" s="11" t="s">
        <v>1207</v>
      </c>
      <c r="D646" s="11"/>
      <c r="E646" s="76">
        <v>46035.0</v>
      </c>
      <c r="F646" s="14" t="s">
        <v>287</v>
      </c>
      <c r="G646" s="178">
        <v>76396.0</v>
      </c>
      <c r="H646" s="15" t="s">
        <v>1208</v>
      </c>
      <c r="I646" s="17">
        <f t="shared" si="17"/>
        <v>35549</v>
      </c>
      <c r="J646" s="25" t="s">
        <v>1</v>
      </c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ht="33.75" customHeight="1">
      <c r="A647" s="11" t="s">
        <v>216</v>
      </c>
      <c r="B647" s="22" t="s">
        <v>260</v>
      </c>
      <c r="C647" s="11" t="s">
        <v>1209</v>
      </c>
      <c r="D647" s="11"/>
      <c r="E647" s="76">
        <v>46035.0</v>
      </c>
      <c r="F647" s="14" t="s">
        <v>99</v>
      </c>
      <c r="G647" s="178">
        <v>41565.0</v>
      </c>
      <c r="H647" s="15" t="s">
        <v>1210</v>
      </c>
      <c r="I647" s="17">
        <f t="shared" si="17"/>
        <v>19098</v>
      </c>
      <c r="J647" s="25" t="s">
        <v>1</v>
      </c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ht="33.75" customHeight="1">
      <c r="A648" s="11" t="s">
        <v>752</v>
      </c>
      <c r="B648" s="22" t="s">
        <v>31</v>
      </c>
      <c r="C648" s="11" t="s">
        <v>1059</v>
      </c>
      <c r="D648" s="11"/>
      <c r="E648" s="76">
        <v>46035.0</v>
      </c>
      <c r="F648" s="14" t="s">
        <v>17</v>
      </c>
      <c r="G648" s="178">
        <v>10000.0</v>
      </c>
      <c r="H648" s="15" t="s">
        <v>1211</v>
      </c>
      <c r="I648" s="17">
        <f t="shared" si="17"/>
        <v>5636</v>
      </c>
      <c r="J648" s="25" t="s">
        <v>1</v>
      </c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ht="33.75" customHeight="1">
      <c r="A649" s="11" t="s">
        <v>884</v>
      </c>
      <c r="B649" s="22" t="s">
        <v>140</v>
      </c>
      <c r="C649" s="11" t="s">
        <v>1212</v>
      </c>
      <c r="D649" s="11"/>
      <c r="E649" s="76">
        <v>46035.0</v>
      </c>
      <c r="F649" s="14" t="s">
        <v>287</v>
      </c>
      <c r="G649" s="178">
        <v>42473.0</v>
      </c>
      <c r="H649" s="16">
        <v>41684.0</v>
      </c>
      <c r="I649" s="17">
        <f t="shared" si="17"/>
        <v>789</v>
      </c>
      <c r="J649" s="25" t="s">
        <v>1</v>
      </c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ht="33.75" customHeight="1">
      <c r="A650" s="11" t="s">
        <v>524</v>
      </c>
      <c r="B650" s="22" t="s">
        <v>31</v>
      </c>
      <c r="C650" s="11" t="s">
        <v>1213</v>
      </c>
      <c r="D650" s="11"/>
      <c r="E650" s="76">
        <v>46035.0</v>
      </c>
      <c r="F650" s="14" t="s">
        <v>26</v>
      </c>
      <c r="G650" s="178">
        <v>10073.0</v>
      </c>
      <c r="H650" s="15" t="s">
        <v>1214</v>
      </c>
      <c r="I650" s="17">
        <f t="shared" si="17"/>
        <v>1864</v>
      </c>
      <c r="J650" s="25" t="s">
        <v>1</v>
      </c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ht="33.75" customHeight="1">
      <c r="A651" s="24" t="s">
        <v>135</v>
      </c>
      <c r="B651" s="22" t="s">
        <v>91</v>
      </c>
      <c r="C651" s="11" t="s">
        <v>348</v>
      </c>
      <c r="D651" s="11"/>
      <c r="E651" s="64">
        <v>46035.0</v>
      </c>
      <c r="F651" s="14" t="s">
        <v>287</v>
      </c>
      <c r="G651" s="178">
        <v>28000.0</v>
      </c>
      <c r="H651" s="15" t="s">
        <v>1215</v>
      </c>
      <c r="I651" s="17">
        <f t="shared" si="17"/>
        <v>2472</v>
      </c>
      <c r="J651" s="25" t="s">
        <v>1</v>
      </c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ht="33.75" customHeight="1">
      <c r="A652" s="24" t="s">
        <v>28</v>
      </c>
      <c r="B652" s="22" t="s">
        <v>91</v>
      </c>
      <c r="C652" s="11" t="s">
        <v>1196</v>
      </c>
      <c r="D652" s="11"/>
      <c r="E652" s="76">
        <v>46035.0</v>
      </c>
      <c r="F652" s="14" t="s">
        <v>17</v>
      </c>
      <c r="G652" s="178">
        <v>11000.0</v>
      </c>
      <c r="H652" s="15" t="s">
        <v>1216</v>
      </c>
      <c r="I652" s="17">
        <f t="shared" si="17"/>
        <v>1320</v>
      </c>
      <c r="J652" s="25" t="s">
        <v>1</v>
      </c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ht="33.75" customHeight="1">
      <c r="A653" s="11" t="s">
        <v>489</v>
      </c>
      <c r="B653" s="22" t="s">
        <v>125</v>
      </c>
      <c r="C653" s="11" t="s">
        <v>1217</v>
      </c>
      <c r="D653" s="11"/>
      <c r="E653" s="76">
        <v>46035.0</v>
      </c>
      <c r="F653" s="14" t="s">
        <v>17</v>
      </c>
      <c r="G653" s="178">
        <v>49643.0</v>
      </c>
      <c r="H653" s="15" t="s">
        <v>1218</v>
      </c>
      <c r="I653" s="17">
        <f t="shared" si="17"/>
        <v>16813</v>
      </c>
      <c r="J653" s="25" t="s">
        <v>1</v>
      </c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ht="33.75" customHeight="1">
      <c r="A654" s="11" t="s">
        <v>489</v>
      </c>
      <c r="B654" s="22" t="s">
        <v>125</v>
      </c>
      <c r="C654" s="11" t="s">
        <v>1217</v>
      </c>
      <c r="D654" s="11"/>
      <c r="E654" s="76">
        <v>46035.0</v>
      </c>
      <c r="F654" s="14" t="s">
        <v>17</v>
      </c>
      <c r="G654" s="178">
        <v>49643.0</v>
      </c>
      <c r="H654" s="15" t="s">
        <v>1218</v>
      </c>
      <c r="I654" s="17">
        <f t="shared" si="17"/>
        <v>16813</v>
      </c>
      <c r="J654" s="25" t="s">
        <v>1</v>
      </c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ht="33.75" customHeight="1">
      <c r="A655" s="11" t="s">
        <v>701</v>
      </c>
      <c r="B655" s="22" t="s">
        <v>237</v>
      </c>
      <c r="C655" s="11" t="s">
        <v>1038</v>
      </c>
      <c r="D655" s="11"/>
      <c r="E655" s="76">
        <v>46035.0</v>
      </c>
      <c r="F655" s="14" t="s">
        <v>17</v>
      </c>
      <c r="G655" s="15" t="s">
        <v>1219</v>
      </c>
      <c r="H655" s="15" t="s">
        <v>1220</v>
      </c>
      <c r="I655" s="17">
        <f t="shared" si="17"/>
        <v>1903</v>
      </c>
      <c r="J655" s="25" t="s">
        <v>1</v>
      </c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ht="33.75" customHeight="1">
      <c r="A656" s="11" t="s">
        <v>704</v>
      </c>
      <c r="B656" s="22" t="s">
        <v>237</v>
      </c>
      <c r="C656" s="11" t="s">
        <v>1179</v>
      </c>
      <c r="D656" s="11"/>
      <c r="E656" s="76">
        <v>46035.0</v>
      </c>
      <c r="F656" s="14" t="s">
        <v>287</v>
      </c>
      <c r="G656" s="178">
        <v>10678.0</v>
      </c>
      <c r="H656" s="16">
        <v>8905.0</v>
      </c>
      <c r="I656" s="17">
        <f t="shared" si="17"/>
        <v>1773</v>
      </c>
      <c r="J656" s="25" t="s">
        <v>1</v>
      </c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ht="33.75" customHeight="1">
      <c r="A657" s="11" t="s">
        <v>856</v>
      </c>
      <c r="B657" s="22" t="s">
        <v>34</v>
      </c>
      <c r="C657" s="11" t="s">
        <v>857</v>
      </c>
      <c r="D657" s="11"/>
      <c r="E657" s="76">
        <v>46035.0</v>
      </c>
      <c r="F657" s="14" t="s">
        <v>17</v>
      </c>
      <c r="G657" s="178">
        <v>11514.0</v>
      </c>
      <c r="H657" s="15" t="s">
        <v>1221</v>
      </c>
      <c r="I657" s="17"/>
      <c r="J657" s="25" t="s">
        <v>1</v>
      </c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ht="33.75" customHeight="1">
      <c r="A658" s="11" t="s">
        <v>1222</v>
      </c>
      <c r="B658" s="22" t="s">
        <v>19</v>
      </c>
      <c r="C658" s="11" t="s">
        <v>1223</v>
      </c>
      <c r="D658" s="11"/>
      <c r="E658" s="76">
        <v>46035.0</v>
      </c>
      <c r="F658" s="14" t="s">
        <v>287</v>
      </c>
      <c r="G658" s="178">
        <v>12720.0</v>
      </c>
      <c r="H658" s="16">
        <v>7990.0</v>
      </c>
      <c r="I658" s="17">
        <f t="shared" ref="I658:I661" si="18">G658-H658</f>
        <v>4730</v>
      </c>
      <c r="J658" s="25" t="s">
        <v>1</v>
      </c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ht="33.75" customHeight="1">
      <c r="A659" s="11" t="s">
        <v>40</v>
      </c>
      <c r="B659" s="22" t="s">
        <v>34</v>
      </c>
      <c r="C659" s="11" t="s">
        <v>1224</v>
      </c>
      <c r="D659" s="11"/>
      <c r="E659" s="76">
        <v>46035.0</v>
      </c>
      <c r="F659" s="14" t="s">
        <v>17</v>
      </c>
      <c r="G659" s="178">
        <v>32364.0</v>
      </c>
      <c r="H659" s="15" t="s">
        <v>1225</v>
      </c>
      <c r="I659" s="17">
        <f t="shared" si="18"/>
        <v>5040</v>
      </c>
      <c r="J659" s="25" t="s">
        <v>1</v>
      </c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ht="33.75" customHeight="1">
      <c r="A660" s="11" t="s">
        <v>1226</v>
      </c>
      <c r="B660" s="22" t="s">
        <v>1227</v>
      </c>
      <c r="C660" s="11" t="s">
        <v>1228</v>
      </c>
      <c r="D660" s="11"/>
      <c r="E660" s="76">
        <v>46035.0</v>
      </c>
      <c r="F660" s="14" t="s">
        <v>287</v>
      </c>
      <c r="G660" s="15" t="s">
        <v>1229</v>
      </c>
      <c r="H660" s="16">
        <v>10325.0</v>
      </c>
      <c r="I660" s="17">
        <f t="shared" si="18"/>
        <v>2508</v>
      </c>
      <c r="J660" s="25" t="s">
        <v>1</v>
      </c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ht="33.75" customHeight="1">
      <c r="A661" s="11" t="s">
        <v>1230</v>
      </c>
      <c r="B661" s="22"/>
      <c r="C661" s="22" t="s">
        <v>1231</v>
      </c>
      <c r="D661" s="22"/>
      <c r="E661" s="76">
        <v>46035.0</v>
      </c>
      <c r="F661" s="14" t="s">
        <v>17</v>
      </c>
      <c r="G661" s="15" t="s">
        <v>21</v>
      </c>
      <c r="H661" s="15" t="s">
        <v>1232</v>
      </c>
      <c r="I661" s="17">
        <f t="shared" si="18"/>
        <v>4896</v>
      </c>
      <c r="J661" s="25" t="s">
        <v>1</v>
      </c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ht="33.75" customHeight="1">
      <c r="A662" s="11" t="s">
        <v>1226</v>
      </c>
      <c r="B662" s="22" t="s">
        <v>1233</v>
      </c>
      <c r="C662" s="11" t="s">
        <v>1228</v>
      </c>
      <c r="D662" s="11"/>
      <c r="E662" s="64">
        <v>46035.0</v>
      </c>
      <c r="F662" s="14" t="s">
        <v>287</v>
      </c>
      <c r="G662" s="15" t="s">
        <v>1234</v>
      </c>
      <c r="H662" s="15" t="s">
        <v>1235</v>
      </c>
      <c r="I662" s="17"/>
      <c r="J662" s="25" t="s">
        <v>1</v>
      </c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ht="33.75" customHeight="1">
      <c r="A663" s="11" t="s">
        <v>40</v>
      </c>
      <c r="B663" s="22" t="s">
        <v>1011</v>
      </c>
      <c r="C663" s="11" t="s">
        <v>1236</v>
      </c>
      <c r="D663" s="11"/>
      <c r="E663" s="64">
        <v>46036.0</v>
      </c>
      <c r="F663" s="14" t="s">
        <v>17</v>
      </c>
      <c r="G663" s="178">
        <v>32364.0</v>
      </c>
      <c r="H663" s="15" t="s">
        <v>1237</v>
      </c>
      <c r="I663" s="17">
        <f t="shared" ref="I663:I746" si="19">G663-H663</f>
        <v>3233</v>
      </c>
      <c r="J663" s="25" t="s">
        <v>1</v>
      </c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ht="33.75" customHeight="1">
      <c r="A664" s="11" t="s">
        <v>369</v>
      </c>
      <c r="B664" s="22" t="s">
        <v>49</v>
      </c>
      <c r="C664" s="11" t="s">
        <v>1238</v>
      </c>
      <c r="D664" s="11"/>
      <c r="E664" s="64">
        <v>46036.0</v>
      </c>
      <c r="F664" s="14" t="s">
        <v>99</v>
      </c>
      <c r="G664" s="178">
        <v>10000.0</v>
      </c>
      <c r="H664" s="15" t="s">
        <v>1239</v>
      </c>
      <c r="I664" s="17">
        <f t="shared" si="19"/>
        <v>1568</v>
      </c>
      <c r="J664" s="25" t="s">
        <v>1</v>
      </c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ht="33.75" customHeight="1">
      <c r="A665" s="11" t="s">
        <v>370</v>
      </c>
      <c r="B665" s="22" t="s">
        <v>49</v>
      </c>
      <c r="C665" s="11" t="s">
        <v>1238</v>
      </c>
      <c r="D665" s="11"/>
      <c r="E665" s="64">
        <v>46036.0</v>
      </c>
      <c r="F665" s="14" t="s">
        <v>99</v>
      </c>
      <c r="G665" s="178">
        <v>10000.0</v>
      </c>
      <c r="H665" s="16">
        <v>6531.0</v>
      </c>
      <c r="I665" s="17">
        <f t="shared" si="19"/>
        <v>3469</v>
      </c>
      <c r="J665" s="25" t="s">
        <v>1</v>
      </c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ht="33.75" customHeight="1">
      <c r="A666" s="11" t="s">
        <v>1240</v>
      </c>
      <c r="B666" s="22" t="s">
        <v>49</v>
      </c>
      <c r="C666" s="11" t="s">
        <v>1238</v>
      </c>
      <c r="D666" s="11"/>
      <c r="E666" s="64">
        <v>46036.0</v>
      </c>
      <c r="F666" s="14" t="s">
        <v>99</v>
      </c>
      <c r="G666" s="178">
        <v>16500.0</v>
      </c>
      <c r="H666" s="16">
        <v>9785.0</v>
      </c>
      <c r="I666" s="17">
        <f t="shared" si="19"/>
        <v>6715</v>
      </c>
      <c r="J666" s="25" t="s">
        <v>1</v>
      </c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ht="33.75" customHeight="1">
      <c r="A667" s="11" t="s">
        <v>1084</v>
      </c>
      <c r="B667" s="22" t="s">
        <v>49</v>
      </c>
      <c r="C667" s="11" t="s">
        <v>1238</v>
      </c>
      <c r="D667" s="11"/>
      <c r="E667" s="64">
        <v>46036.0</v>
      </c>
      <c r="F667" s="14" t="s">
        <v>99</v>
      </c>
      <c r="G667" s="178">
        <v>10000.0</v>
      </c>
      <c r="H667" s="16">
        <v>7546.0</v>
      </c>
      <c r="I667" s="17">
        <f t="shared" si="19"/>
        <v>2454</v>
      </c>
      <c r="J667" s="25" t="s">
        <v>1</v>
      </c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ht="33.75" customHeight="1">
      <c r="A668" s="11" t="s">
        <v>109</v>
      </c>
      <c r="B668" s="22" t="s">
        <v>49</v>
      </c>
      <c r="C668" s="11" t="s">
        <v>1238</v>
      </c>
      <c r="D668" s="11"/>
      <c r="E668" s="64">
        <v>46036.0</v>
      </c>
      <c r="F668" s="14" t="s">
        <v>99</v>
      </c>
      <c r="G668" s="178">
        <v>15680.0</v>
      </c>
      <c r="H668" s="16">
        <v>12354.0</v>
      </c>
      <c r="I668" s="17">
        <f t="shared" si="19"/>
        <v>3326</v>
      </c>
      <c r="J668" s="25" t="s">
        <v>1</v>
      </c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ht="33.75" customHeight="1">
      <c r="A669" s="11" t="s">
        <v>1241</v>
      </c>
      <c r="B669" s="22" t="s">
        <v>49</v>
      </c>
      <c r="C669" s="11" t="s">
        <v>1238</v>
      </c>
      <c r="D669" s="11"/>
      <c r="E669" s="64">
        <v>46036.0</v>
      </c>
      <c r="F669" s="14" t="s">
        <v>99</v>
      </c>
      <c r="G669" s="178">
        <v>12730.0</v>
      </c>
      <c r="H669" s="16">
        <v>10437.0</v>
      </c>
      <c r="I669" s="17">
        <f t="shared" si="19"/>
        <v>2293</v>
      </c>
      <c r="J669" s="25" t="s">
        <v>1</v>
      </c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ht="33.75" customHeight="1">
      <c r="A670" s="11" t="s">
        <v>1014</v>
      </c>
      <c r="B670" s="22" t="s">
        <v>88</v>
      </c>
      <c r="C670" s="11" t="s">
        <v>1016</v>
      </c>
      <c r="D670" s="11"/>
      <c r="E670" s="64">
        <v>46036.0</v>
      </c>
      <c r="F670" s="14" t="s">
        <v>1133</v>
      </c>
      <c r="G670" s="15" t="s">
        <v>444</v>
      </c>
      <c r="H670" s="179">
        <v>24562.0</v>
      </c>
      <c r="I670" s="17">
        <f t="shared" si="19"/>
        <v>19438</v>
      </c>
      <c r="J670" s="25" t="s">
        <v>1</v>
      </c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ht="33.75" customHeight="1">
      <c r="A671" s="11" t="s">
        <v>1242</v>
      </c>
      <c r="B671" s="22" t="s">
        <v>31</v>
      </c>
      <c r="C671" s="11" t="s">
        <v>1243</v>
      </c>
      <c r="D671" s="11"/>
      <c r="E671" s="64">
        <v>46036.0</v>
      </c>
      <c r="F671" s="14" t="s">
        <v>99</v>
      </c>
      <c r="G671" s="15" t="s">
        <v>573</v>
      </c>
      <c r="H671" s="16">
        <v>6112.0</v>
      </c>
      <c r="I671" s="17">
        <f t="shared" si="19"/>
        <v>3888</v>
      </c>
      <c r="J671" s="25" t="s">
        <v>1</v>
      </c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ht="33.75" customHeight="1">
      <c r="A672" s="11" t="s">
        <v>28</v>
      </c>
      <c r="B672" s="22" t="s">
        <v>1244</v>
      </c>
      <c r="C672" s="11" t="s">
        <v>1245</v>
      </c>
      <c r="D672" s="11"/>
      <c r="E672" s="64">
        <v>46036.0</v>
      </c>
      <c r="F672" s="14" t="s">
        <v>17</v>
      </c>
      <c r="G672" s="15" t="s">
        <v>336</v>
      </c>
      <c r="H672" s="15" t="s">
        <v>1246</v>
      </c>
      <c r="I672" s="17">
        <f t="shared" si="19"/>
        <v>1700</v>
      </c>
      <c r="J672" s="25" t="s">
        <v>1</v>
      </c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ht="33.75" customHeight="1">
      <c r="A673" s="11" t="s">
        <v>959</v>
      </c>
      <c r="B673" s="22" t="s">
        <v>37</v>
      </c>
      <c r="C673" s="11" t="s">
        <v>1247</v>
      </c>
      <c r="D673" s="11"/>
      <c r="E673" s="64">
        <v>46036.0</v>
      </c>
      <c r="F673" s="14" t="s">
        <v>287</v>
      </c>
      <c r="G673" s="178">
        <v>27417.0</v>
      </c>
      <c r="H673" s="16">
        <v>18033.0</v>
      </c>
      <c r="I673" s="17">
        <f t="shared" si="19"/>
        <v>9384</v>
      </c>
      <c r="J673" s="25" t="s">
        <v>1</v>
      </c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ht="33.75" customHeight="1">
      <c r="A674" s="11" t="s">
        <v>210</v>
      </c>
      <c r="B674" s="22" t="s">
        <v>1074</v>
      </c>
      <c r="C674" s="11" t="s">
        <v>1205</v>
      </c>
      <c r="D674" s="11"/>
      <c r="E674" s="64">
        <v>46036.0</v>
      </c>
      <c r="F674" s="14" t="s">
        <v>287</v>
      </c>
      <c r="G674" s="15" t="s">
        <v>1248</v>
      </c>
      <c r="H674" s="16">
        <v>17653.0</v>
      </c>
      <c r="I674" s="17">
        <f t="shared" si="19"/>
        <v>2244</v>
      </c>
      <c r="J674" s="25" t="s">
        <v>1</v>
      </c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ht="33.75" customHeight="1">
      <c r="A675" s="11" t="s">
        <v>1249</v>
      </c>
      <c r="B675" s="22" t="s">
        <v>1250</v>
      </c>
      <c r="C675" s="173" t="s">
        <v>1251</v>
      </c>
      <c r="D675" s="173"/>
      <c r="E675" s="64">
        <v>46036.0</v>
      </c>
      <c r="F675" s="14" t="s">
        <v>17</v>
      </c>
      <c r="G675" s="178">
        <v>41998.0</v>
      </c>
      <c r="H675" s="16">
        <v>30288.0</v>
      </c>
      <c r="I675" s="17">
        <f t="shared" si="19"/>
        <v>11710</v>
      </c>
      <c r="J675" s="25" t="s">
        <v>1</v>
      </c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ht="33.75" customHeight="1">
      <c r="A676" s="11" t="s">
        <v>28</v>
      </c>
      <c r="B676" s="22" t="s">
        <v>125</v>
      </c>
      <c r="C676" s="11" t="s">
        <v>1245</v>
      </c>
      <c r="D676" s="11"/>
      <c r="E676" s="64">
        <v>46036.0</v>
      </c>
      <c r="F676" s="14" t="s">
        <v>17</v>
      </c>
      <c r="G676" s="15" t="s">
        <v>336</v>
      </c>
      <c r="H676" s="16">
        <v>9767.0</v>
      </c>
      <c r="I676" s="17">
        <f t="shared" si="19"/>
        <v>1233</v>
      </c>
      <c r="J676" s="25" t="s">
        <v>1</v>
      </c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ht="33.75" customHeight="1">
      <c r="A677" s="11" t="s">
        <v>135</v>
      </c>
      <c r="B677" s="22" t="s">
        <v>1252</v>
      </c>
      <c r="C677" s="11" t="s">
        <v>1253</v>
      </c>
      <c r="D677" s="11"/>
      <c r="E677" s="64">
        <v>46036.0</v>
      </c>
      <c r="F677" s="14" t="s">
        <v>287</v>
      </c>
      <c r="G677" s="15" t="s">
        <v>1254</v>
      </c>
      <c r="H677" s="16">
        <v>25072.0</v>
      </c>
      <c r="I677" s="17">
        <f t="shared" si="19"/>
        <v>2892</v>
      </c>
      <c r="J677" s="25" t="s">
        <v>1</v>
      </c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ht="33.75" customHeight="1">
      <c r="A678" s="11" t="s">
        <v>194</v>
      </c>
      <c r="B678" s="22" t="s">
        <v>125</v>
      </c>
      <c r="C678" s="11" t="s">
        <v>1255</v>
      </c>
      <c r="D678" s="11"/>
      <c r="E678" s="64">
        <v>46036.0</v>
      </c>
      <c r="F678" s="14" t="s">
        <v>99</v>
      </c>
      <c r="G678" s="27"/>
      <c r="H678" s="16">
        <v>5820.0</v>
      </c>
      <c r="I678" s="17">
        <f t="shared" si="19"/>
        <v>-5820</v>
      </c>
      <c r="J678" s="25" t="s">
        <v>1</v>
      </c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ht="33.75" customHeight="1">
      <c r="A679" s="11" t="s">
        <v>40</v>
      </c>
      <c r="B679" s="22" t="s">
        <v>1256</v>
      </c>
      <c r="C679" s="11" t="s">
        <v>1257</v>
      </c>
      <c r="D679" s="11"/>
      <c r="E679" s="64">
        <v>46036.0</v>
      </c>
      <c r="F679" s="14" t="s">
        <v>17</v>
      </c>
      <c r="G679" s="178">
        <v>32364.0</v>
      </c>
      <c r="H679" s="16">
        <v>28581.0</v>
      </c>
      <c r="I679" s="17">
        <f t="shared" si="19"/>
        <v>3783</v>
      </c>
      <c r="J679" s="25" t="s">
        <v>1</v>
      </c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ht="33.75" customHeight="1">
      <c r="A680" s="11" t="s">
        <v>1099</v>
      </c>
      <c r="B680" s="22" t="s">
        <v>530</v>
      </c>
      <c r="C680" s="11" t="s">
        <v>1258</v>
      </c>
      <c r="D680" s="11"/>
      <c r="E680" s="64">
        <v>46036.0</v>
      </c>
      <c r="F680" s="14" t="s">
        <v>287</v>
      </c>
      <c r="G680" s="178">
        <v>10416.0</v>
      </c>
      <c r="H680" s="16">
        <v>9746.0</v>
      </c>
      <c r="I680" s="17">
        <f t="shared" si="19"/>
        <v>670</v>
      </c>
      <c r="J680" s="25" t="s">
        <v>1</v>
      </c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ht="33.75" customHeight="1">
      <c r="A681" s="11" t="s">
        <v>489</v>
      </c>
      <c r="B681" s="22" t="s">
        <v>1259</v>
      </c>
      <c r="C681" s="11" t="s">
        <v>1217</v>
      </c>
      <c r="D681" s="11"/>
      <c r="E681" s="64">
        <v>46036.0</v>
      </c>
      <c r="F681" s="14" t="s">
        <v>17</v>
      </c>
      <c r="G681" s="180">
        <v>63834.0</v>
      </c>
      <c r="H681" s="16">
        <v>40725.0</v>
      </c>
      <c r="I681" s="17">
        <f t="shared" si="19"/>
        <v>23109</v>
      </c>
      <c r="J681" s="25" t="s">
        <v>1</v>
      </c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ht="33.75" customHeight="1">
      <c r="A682" s="181" t="s">
        <v>534</v>
      </c>
      <c r="B682" s="22" t="s">
        <v>34</v>
      </c>
      <c r="C682" s="11" t="s">
        <v>1260</v>
      </c>
      <c r="D682" s="11"/>
      <c r="E682" s="182">
        <v>46036.0</v>
      </c>
      <c r="F682" s="183" t="s">
        <v>26</v>
      </c>
      <c r="G682" s="178">
        <v>10529.0</v>
      </c>
      <c r="H682" s="184">
        <v>9449.0</v>
      </c>
      <c r="I682" s="17">
        <f t="shared" si="19"/>
        <v>1080</v>
      </c>
      <c r="J682" s="25" t="s">
        <v>1</v>
      </c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ht="33.75" customHeight="1">
      <c r="A683" s="181" t="s">
        <v>1261</v>
      </c>
      <c r="B683" s="22" t="s">
        <v>34</v>
      </c>
      <c r="C683" s="11" t="s">
        <v>1262</v>
      </c>
      <c r="D683" s="11"/>
      <c r="E683" s="182">
        <v>46036.0</v>
      </c>
      <c r="F683" s="183" t="s">
        <v>1133</v>
      </c>
      <c r="G683" s="178">
        <v>22504.0</v>
      </c>
      <c r="H683" s="15" t="s">
        <v>1263</v>
      </c>
      <c r="I683" s="17">
        <f t="shared" si="19"/>
        <v>5259</v>
      </c>
      <c r="J683" s="25" t="s">
        <v>1</v>
      </c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ht="33.75" customHeight="1">
      <c r="A684" s="11" t="s">
        <v>752</v>
      </c>
      <c r="B684" s="22" t="s">
        <v>1264</v>
      </c>
      <c r="C684" s="11" t="s">
        <v>1059</v>
      </c>
      <c r="D684" s="11"/>
      <c r="E684" s="182">
        <v>46036.0</v>
      </c>
      <c r="F684" s="14" t="s">
        <v>17</v>
      </c>
      <c r="G684" s="178">
        <v>10000.0</v>
      </c>
      <c r="H684" s="16">
        <v>9016.0</v>
      </c>
      <c r="I684" s="17">
        <f t="shared" si="19"/>
        <v>984</v>
      </c>
      <c r="J684" s="25" t="s">
        <v>1</v>
      </c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ht="33.75" customHeight="1">
      <c r="A685" s="11" t="s">
        <v>1265</v>
      </c>
      <c r="B685" s="22" t="s">
        <v>1266</v>
      </c>
      <c r="C685" s="11" t="s">
        <v>1267</v>
      </c>
      <c r="D685" s="11"/>
      <c r="E685" s="64">
        <v>46036.0</v>
      </c>
      <c r="F685" s="14" t="s">
        <v>99</v>
      </c>
      <c r="G685" s="178">
        <v>13327.0</v>
      </c>
      <c r="H685" s="16">
        <v>10635.0</v>
      </c>
      <c r="I685" s="17">
        <f t="shared" si="19"/>
        <v>2692</v>
      </c>
      <c r="J685" s="25" t="s">
        <v>1</v>
      </c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ht="33.75" customHeight="1">
      <c r="A686" s="11" t="s">
        <v>28</v>
      </c>
      <c r="B686" s="22" t="s">
        <v>81</v>
      </c>
      <c r="C686" s="11" t="s">
        <v>1268</v>
      </c>
      <c r="D686" s="11"/>
      <c r="E686" s="64">
        <v>46037.0</v>
      </c>
      <c r="F686" s="14" t="s">
        <v>17</v>
      </c>
      <c r="G686" s="15" t="s">
        <v>336</v>
      </c>
      <c r="H686" s="15" t="s">
        <v>1269</v>
      </c>
      <c r="I686" s="17">
        <f t="shared" si="19"/>
        <v>1343</v>
      </c>
      <c r="J686" s="25" t="s">
        <v>1</v>
      </c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ht="33.75" customHeight="1">
      <c r="A687" s="11" t="s">
        <v>1160</v>
      </c>
      <c r="B687" s="22" t="s">
        <v>49</v>
      </c>
      <c r="C687" s="11" t="s">
        <v>1270</v>
      </c>
      <c r="D687" s="11"/>
      <c r="E687" s="64">
        <v>46037.0</v>
      </c>
      <c r="F687" s="14" t="s">
        <v>99</v>
      </c>
      <c r="G687" s="178">
        <v>10000.0</v>
      </c>
      <c r="H687" s="16">
        <v>5657.0</v>
      </c>
      <c r="I687" s="17">
        <f t="shared" si="19"/>
        <v>4343</v>
      </c>
      <c r="J687" s="25" t="s">
        <v>1</v>
      </c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ht="33.75" customHeight="1">
      <c r="A688" s="11" t="s">
        <v>1271</v>
      </c>
      <c r="B688" s="22" t="s">
        <v>49</v>
      </c>
      <c r="C688" s="11" t="s">
        <v>1270</v>
      </c>
      <c r="D688" s="11"/>
      <c r="E688" s="64">
        <v>46037.0</v>
      </c>
      <c r="F688" s="14" t="s">
        <v>99</v>
      </c>
      <c r="G688" s="178">
        <v>10000.0</v>
      </c>
      <c r="H688" s="16">
        <v>5334.0</v>
      </c>
      <c r="I688" s="17">
        <f t="shared" si="19"/>
        <v>4666</v>
      </c>
      <c r="J688" s="25" t="s">
        <v>1</v>
      </c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ht="33.75" customHeight="1">
      <c r="A689" s="11" t="s">
        <v>1272</v>
      </c>
      <c r="B689" s="22" t="s">
        <v>49</v>
      </c>
      <c r="C689" s="11" t="s">
        <v>1270</v>
      </c>
      <c r="D689" s="11"/>
      <c r="E689" s="64">
        <v>46037.0</v>
      </c>
      <c r="F689" s="14" t="s">
        <v>99</v>
      </c>
      <c r="G689" s="178">
        <v>10000.0</v>
      </c>
      <c r="H689" s="16">
        <v>6450.0</v>
      </c>
      <c r="I689" s="17">
        <f t="shared" si="19"/>
        <v>3550</v>
      </c>
      <c r="J689" s="25" t="s">
        <v>1</v>
      </c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ht="33.75" customHeight="1">
      <c r="A690" s="11" t="s">
        <v>1273</v>
      </c>
      <c r="B690" s="22" t="s">
        <v>49</v>
      </c>
      <c r="C690" s="11" t="s">
        <v>1270</v>
      </c>
      <c r="D690" s="11"/>
      <c r="E690" s="64">
        <v>46037.0</v>
      </c>
      <c r="F690" s="14" t="s">
        <v>99</v>
      </c>
      <c r="G690" s="178">
        <v>10000.0</v>
      </c>
      <c r="H690" s="16">
        <v>5912.0</v>
      </c>
      <c r="I690" s="17">
        <f t="shared" si="19"/>
        <v>4088</v>
      </c>
      <c r="J690" s="25" t="s">
        <v>1</v>
      </c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ht="33.75" customHeight="1">
      <c r="A691" s="185" t="s">
        <v>460</v>
      </c>
      <c r="B691" s="186" t="s">
        <v>49</v>
      </c>
      <c r="C691" s="185" t="s">
        <v>1270</v>
      </c>
      <c r="D691" s="185"/>
      <c r="E691" s="187">
        <v>46037.0</v>
      </c>
      <c r="F691" s="188" t="s">
        <v>99</v>
      </c>
      <c r="G691" s="189">
        <v>10000.0</v>
      </c>
      <c r="H691" s="190">
        <v>6376.0</v>
      </c>
      <c r="I691" s="191">
        <f t="shared" si="19"/>
        <v>3624</v>
      </c>
      <c r="J691" s="192" t="s">
        <v>1274</v>
      </c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</row>
    <row r="692" ht="33.75" customHeight="1">
      <c r="A692" s="11" t="s">
        <v>693</v>
      </c>
      <c r="B692" s="22" t="s">
        <v>49</v>
      </c>
      <c r="C692" s="11" t="s">
        <v>1270</v>
      </c>
      <c r="D692" s="11"/>
      <c r="E692" s="64">
        <v>46037.0</v>
      </c>
      <c r="F692" s="14" t="s">
        <v>99</v>
      </c>
      <c r="G692" s="178">
        <v>10000.0</v>
      </c>
      <c r="H692" s="16">
        <v>7394.0</v>
      </c>
      <c r="I692" s="17">
        <f t="shared" si="19"/>
        <v>2606</v>
      </c>
      <c r="J692" s="25" t="s">
        <v>1</v>
      </c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ht="33.75" customHeight="1">
      <c r="A693" s="11" t="s">
        <v>1121</v>
      </c>
      <c r="B693" s="22" t="s">
        <v>49</v>
      </c>
      <c r="C693" s="11" t="s">
        <v>1270</v>
      </c>
      <c r="D693" s="11"/>
      <c r="E693" s="64">
        <v>46037.0</v>
      </c>
      <c r="F693" s="14" t="s">
        <v>99</v>
      </c>
      <c r="G693" s="178">
        <v>10000.0</v>
      </c>
      <c r="H693" s="16">
        <v>4894.0</v>
      </c>
      <c r="I693" s="17">
        <f t="shared" si="19"/>
        <v>5106</v>
      </c>
      <c r="J693" s="25" t="s">
        <v>1</v>
      </c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ht="33.75" customHeight="1">
      <c r="A694" s="11" t="s">
        <v>1177</v>
      </c>
      <c r="B694" s="22" t="s">
        <v>49</v>
      </c>
      <c r="C694" s="11" t="s">
        <v>1270</v>
      </c>
      <c r="D694" s="11"/>
      <c r="E694" s="64">
        <v>46037.0</v>
      </c>
      <c r="F694" s="14" t="s">
        <v>99</v>
      </c>
      <c r="G694" s="178">
        <v>10000.0</v>
      </c>
      <c r="H694" s="16">
        <v>3544.0</v>
      </c>
      <c r="I694" s="17">
        <f t="shared" si="19"/>
        <v>6456</v>
      </c>
      <c r="J694" s="25" t="s">
        <v>1</v>
      </c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ht="33.75" customHeight="1">
      <c r="A695" s="11" t="s">
        <v>135</v>
      </c>
      <c r="B695" s="22" t="s">
        <v>85</v>
      </c>
      <c r="C695" s="11" t="s">
        <v>348</v>
      </c>
      <c r="D695" s="11"/>
      <c r="E695" s="64">
        <v>46037.0</v>
      </c>
      <c r="F695" s="14" t="s">
        <v>287</v>
      </c>
      <c r="G695" s="15" t="s">
        <v>1254</v>
      </c>
      <c r="H695" s="16">
        <v>24741.0</v>
      </c>
      <c r="I695" s="17">
        <f t="shared" si="19"/>
        <v>3223</v>
      </c>
      <c r="J695" s="25" t="s">
        <v>1</v>
      </c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ht="33.75" customHeight="1">
      <c r="A696" s="24" t="s">
        <v>210</v>
      </c>
      <c r="B696" s="22" t="s">
        <v>88</v>
      </c>
      <c r="C696" s="11" t="s">
        <v>335</v>
      </c>
      <c r="D696" s="11"/>
      <c r="E696" s="64">
        <v>46037.0</v>
      </c>
      <c r="F696" s="14" t="s">
        <v>287</v>
      </c>
      <c r="G696" s="178">
        <v>20000.0</v>
      </c>
      <c r="H696" s="16">
        <v>17561.0</v>
      </c>
      <c r="I696" s="17">
        <f t="shared" si="19"/>
        <v>2439</v>
      </c>
      <c r="J696" s="25" t="s">
        <v>1</v>
      </c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ht="33.75" customHeight="1">
      <c r="A697" s="11" t="s">
        <v>28</v>
      </c>
      <c r="B697" s="22" t="s">
        <v>37</v>
      </c>
      <c r="C697" s="11" t="s">
        <v>1275</v>
      </c>
      <c r="D697" s="11"/>
      <c r="E697" s="64">
        <v>46037.0</v>
      </c>
      <c r="F697" s="14" t="s">
        <v>17</v>
      </c>
      <c r="G697" s="178">
        <v>11000.0</v>
      </c>
      <c r="H697" s="16">
        <v>9656.0</v>
      </c>
      <c r="I697" s="17">
        <f t="shared" si="19"/>
        <v>1344</v>
      </c>
      <c r="J697" s="25" t="s">
        <v>1</v>
      </c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ht="33.75" customHeight="1">
      <c r="A698" s="11" t="s">
        <v>1276</v>
      </c>
      <c r="B698" s="22" t="s">
        <v>91</v>
      </c>
      <c r="C698" s="11" t="s">
        <v>1277</v>
      </c>
      <c r="D698" s="11"/>
      <c r="E698" s="64">
        <v>46037.0</v>
      </c>
      <c r="F698" s="14" t="s">
        <v>287</v>
      </c>
      <c r="G698" s="178">
        <v>20000.0</v>
      </c>
      <c r="H698" s="16">
        <v>16961.0</v>
      </c>
      <c r="I698" s="17">
        <f t="shared" si="19"/>
        <v>3039</v>
      </c>
      <c r="J698" s="25" t="s">
        <v>1</v>
      </c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ht="33.75" customHeight="1">
      <c r="A699" s="11" t="s">
        <v>210</v>
      </c>
      <c r="B699" s="22" t="s">
        <v>161</v>
      </c>
      <c r="C699" s="11" t="s">
        <v>335</v>
      </c>
      <c r="D699" s="11"/>
      <c r="E699" s="64">
        <v>46037.0</v>
      </c>
      <c r="F699" s="14" t="s">
        <v>287</v>
      </c>
      <c r="G699" s="178">
        <v>20000.0</v>
      </c>
      <c r="H699" s="16">
        <v>17641.0</v>
      </c>
      <c r="I699" s="17">
        <f t="shared" si="19"/>
        <v>2359</v>
      </c>
      <c r="J699" s="25" t="s">
        <v>1</v>
      </c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ht="33.75" customHeight="1">
      <c r="A700" s="11" t="s">
        <v>489</v>
      </c>
      <c r="B700" s="22" t="s">
        <v>1278</v>
      </c>
      <c r="C700" s="11" t="s">
        <v>1217</v>
      </c>
      <c r="D700" s="11"/>
      <c r="E700" s="64">
        <v>46037.0</v>
      </c>
      <c r="F700" s="14" t="s">
        <v>17</v>
      </c>
      <c r="G700" s="178">
        <v>23550.0</v>
      </c>
      <c r="H700" s="15" t="s">
        <v>1279</v>
      </c>
      <c r="I700" s="17">
        <f t="shared" si="19"/>
        <v>16426</v>
      </c>
      <c r="J700" s="25" t="s">
        <v>1</v>
      </c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ht="33.75" customHeight="1">
      <c r="A701" s="82" t="s">
        <v>1280</v>
      </c>
      <c r="B701" s="83" t="s">
        <v>34</v>
      </c>
      <c r="C701" s="82" t="s">
        <v>1281</v>
      </c>
      <c r="D701" s="82"/>
      <c r="E701" s="84">
        <v>46037.0</v>
      </c>
      <c r="F701" s="85" t="s">
        <v>17</v>
      </c>
      <c r="G701" s="194">
        <v>40000.0</v>
      </c>
      <c r="H701" s="87"/>
      <c r="I701" s="88">
        <f t="shared" si="19"/>
        <v>40000</v>
      </c>
      <c r="J701" s="89" t="s">
        <v>1282</v>
      </c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ht="33.75" customHeight="1">
      <c r="A702" s="11" t="s">
        <v>752</v>
      </c>
      <c r="B702" s="22" t="s">
        <v>15</v>
      </c>
      <c r="C702" s="11" t="s">
        <v>1283</v>
      </c>
      <c r="D702" s="11"/>
      <c r="E702" s="64">
        <v>46037.0</v>
      </c>
      <c r="F702" s="14" t="s">
        <v>99</v>
      </c>
      <c r="G702" s="27"/>
      <c r="H702" s="15" t="s">
        <v>1284</v>
      </c>
      <c r="I702" s="17">
        <f t="shared" si="19"/>
        <v>-8982</v>
      </c>
      <c r="J702" s="91" t="s">
        <v>700</v>
      </c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33.75" customHeight="1">
      <c r="A703" s="11" t="s">
        <v>28</v>
      </c>
      <c r="B703" s="22" t="s">
        <v>81</v>
      </c>
      <c r="C703" s="24" t="s">
        <v>1275</v>
      </c>
      <c r="D703" s="24"/>
      <c r="E703" s="64">
        <v>46038.0</v>
      </c>
      <c r="F703" s="14" t="s">
        <v>17</v>
      </c>
      <c r="G703" s="178">
        <v>11546.0</v>
      </c>
      <c r="H703" s="15" t="s">
        <v>1285</v>
      </c>
      <c r="I703" s="17">
        <f t="shared" si="19"/>
        <v>2893</v>
      </c>
      <c r="J703" s="25" t="s">
        <v>1</v>
      </c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ht="33.75" customHeight="1">
      <c r="A704" s="11" t="s">
        <v>489</v>
      </c>
      <c r="B704" s="22" t="s">
        <v>49</v>
      </c>
      <c r="C704" s="11" t="s">
        <v>1286</v>
      </c>
      <c r="D704" s="11"/>
      <c r="E704" s="64">
        <v>46038.0</v>
      </c>
      <c r="F704" s="14" t="s">
        <v>26</v>
      </c>
      <c r="G704" s="178">
        <v>16858.0</v>
      </c>
      <c r="H704" s="15" t="s">
        <v>1287</v>
      </c>
      <c r="I704" s="17">
        <f t="shared" si="19"/>
        <v>10537</v>
      </c>
      <c r="J704" s="25" t="s">
        <v>1</v>
      </c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ht="33.75" customHeight="1">
      <c r="A705" s="11" t="s">
        <v>366</v>
      </c>
      <c r="B705" s="22" t="s">
        <v>49</v>
      </c>
      <c r="C705" s="11" t="s">
        <v>1288</v>
      </c>
      <c r="D705" s="11"/>
      <c r="E705" s="64">
        <v>46038.0</v>
      </c>
      <c r="F705" s="14" t="s">
        <v>99</v>
      </c>
      <c r="G705" s="178">
        <v>10000.0</v>
      </c>
      <c r="H705" s="15" t="s">
        <v>1289</v>
      </c>
      <c r="I705" s="17">
        <f t="shared" si="19"/>
        <v>4579</v>
      </c>
      <c r="J705" s="25" t="s">
        <v>1</v>
      </c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ht="33.75" customHeight="1">
      <c r="A706" s="11" t="s">
        <v>1290</v>
      </c>
      <c r="B706" s="22" t="s">
        <v>49</v>
      </c>
      <c r="C706" s="11" t="s">
        <v>1288</v>
      </c>
      <c r="D706" s="11"/>
      <c r="E706" s="64">
        <v>46038.0</v>
      </c>
      <c r="F706" s="14" t="s">
        <v>99</v>
      </c>
      <c r="G706" s="178">
        <v>10000.0</v>
      </c>
      <c r="H706" s="15" t="s">
        <v>1291</v>
      </c>
      <c r="I706" s="17">
        <f t="shared" si="19"/>
        <v>2678</v>
      </c>
      <c r="J706" s="25" t="s">
        <v>1</v>
      </c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ht="33.75" customHeight="1">
      <c r="A707" s="11" t="s">
        <v>1083</v>
      </c>
      <c r="B707" s="22" t="s">
        <v>49</v>
      </c>
      <c r="C707" s="11" t="s">
        <v>1288</v>
      </c>
      <c r="D707" s="11"/>
      <c r="E707" s="64">
        <v>46038.0</v>
      </c>
      <c r="F707" s="14" t="s">
        <v>99</v>
      </c>
      <c r="G707" s="178">
        <v>10000.0</v>
      </c>
      <c r="H707" s="15" t="s">
        <v>1292</v>
      </c>
      <c r="I707" s="17">
        <f t="shared" si="19"/>
        <v>4322</v>
      </c>
      <c r="J707" s="25" t="s">
        <v>1</v>
      </c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ht="33.75" customHeight="1">
      <c r="A708" s="11" t="s">
        <v>460</v>
      </c>
      <c r="B708" s="22" t="s">
        <v>49</v>
      </c>
      <c r="C708" s="11" t="s">
        <v>1288</v>
      </c>
      <c r="D708" s="11"/>
      <c r="E708" s="64">
        <v>46038.0</v>
      </c>
      <c r="F708" s="14" t="s">
        <v>99</v>
      </c>
      <c r="G708" s="178">
        <v>10000.0</v>
      </c>
      <c r="H708" s="15" t="s">
        <v>1293</v>
      </c>
      <c r="I708" s="17">
        <f t="shared" si="19"/>
        <v>1522</v>
      </c>
      <c r="J708" s="25" t="s">
        <v>1</v>
      </c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ht="33.75" customHeight="1">
      <c r="A709" s="11" t="s">
        <v>1294</v>
      </c>
      <c r="B709" s="22" t="s">
        <v>49</v>
      </c>
      <c r="C709" s="11" t="s">
        <v>1288</v>
      </c>
      <c r="D709" s="11"/>
      <c r="E709" s="64">
        <v>46038.0</v>
      </c>
      <c r="F709" s="14" t="s">
        <v>99</v>
      </c>
      <c r="G709" s="178">
        <v>10000.0</v>
      </c>
      <c r="H709" s="15" t="s">
        <v>1295</v>
      </c>
      <c r="I709" s="17">
        <f t="shared" si="19"/>
        <v>5346</v>
      </c>
      <c r="J709" s="25" t="s">
        <v>1</v>
      </c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ht="33.75" customHeight="1">
      <c r="A710" s="11" t="s">
        <v>1116</v>
      </c>
      <c r="B710" s="22" t="s">
        <v>49</v>
      </c>
      <c r="C710" s="11" t="s">
        <v>1288</v>
      </c>
      <c r="D710" s="11"/>
      <c r="E710" s="64">
        <v>46038.0</v>
      </c>
      <c r="F710" s="14" t="s">
        <v>99</v>
      </c>
      <c r="G710" s="178">
        <v>10000.0</v>
      </c>
      <c r="H710" s="15" t="s">
        <v>1296</v>
      </c>
      <c r="I710" s="17">
        <f t="shared" si="19"/>
        <v>3511</v>
      </c>
      <c r="J710" s="25" t="s">
        <v>1</v>
      </c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ht="33.75" customHeight="1">
      <c r="A711" s="11" t="s">
        <v>667</v>
      </c>
      <c r="B711" s="22" t="s">
        <v>49</v>
      </c>
      <c r="C711" s="11" t="s">
        <v>1288</v>
      </c>
      <c r="D711" s="11"/>
      <c r="E711" s="64">
        <v>46038.0</v>
      </c>
      <c r="F711" s="14" t="s">
        <v>99</v>
      </c>
      <c r="G711" s="178">
        <v>10000.0</v>
      </c>
      <c r="H711" s="15" t="s">
        <v>1297</v>
      </c>
      <c r="I711" s="17">
        <f t="shared" si="19"/>
        <v>5024</v>
      </c>
      <c r="J711" s="25" t="s">
        <v>1</v>
      </c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ht="33.75" customHeight="1">
      <c r="A712" s="11" t="s">
        <v>1177</v>
      </c>
      <c r="B712" s="22" t="s">
        <v>49</v>
      </c>
      <c r="C712" s="11" t="s">
        <v>1288</v>
      </c>
      <c r="D712" s="11"/>
      <c r="E712" s="64">
        <v>46038.0</v>
      </c>
      <c r="F712" s="14" t="s">
        <v>99</v>
      </c>
      <c r="G712" s="178">
        <v>10000.0</v>
      </c>
      <c r="H712" s="16">
        <v>9853.0</v>
      </c>
      <c r="I712" s="17">
        <f t="shared" si="19"/>
        <v>147</v>
      </c>
      <c r="J712" s="25" t="s">
        <v>1</v>
      </c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ht="33.75" customHeight="1">
      <c r="A713" s="11" t="s">
        <v>115</v>
      </c>
      <c r="B713" s="22" t="s">
        <v>49</v>
      </c>
      <c r="C713" s="11" t="s">
        <v>1298</v>
      </c>
      <c r="D713" s="11"/>
      <c r="E713" s="64">
        <v>46038.0</v>
      </c>
      <c r="F713" s="14" t="s">
        <v>17</v>
      </c>
      <c r="G713" s="178">
        <v>64163.0</v>
      </c>
      <c r="H713" s="15" t="s">
        <v>1299</v>
      </c>
      <c r="I713" s="17">
        <f t="shared" si="19"/>
        <v>10543</v>
      </c>
      <c r="J713" s="25" t="s">
        <v>1</v>
      </c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ht="33.75" customHeight="1">
      <c r="A714" s="11" t="s">
        <v>115</v>
      </c>
      <c r="B714" s="22" t="s">
        <v>49</v>
      </c>
      <c r="C714" s="11" t="s">
        <v>1300</v>
      </c>
      <c r="D714" s="11"/>
      <c r="E714" s="64">
        <v>46038.0</v>
      </c>
      <c r="F714" s="14" t="s">
        <v>17</v>
      </c>
      <c r="G714" s="178">
        <v>64163.0</v>
      </c>
      <c r="H714" s="15" t="s">
        <v>1301</v>
      </c>
      <c r="I714" s="17">
        <f t="shared" si="19"/>
        <v>18500</v>
      </c>
      <c r="J714" s="25" t="s">
        <v>1</v>
      </c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ht="33.75" customHeight="1">
      <c r="A715" s="11" t="s">
        <v>115</v>
      </c>
      <c r="B715" s="22" t="s">
        <v>49</v>
      </c>
      <c r="C715" s="11" t="s">
        <v>1302</v>
      </c>
      <c r="D715" s="11"/>
      <c r="E715" s="64">
        <v>46038.0</v>
      </c>
      <c r="F715" s="14" t="s">
        <v>17</v>
      </c>
      <c r="G715" s="178">
        <v>64163.0</v>
      </c>
      <c r="H715" s="15" t="s">
        <v>1303</v>
      </c>
      <c r="I715" s="17">
        <f t="shared" si="19"/>
        <v>15467</v>
      </c>
      <c r="J715" s="25" t="s">
        <v>1</v>
      </c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ht="33.75" customHeight="1">
      <c r="A716" s="11" t="s">
        <v>115</v>
      </c>
      <c r="B716" s="22" t="s">
        <v>49</v>
      </c>
      <c r="C716" s="11" t="s">
        <v>1304</v>
      </c>
      <c r="D716" s="11"/>
      <c r="E716" s="64">
        <v>46038.0</v>
      </c>
      <c r="F716" s="14" t="s">
        <v>287</v>
      </c>
      <c r="G716" s="178">
        <v>64163.0</v>
      </c>
      <c r="H716" s="15" t="s">
        <v>1305</v>
      </c>
      <c r="I716" s="17">
        <f t="shared" si="19"/>
        <v>15921</v>
      </c>
      <c r="J716" s="25" t="s">
        <v>1</v>
      </c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ht="33.75" customHeight="1">
      <c r="A717" s="11" t="s">
        <v>115</v>
      </c>
      <c r="B717" s="22" t="s">
        <v>49</v>
      </c>
      <c r="C717" s="11" t="s">
        <v>1306</v>
      </c>
      <c r="D717" s="11"/>
      <c r="E717" s="64">
        <v>46038.0</v>
      </c>
      <c r="F717" s="14" t="s">
        <v>287</v>
      </c>
      <c r="G717" s="178">
        <v>64163.0</v>
      </c>
      <c r="H717" s="15" t="s">
        <v>1307</v>
      </c>
      <c r="I717" s="17">
        <f t="shared" si="19"/>
        <v>17066</v>
      </c>
      <c r="J717" s="25" t="s">
        <v>1</v>
      </c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ht="33.75" customHeight="1">
      <c r="A718" s="11" t="s">
        <v>115</v>
      </c>
      <c r="B718" s="22" t="s">
        <v>49</v>
      </c>
      <c r="C718" s="11" t="s">
        <v>1308</v>
      </c>
      <c r="D718" s="11"/>
      <c r="E718" s="64">
        <v>46038.0</v>
      </c>
      <c r="F718" s="14" t="s">
        <v>287</v>
      </c>
      <c r="G718" s="178">
        <v>64163.0</v>
      </c>
      <c r="H718" s="15" t="s">
        <v>1309</v>
      </c>
      <c r="I718" s="17">
        <f t="shared" si="19"/>
        <v>19832</v>
      </c>
      <c r="J718" s="25" t="s">
        <v>1</v>
      </c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ht="33.75" customHeight="1">
      <c r="A719" s="11" t="s">
        <v>210</v>
      </c>
      <c r="B719" s="22" t="s">
        <v>85</v>
      </c>
      <c r="C719" s="11" t="s">
        <v>335</v>
      </c>
      <c r="D719" s="11"/>
      <c r="E719" s="64">
        <v>46038.0</v>
      </c>
      <c r="F719" s="14" t="s">
        <v>287</v>
      </c>
      <c r="G719" s="178">
        <v>20000.0</v>
      </c>
      <c r="H719" s="15" t="s">
        <v>1310</v>
      </c>
      <c r="I719" s="17">
        <f t="shared" si="19"/>
        <v>1025</v>
      </c>
      <c r="J719" s="25" t="s">
        <v>1</v>
      </c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ht="33.75" customHeight="1">
      <c r="A720" s="11" t="s">
        <v>412</v>
      </c>
      <c r="B720" s="22" t="s">
        <v>31</v>
      </c>
      <c r="C720" s="11" t="s">
        <v>1311</v>
      </c>
      <c r="D720" s="11"/>
      <c r="E720" s="64">
        <v>46038.0</v>
      </c>
      <c r="F720" s="14" t="s">
        <v>17</v>
      </c>
      <c r="G720" s="16">
        <v>10052.0</v>
      </c>
      <c r="H720" s="15" t="s">
        <v>1312</v>
      </c>
      <c r="I720" s="17">
        <f t="shared" si="19"/>
        <v>2618</v>
      </c>
      <c r="J720" s="25" t="s">
        <v>1</v>
      </c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ht="33.75" customHeight="1">
      <c r="A721" s="11" t="s">
        <v>28</v>
      </c>
      <c r="B721" s="22" t="s">
        <v>37</v>
      </c>
      <c r="C721" s="11" t="s">
        <v>1313</v>
      </c>
      <c r="D721" s="11"/>
      <c r="E721" s="64">
        <v>46038.0</v>
      </c>
      <c r="F721" s="14" t="s">
        <v>17</v>
      </c>
      <c r="G721" s="15" t="s">
        <v>484</v>
      </c>
      <c r="H721" s="16">
        <v>11367.0</v>
      </c>
      <c r="I721" s="17">
        <f t="shared" si="19"/>
        <v>1633</v>
      </c>
      <c r="J721" s="25" t="s">
        <v>1</v>
      </c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ht="33.75" customHeight="1">
      <c r="A722" s="11" t="s">
        <v>210</v>
      </c>
      <c r="B722" s="22" t="s">
        <v>91</v>
      </c>
      <c r="C722" s="11" t="s">
        <v>335</v>
      </c>
      <c r="D722" s="11"/>
      <c r="E722" s="64">
        <v>46038.0</v>
      </c>
      <c r="F722" s="14" t="s">
        <v>287</v>
      </c>
      <c r="G722" s="178">
        <v>20000.0</v>
      </c>
      <c r="H722" s="16">
        <v>17465.0</v>
      </c>
      <c r="I722" s="17">
        <f t="shared" si="19"/>
        <v>2535</v>
      </c>
      <c r="J722" s="25" t="s">
        <v>1</v>
      </c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ht="33.75" customHeight="1">
      <c r="A723" s="11" t="s">
        <v>1314</v>
      </c>
      <c r="B723" s="22" t="s">
        <v>125</v>
      </c>
      <c r="C723" s="11" t="s">
        <v>1315</v>
      </c>
      <c r="D723" s="11"/>
      <c r="E723" s="64">
        <v>46038.0</v>
      </c>
      <c r="F723" s="14" t="s">
        <v>26</v>
      </c>
      <c r="G723" s="178">
        <v>2558.0</v>
      </c>
      <c r="H723" s="16">
        <v>2201.0</v>
      </c>
      <c r="I723" s="17">
        <f t="shared" si="19"/>
        <v>357</v>
      </c>
      <c r="J723" s="91" t="s">
        <v>1316</v>
      </c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33.75" customHeight="1">
      <c r="A724" s="11" t="s">
        <v>1317</v>
      </c>
      <c r="B724" s="22" t="s">
        <v>125</v>
      </c>
      <c r="C724" s="11" t="s">
        <v>1315</v>
      </c>
      <c r="D724" s="11"/>
      <c r="E724" s="64">
        <v>46038.0</v>
      </c>
      <c r="F724" s="14" t="s">
        <v>26</v>
      </c>
      <c r="G724" s="178">
        <v>1570.0</v>
      </c>
      <c r="H724" s="16">
        <v>1140.0</v>
      </c>
      <c r="I724" s="17">
        <f t="shared" si="19"/>
        <v>430</v>
      </c>
      <c r="J724" s="91" t="s">
        <v>1316</v>
      </c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33.75" customHeight="1">
      <c r="A725" s="11" t="s">
        <v>135</v>
      </c>
      <c r="B725" s="22" t="s">
        <v>619</v>
      </c>
      <c r="C725" s="11" t="s">
        <v>348</v>
      </c>
      <c r="D725" s="11"/>
      <c r="E725" s="64">
        <v>46038.0</v>
      </c>
      <c r="F725" s="14" t="s">
        <v>17</v>
      </c>
      <c r="G725" s="15" t="s">
        <v>1254</v>
      </c>
      <c r="H725" s="16">
        <v>25008.0</v>
      </c>
      <c r="I725" s="17">
        <f t="shared" si="19"/>
        <v>2956</v>
      </c>
      <c r="J725" s="25" t="s">
        <v>1</v>
      </c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ht="33.75" customHeight="1">
      <c r="A726" s="11" t="s">
        <v>210</v>
      </c>
      <c r="B726" s="22" t="s">
        <v>161</v>
      </c>
      <c r="C726" s="11" t="s">
        <v>335</v>
      </c>
      <c r="D726" s="11"/>
      <c r="E726" s="64">
        <v>46038.0</v>
      </c>
      <c r="F726" s="14" t="s">
        <v>287</v>
      </c>
      <c r="G726" s="178">
        <v>20000.0</v>
      </c>
      <c r="H726" s="15" t="s">
        <v>1318</v>
      </c>
      <c r="I726" s="17">
        <f t="shared" si="19"/>
        <v>14037</v>
      </c>
      <c r="J726" s="25" t="s">
        <v>1</v>
      </c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ht="33.75" customHeight="1">
      <c r="A727" s="11" t="s">
        <v>210</v>
      </c>
      <c r="B727" s="22" t="s">
        <v>528</v>
      </c>
      <c r="C727" s="11" t="s">
        <v>335</v>
      </c>
      <c r="D727" s="11"/>
      <c r="E727" s="64">
        <v>46038.0</v>
      </c>
      <c r="F727" s="14" t="s">
        <v>287</v>
      </c>
      <c r="G727" s="178">
        <v>30000.0</v>
      </c>
      <c r="H727" s="16">
        <v>27083.0</v>
      </c>
      <c r="I727" s="17">
        <f t="shared" si="19"/>
        <v>2917</v>
      </c>
      <c r="J727" s="25" t="s">
        <v>1</v>
      </c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ht="33.75" customHeight="1">
      <c r="A728" s="195" t="s">
        <v>1319</v>
      </c>
      <c r="B728" s="196" t="s">
        <v>34</v>
      </c>
      <c r="C728" s="195" t="s">
        <v>1320</v>
      </c>
      <c r="D728" s="195"/>
      <c r="E728" s="197">
        <v>46038.0</v>
      </c>
      <c r="F728" s="198" t="s">
        <v>1141</v>
      </c>
      <c r="G728" s="199">
        <v>30000.0</v>
      </c>
      <c r="H728" s="200"/>
      <c r="I728" s="201">
        <f t="shared" si="19"/>
        <v>30000</v>
      </c>
      <c r="J728" s="202" t="s">
        <v>3</v>
      </c>
      <c r="K728" s="203"/>
      <c r="L728" s="203"/>
      <c r="M728" s="203"/>
      <c r="N728" s="203"/>
      <c r="O728" s="203"/>
      <c r="P728" s="203"/>
      <c r="Q728" s="203"/>
      <c r="R728" s="203"/>
      <c r="S728" s="203"/>
      <c r="T728" s="203"/>
      <c r="U728" s="203"/>
      <c r="V728" s="203"/>
      <c r="W728" s="203"/>
      <c r="X728" s="203"/>
      <c r="Y728" s="203"/>
      <c r="Z728" s="203"/>
    </row>
    <row r="729" ht="33.75" customHeight="1">
      <c r="A729" s="11" t="s">
        <v>785</v>
      </c>
      <c r="B729" s="22" t="s">
        <v>98</v>
      </c>
      <c r="C729" s="11" t="s">
        <v>1188</v>
      </c>
      <c r="D729" s="11"/>
      <c r="E729" s="64">
        <v>46038.0</v>
      </c>
      <c r="F729" s="14" t="s">
        <v>1133</v>
      </c>
      <c r="G729" s="178">
        <v>12000.0</v>
      </c>
      <c r="H729" s="16">
        <v>8945.0</v>
      </c>
      <c r="I729" s="17">
        <f t="shared" si="19"/>
        <v>3055</v>
      </c>
      <c r="J729" s="25" t="s">
        <v>1</v>
      </c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ht="33.75" customHeight="1">
      <c r="A730" s="11" t="s">
        <v>534</v>
      </c>
      <c r="B730" s="22" t="s">
        <v>34</v>
      </c>
      <c r="C730" s="11" t="s">
        <v>1260</v>
      </c>
      <c r="D730" s="11"/>
      <c r="E730" s="64">
        <v>46038.0</v>
      </c>
      <c r="F730" s="14" t="s">
        <v>99</v>
      </c>
      <c r="G730" s="178">
        <v>12000.0</v>
      </c>
      <c r="H730" s="16">
        <v>10326.0</v>
      </c>
      <c r="I730" s="17">
        <f t="shared" si="19"/>
        <v>1674</v>
      </c>
      <c r="J730" s="25" t="s">
        <v>1</v>
      </c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ht="33.75" customHeight="1">
      <c r="A731" s="11" t="s">
        <v>539</v>
      </c>
      <c r="B731" s="22" t="s">
        <v>15</v>
      </c>
      <c r="C731" s="11" t="s">
        <v>1321</v>
      </c>
      <c r="D731" s="11"/>
      <c r="E731" s="64">
        <v>46038.0</v>
      </c>
      <c r="F731" s="14" t="s">
        <v>99</v>
      </c>
      <c r="G731" s="178">
        <v>26856.0</v>
      </c>
      <c r="H731" s="16">
        <v>25611.0</v>
      </c>
      <c r="I731" s="17">
        <f t="shared" si="19"/>
        <v>1245</v>
      </c>
      <c r="J731" s="25" t="s">
        <v>1</v>
      </c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ht="33.75" customHeight="1">
      <c r="A732" s="11" t="s">
        <v>730</v>
      </c>
      <c r="B732" s="22" t="s">
        <v>15</v>
      </c>
      <c r="C732" s="11" t="s">
        <v>1322</v>
      </c>
      <c r="D732" s="11"/>
      <c r="E732" s="64">
        <v>46038.0</v>
      </c>
      <c r="F732" s="14" t="s">
        <v>99</v>
      </c>
      <c r="G732" s="178">
        <v>13874.0</v>
      </c>
      <c r="H732" s="16">
        <v>13279.0</v>
      </c>
      <c r="I732" s="17">
        <f t="shared" si="19"/>
        <v>595</v>
      </c>
      <c r="J732" s="25" t="s">
        <v>1</v>
      </c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ht="33.75" customHeight="1">
      <c r="A733" s="11" t="s">
        <v>686</v>
      </c>
      <c r="B733" s="22" t="s">
        <v>1323</v>
      </c>
      <c r="C733" s="11" t="s">
        <v>1324</v>
      </c>
      <c r="D733" s="11"/>
      <c r="E733" s="64">
        <v>46038.0</v>
      </c>
      <c r="F733" s="14" t="s">
        <v>17</v>
      </c>
      <c r="G733" s="178">
        <v>48596.0</v>
      </c>
      <c r="H733" s="16">
        <v>43752.0</v>
      </c>
      <c r="I733" s="17">
        <f t="shared" si="19"/>
        <v>4844</v>
      </c>
      <c r="J733" s="25" t="s">
        <v>1</v>
      </c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ht="33.75" customHeight="1">
      <c r="A734" s="24" t="s">
        <v>115</v>
      </c>
      <c r="B734" s="22" t="s">
        <v>1325</v>
      </c>
      <c r="C734" s="11" t="s">
        <v>1326</v>
      </c>
      <c r="D734" s="11"/>
      <c r="E734" s="64">
        <v>46039.0</v>
      </c>
      <c r="F734" s="14" t="s">
        <v>17</v>
      </c>
      <c r="G734" s="180">
        <v>64163.0</v>
      </c>
      <c r="H734" s="16">
        <v>54291.0</v>
      </c>
      <c r="I734" s="17">
        <f t="shared" si="19"/>
        <v>9872</v>
      </c>
      <c r="J734" s="25" t="s">
        <v>1</v>
      </c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ht="33.75" customHeight="1">
      <c r="A735" s="24" t="s">
        <v>115</v>
      </c>
      <c r="B735" s="22" t="s">
        <v>1325</v>
      </c>
      <c r="C735" s="11" t="s">
        <v>1327</v>
      </c>
      <c r="D735" s="11"/>
      <c r="E735" s="64">
        <v>46039.0</v>
      </c>
      <c r="F735" s="14" t="s">
        <v>17</v>
      </c>
      <c r="G735" s="180">
        <v>64163.0</v>
      </c>
      <c r="H735" s="16">
        <v>49178.0</v>
      </c>
      <c r="I735" s="17">
        <f t="shared" si="19"/>
        <v>14985</v>
      </c>
      <c r="J735" s="25" t="s">
        <v>1</v>
      </c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ht="33.75" customHeight="1">
      <c r="A736" s="24" t="s">
        <v>115</v>
      </c>
      <c r="B736" s="22" t="s">
        <v>1325</v>
      </c>
      <c r="C736" s="11" t="s">
        <v>1328</v>
      </c>
      <c r="D736" s="11"/>
      <c r="E736" s="64">
        <v>46039.0</v>
      </c>
      <c r="F736" s="14" t="s">
        <v>17</v>
      </c>
      <c r="G736" s="180">
        <v>64163.0</v>
      </c>
      <c r="H736" s="16">
        <v>52286.0</v>
      </c>
      <c r="I736" s="17">
        <f t="shared" si="19"/>
        <v>11877</v>
      </c>
      <c r="J736" s="25" t="s">
        <v>1</v>
      </c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ht="33.75" customHeight="1">
      <c r="A737" s="24" t="s">
        <v>115</v>
      </c>
      <c r="B737" s="22" t="s">
        <v>1325</v>
      </c>
      <c r="C737" s="11" t="s">
        <v>1329</v>
      </c>
      <c r="D737" s="11"/>
      <c r="E737" s="64">
        <v>46039.0</v>
      </c>
      <c r="F737" s="14" t="s">
        <v>287</v>
      </c>
      <c r="G737" s="180">
        <v>64163.0</v>
      </c>
      <c r="H737" s="16">
        <v>48692.0</v>
      </c>
      <c r="I737" s="17">
        <f t="shared" si="19"/>
        <v>15471</v>
      </c>
      <c r="J737" s="25" t="s">
        <v>1</v>
      </c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ht="33.75" customHeight="1">
      <c r="A738" s="24" t="s">
        <v>115</v>
      </c>
      <c r="B738" s="22" t="s">
        <v>1325</v>
      </c>
      <c r="C738" s="11" t="s">
        <v>1330</v>
      </c>
      <c r="D738" s="11"/>
      <c r="E738" s="64">
        <v>46039.0</v>
      </c>
      <c r="F738" s="14" t="s">
        <v>287</v>
      </c>
      <c r="G738" s="180">
        <v>64163.0</v>
      </c>
      <c r="H738" s="16">
        <v>48635.0</v>
      </c>
      <c r="I738" s="17">
        <f t="shared" si="19"/>
        <v>15528</v>
      </c>
      <c r="J738" s="25" t="s">
        <v>1</v>
      </c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ht="33.75" customHeight="1">
      <c r="A739" s="24" t="s">
        <v>115</v>
      </c>
      <c r="B739" s="22" t="s">
        <v>1325</v>
      </c>
      <c r="C739" s="11" t="s">
        <v>1331</v>
      </c>
      <c r="D739" s="11"/>
      <c r="E739" s="64">
        <v>46039.0</v>
      </c>
      <c r="F739" s="14" t="s">
        <v>287</v>
      </c>
      <c r="G739" s="180">
        <v>64163.0</v>
      </c>
      <c r="H739" s="16">
        <v>48375.0</v>
      </c>
      <c r="I739" s="17">
        <f t="shared" si="19"/>
        <v>15788</v>
      </c>
      <c r="J739" s="25" t="s">
        <v>1</v>
      </c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ht="33.75" customHeight="1">
      <c r="A740" s="11" t="s">
        <v>210</v>
      </c>
      <c r="B740" s="22" t="s">
        <v>49</v>
      </c>
      <c r="C740" s="11" t="s">
        <v>335</v>
      </c>
      <c r="D740" s="11"/>
      <c r="E740" s="64">
        <v>46039.0</v>
      </c>
      <c r="F740" s="14" t="s">
        <v>287</v>
      </c>
      <c r="G740" s="178">
        <v>29176.0</v>
      </c>
      <c r="H740" s="16">
        <v>20238.0</v>
      </c>
      <c r="I740" s="17">
        <f t="shared" si="19"/>
        <v>8938</v>
      </c>
      <c r="J740" s="25" t="s">
        <v>1</v>
      </c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ht="33.75" customHeight="1">
      <c r="A741" s="204" t="s">
        <v>774</v>
      </c>
      <c r="B741" s="205" t="s">
        <v>85</v>
      </c>
      <c r="C741" s="204" t="s">
        <v>1332</v>
      </c>
      <c r="D741" s="204"/>
      <c r="E741" s="206">
        <v>46039.0</v>
      </c>
      <c r="F741" s="207" t="s">
        <v>26</v>
      </c>
      <c r="G741" s="208"/>
      <c r="H741" s="209"/>
      <c r="I741" s="210">
        <f t="shared" si="19"/>
        <v>0</v>
      </c>
      <c r="J741" s="211" t="s">
        <v>1333</v>
      </c>
      <c r="K741" s="212"/>
      <c r="L741" s="212"/>
      <c r="M741" s="212"/>
      <c r="N741" s="212"/>
      <c r="O741" s="212"/>
      <c r="P741" s="212"/>
      <c r="Q741" s="212"/>
      <c r="R741" s="212"/>
      <c r="S741" s="212"/>
      <c r="T741" s="212"/>
      <c r="U741" s="212"/>
      <c r="V741" s="212"/>
      <c r="W741" s="212"/>
      <c r="X741" s="212"/>
      <c r="Y741" s="212"/>
      <c r="Z741" s="212"/>
    </row>
    <row r="742" ht="33.75" customHeight="1">
      <c r="A742" s="11" t="s">
        <v>1334</v>
      </c>
      <c r="B742" s="22" t="s">
        <v>88</v>
      </c>
      <c r="C742" s="11" t="s">
        <v>1335</v>
      </c>
      <c r="D742" s="11"/>
      <c r="E742" s="64">
        <v>46039.0</v>
      </c>
      <c r="F742" s="14" t="s">
        <v>99</v>
      </c>
      <c r="G742" s="178">
        <v>10431.0</v>
      </c>
      <c r="H742" s="16">
        <v>8423.0</v>
      </c>
      <c r="I742" s="17">
        <f t="shared" si="19"/>
        <v>2008</v>
      </c>
      <c r="J742" s="25" t="s">
        <v>1</v>
      </c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ht="33.75" customHeight="1">
      <c r="A743" s="11" t="s">
        <v>1014</v>
      </c>
      <c r="B743" s="22" t="s">
        <v>88</v>
      </c>
      <c r="C743" s="11" t="s">
        <v>1336</v>
      </c>
      <c r="D743" s="11"/>
      <c r="E743" s="64">
        <v>46039.0</v>
      </c>
      <c r="F743" s="14" t="s">
        <v>1141</v>
      </c>
      <c r="G743" s="178">
        <v>52239.0</v>
      </c>
      <c r="H743" s="16">
        <v>32843.0</v>
      </c>
      <c r="I743" s="17">
        <f t="shared" si="19"/>
        <v>19396</v>
      </c>
      <c r="J743" s="25" t="s">
        <v>1</v>
      </c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ht="33.75" customHeight="1">
      <c r="A744" s="11" t="s">
        <v>795</v>
      </c>
      <c r="B744" s="22" t="s">
        <v>578</v>
      </c>
      <c r="C744" s="11" t="s">
        <v>1337</v>
      </c>
      <c r="D744" s="11"/>
      <c r="E744" s="64">
        <v>46039.0</v>
      </c>
      <c r="F744" s="14" t="s">
        <v>1133</v>
      </c>
      <c r="G744" s="178">
        <v>8633.0</v>
      </c>
      <c r="H744" s="16">
        <v>8321.0</v>
      </c>
      <c r="I744" s="17">
        <f t="shared" si="19"/>
        <v>312</v>
      </c>
      <c r="J744" s="25" t="s">
        <v>1</v>
      </c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ht="33.75" customHeight="1">
      <c r="A745" s="11" t="s">
        <v>1338</v>
      </c>
      <c r="B745" s="22" t="s">
        <v>1339</v>
      </c>
      <c r="C745" s="11" t="s">
        <v>1340</v>
      </c>
      <c r="D745" s="11"/>
      <c r="E745" s="64">
        <v>46039.0</v>
      </c>
      <c r="F745" s="14" t="s">
        <v>17</v>
      </c>
      <c r="G745" s="178">
        <v>23320.0</v>
      </c>
      <c r="H745" s="16">
        <v>21205.0</v>
      </c>
      <c r="I745" s="17">
        <f t="shared" si="19"/>
        <v>2115</v>
      </c>
      <c r="J745" s="25" t="s">
        <v>1</v>
      </c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ht="33.75" customHeight="1">
      <c r="A746" s="11" t="s">
        <v>1341</v>
      </c>
      <c r="B746" s="22" t="s">
        <v>1339</v>
      </c>
      <c r="C746" s="11" t="s">
        <v>1342</v>
      </c>
      <c r="D746" s="11"/>
      <c r="E746" s="64">
        <v>46039.0</v>
      </c>
      <c r="F746" s="14" t="s">
        <v>17</v>
      </c>
      <c r="G746" s="178">
        <v>38252.0</v>
      </c>
      <c r="H746" s="16">
        <v>30254.0</v>
      </c>
      <c r="I746" s="17">
        <f t="shared" si="19"/>
        <v>7998</v>
      </c>
      <c r="J746" s="25" t="s">
        <v>1</v>
      </c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ht="33.75" customHeight="1">
      <c r="A747" s="11" t="s">
        <v>686</v>
      </c>
      <c r="B747" s="22" t="s">
        <v>1343</v>
      </c>
      <c r="C747" s="11" t="s">
        <v>1344</v>
      </c>
      <c r="D747" s="11"/>
      <c r="E747" s="64">
        <v>46039.0</v>
      </c>
      <c r="F747" s="14" t="s">
        <v>17</v>
      </c>
      <c r="G747" s="178">
        <v>48596.0</v>
      </c>
      <c r="H747" s="16">
        <v>33284.0</v>
      </c>
      <c r="I747" s="17">
        <v>48596.0</v>
      </c>
      <c r="J747" s="25" t="s">
        <v>1</v>
      </c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ht="33.75" customHeight="1">
      <c r="A748" s="11" t="s">
        <v>785</v>
      </c>
      <c r="B748" s="22" t="s">
        <v>1343</v>
      </c>
      <c r="C748" s="11" t="s">
        <v>1188</v>
      </c>
      <c r="D748" s="11"/>
      <c r="E748" s="64">
        <v>46039.0</v>
      </c>
      <c r="F748" s="14" t="s">
        <v>287</v>
      </c>
      <c r="G748" s="178">
        <v>49575.0</v>
      </c>
      <c r="H748" s="16">
        <v>45147.0</v>
      </c>
      <c r="I748" s="17">
        <f t="shared" ref="I748:I753" si="20">G748-H748</f>
        <v>4428</v>
      </c>
      <c r="J748" s="25" t="s">
        <v>1</v>
      </c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ht="33.75" customHeight="1">
      <c r="A749" s="11" t="s">
        <v>469</v>
      </c>
      <c r="B749" s="22" t="s">
        <v>181</v>
      </c>
      <c r="C749" s="11" t="s">
        <v>1345</v>
      </c>
      <c r="D749" s="11"/>
      <c r="E749" s="64">
        <v>46039.0</v>
      </c>
      <c r="F749" s="14" t="s">
        <v>17</v>
      </c>
      <c r="G749" s="178">
        <v>26711.0</v>
      </c>
      <c r="H749" s="16">
        <v>24329.0</v>
      </c>
      <c r="I749" s="17">
        <f t="shared" si="20"/>
        <v>2382</v>
      </c>
      <c r="J749" s="25" t="s">
        <v>1</v>
      </c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ht="33.75" customHeight="1">
      <c r="A750" s="11" t="s">
        <v>577</v>
      </c>
      <c r="B750" s="22" t="s">
        <v>125</v>
      </c>
      <c r="C750" s="11" t="s">
        <v>1346</v>
      </c>
      <c r="D750" s="11"/>
      <c r="E750" s="64">
        <v>46039.0</v>
      </c>
      <c r="F750" s="14" t="s">
        <v>1133</v>
      </c>
      <c r="G750" s="178">
        <v>10829.0</v>
      </c>
      <c r="H750" s="16">
        <v>8913.0</v>
      </c>
      <c r="I750" s="17">
        <f t="shared" si="20"/>
        <v>1916</v>
      </c>
      <c r="J750" s="25" t="s">
        <v>1</v>
      </c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ht="33.75" customHeight="1">
      <c r="A751" s="11" t="s">
        <v>789</v>
      </c>
      <c r="B751" s="22" t="s">
        <v>125</v>
      </c>
      <c r="C751" s="11" t="s">
        <v>1347</v>
      </c>
      <c r="D751" s="11"/>
      <c r="E751" s="64">
        <v>46039.0</v>
      </c>
      <c r="F751" s="14" t="s">
        <v>1141</v>
      </c>
      <c r="G751" s="178">
        <v>12306.0</v>
      </c>
      <c r="H751" s="16">
        <v>10595.0</v>
      </c>
      <c r="I751" s="17">
        <f t="shared" si="20"/>
        <v>1711</v>
      </c>
      <c r="J751" s="25" t="s">
        <v>1</v>
      </c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ht="33.75" customHeight="1">
      <c r="A752" s="11" t="s">
        <v>534</v>
      </c>
      <c r="B752" s="22" t="s">
        <v>125</v>
      </c>
      <c r="C752" s="11" t="s">
        <v>1260</v>
      </c>
      <c r="D752" s="11"/>
      <c r="E752" s="64">
        <v>46039.0</v>
      </c>
      <c r="F752" s="14" t="s">
        <v>99</v>
      </c>
      <c r="G752" s="178">
        <v>21942.0</v>
      </c>
      <c r="H752" s="16">
        <v>18124.0</v>
      </c>
      <c r="I752" s="17">
        <f t="shared" si="20"/>
        <v>3818</v>
      </c>
      <c r="J752" s="25" t="s">
        <v>1</v>
      </c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ht="33.75" customHeight="1">
      <c r="A753" s="11" t="s">
        <v>1099</v>
      </c>
      <c r="B753" s="22" t="s">
        <v>161</v>
      </c>
      <c r="C753" s="11" t="s">
        <v>1348</v>
      </c>
      <c r="D753" s="11"/>
      <c r="E753" s="64">
        <v>46039.0</v>
      </c>
      <c r="F753" s="14" t="s">
        <v>17</v>
      </c>
      <c r="G753" s="178">
        <v>11514.0</v>
      </c>
      <c r="H753" s="16">
        <v>10415.0</v>
      </c>
      <c r="I753" s="17">
        <f t="shared" si="20"/>
        <v>1099</v>
      </c>
      <c r="J753" s="25" t="s">
        <v>1</v>
      </c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ht="33.75" customHeight="1">
      <c r="A754" s="195" t="s">
        <v>1349</v>
      </c>
      <c r="B754" s="196" t="s">
        <v>528</v>
      </c>
      <c r="C754" s="213"/>
      <c r="D754" s="213"/>
      <c r="E754" s="214">
        <v>46039.0</v>
      </c>
      <c r="F754" s="198" t="s">
        <v>1350</v>
      </c>
      <c r="G754" s="199">
        <v>16816.0</v>
      </c>
      <c r="H754" s="200"/>
      <c r="I754" s="201">
        <v>10456.0</v>
      </c>
      <c r="J754" s="202" t="s">
        <v>696</v>
      </c>
      <c r="K754" s="203"/>
      <c r="L754" s="203"/>
      <c r="M754" s="203"/>
      <c r="N754" s="203"/>
      <c r="O754" s="203"/>
      <c r="P754" s="203"/>
      <c r="Q754" s="203"/>
      <c r="R754" s="203"/>
      <c r="S754" s="203"/>
      <c r="T754" s="203"/>
      <c r="U754" s="203"/>
      <c r="V754" s="203"/>
      <c r="W754" s="203"/>
      <c r="X754" s="203"/>
      <c r="Y754" s="203"/>
      <c r="Z754" s="203"/>
    </row>
    <row r="755" ht="33.75" customHeight="1">
      <c r="A755" s="24" t="s">
        <v>1351</v>
      </c>
      <c r="B755" s="20" t="s">
        <v>15</v>
      </c>
      <c r="C755" s="215" t="s">
        <v>4</v>
      </c>
      <c r="D755" s="215"/>
      <c r="E755" s="76">
        <v>46039.0</v>
      </c>
      <c r="F755" s="14" t="s">
        <v>1350</v>
      </c>
      <c r="G755" s="178">
        <v>48823.0</v>
      </c>
      <c r="H755" s="28"/>
      <c r="I755" s="17">
        <v>10456.0</v>
      </c>
      <c r="J755" s="25" t="s">
        <v>1</v>
      </c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ht="33.75" customHeight="1">
      <c r="A756" s="24" t="s">
        <v>1352</v>
      </c>
      <c r="B756" s="20" t="s">
        <v>125</v>
      </c>
      <c r="C756" s="215" t="s">
        <v>4</v>
      </c>
      <c r="D756" s="215"/>
      <c r="E756" s="76">
        <v>46039.0</v>
      </c>
      <c r="F756" s="14" t="s">
        <v>1350</v>
      </c>
      <c r="G756" s="178">
        <v>10000.0</v>
      </c>
      <c r="H756" s="28"/>
      <c r="I756" s="17">
        <v>50251.0</v>
      </c>
      <c r="J756" s="25" t="s">
        <v>1</v>
      </c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ht="33.75" customHeight="1">
      <c r="A757" s="11" t="s">
        <v>837</v>
      </c>
      <c r="B757" s="22" t="s">
        <v>15</v>
      </c>
      <c r="C757" s="215" t="s">
        <v>4</v>
      </c>
      <c r="D757" s="215"/>
      <c r="E757" s="64">
        <v>46039.0</v>
      </c>
      <c r="F757" s="14" t="s">
        <v>1350</v>
      </c>
      <c r="G757" s="15" t="s">
        <v>1353</v>
      </c>
      <c r="H757" s="28"/>
      <c r="I757" s="17">
        <f t="shared" ref="I757:I759" si="21">G756-H756</f>
        <v>10000</v>
      </c>
      <c r="J757" s="25" t="s">
        <v>1</v>
      </c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ht="33.75" customHeight="1">
      <c r="A758" s="11" t="s">
        <v>1354</v>
      </c>
      <c r="B758" s="22" t="s">
        <v>15</v>
      </c>
      <c r="C758" s="215" t="s">
        <v>4</v>
      </c>
      <c r="D758" s="215"/>
      <c r="E758" s="64">
        <v>46039.0</v>
      </c>
      <c r="F758" s="14" t="s">
        <v>1350</v>
      </c>
      <c r="G758" s="178">
        <v>14962.0</v>
      </c>
      <c r="H758" s="28"/>
      <c r="I758" s="17">
        <f t="shared" si="21"/>
        <v>10456</v>
      </c>
      <c r="J758" s="25" t="s">
        <v>1</v>
      </c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ht="33.75" customHeight="1">
      <c r="A759" s="11" t="s">
        <v>135</v>
      </c>
      <c r="B759" s="22" t="s">
        <v>1355</v>
      </c>
      <c r="C759" s="215" t="s">
        <v>4</v>
      </c>
      <c r="D759" s="215"/>
      <c r="E759" s="64">
        <v>46039.0</v>
      </c>
      <c r="F759" s="14" t="s">
        <v>1350</v>
      </c>
      <c r="G759" s="178">
        <v>27965.0</v>
      </c>
      <c r="H759" s="28"/>
      <c r="I759" s="17">
        <f t="shared" si="21"/>
        <v>14962</v>
      </c>
      <c r="J759" s="25" t="s">
        <v>1</v>
      </c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ht="33.75" customHeight="1">
      <c r="A760" s="11" t="s">
        <v>40</v>
      </c>
      <c r="B760" s="22" t="s">
        <v>34</v>
      </c>
      <c r="C760" s="11" t="s">
        <v>1356</v>
      </c>
      <c r="D760" s="11"/>
      <c r="E760" s="64">
        <v>46039.0</v>
      </c>
      <c r="F760" s="14" t="s">
        <v>99</v>
      </c>
      <c r="G760" s="178">
        <v>19264.0</v>
      </c>
      <c r="H760" s="16">
        <v>18083.0</v>
      </c>
      <c r="I760" s="17">
        <f>G753-H753</f>
        <v>1099</v>
      </c>
      <c r="J760" s="25" t="s">
        <v>1</v>
      </c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ht="33.75" customHeight="1">
      <c r="A761" s="11" t="s">
        <v>1111</v>
      </c>
      <c r="B761" s="22" t="s">
        <v>19</v>
      </c>
      <c r="C761" s="11" t="s">
        <v>1357</v>
      </c>
      <c r="D761" s="11"/>
      <c r="E761" s="64">
        <v>46039.0</v>
      </c>
      <c r="F761" s="14" t="s">
        <v>99</v>
      </c>
      <c r="G761" s="178">
        <v>50000.0</v>
      </c>
      <c r="H761" s="16">
        <v>24196.0</v>
      </c>
      <c r="I761" s="17">
        <f t="shared" ref="I761:I776" si="22">G761-H761</f>
        <v>25804</v>
      </c>
      <c r="J761" s="25" t="s">
        <v>1</v>
      </c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ht="33.75" customHeight="1">
      <c r="A762" s="11" t="s">
        <v>184</v>
      </c>
      <c r="B762" s="22" t="s">
        <v>88</v>
      </c>
      <c r="C762" s="11" t="s">
        <v>1358</v>
      </c>
      <c r="D762" s="11"/>
      <c r="E762" s="64">
        <v>46040.0</v>
      </c>
      <c r="F762" s="14" t="s">
        <v>1133</v>
      </c>
      <c r="G762" s="178">
        <v>43594.0</v>
      </c>
      <c r="H762" s="16">
        <v>34913.0</v>
      </c>
      <c r="I762" s="17">
        <f t="shared" si="22"/>
        <v>8681</v>
      </c>
      <c r="J762" s="25" t="s">
        <v>1</v>
      </c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ht="33.75" customHeight="1">
      <c r="A763" s="11" t="s">
        <v>184</v>
      </c>
      <c r="B763" s="22" t="s">
        <v>88</v>
      </c>
      <c r="C763" s="11" t="s">
        <v>1359</v>
      </c>
      <c r="D763" s="11"/>
      <c r="E763" s="64">
        <v>46040.0</v>
      </c>
      <c r="F763" s="14" t="s">
        <v>1133</v>
      </c>
      <c r="G763" s="178">
        <v>43595.0</v>
      </c>
      <c r="H763" s="16">
        <v>29977.0</v>
      </c>
      <c r="I763" s="17">
        <f t="shared" si="22"/>
        <v>13618</v>
      </c>
      <c r="J763" s="25" t="s">
        <v>1</v>
      </c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ht="33.75" customHeight="1">
      <c r="A764" s="11" t="s">
        <v>884</v>
      </c>
      <c r="B764" s="22" t="s">
        <v>31</v>
      </c>
      <c r="C764" s="29" t="s">
        <v>1360</v>
      </c>
      <c r="D764" s="29"/>
      <c r="E764" s="64">
        <v>46040.0</v>
      </c>
      <c r="F764" s="14" t="s">
        <v>1141</v>
      </c>
      <c r="G764" s="178">
        <v>46349.0</v>
      </c>
      <c r="H764" s="16">
        <v>40860.0</v>
      </c>
      <c r="I764" s="17">
        <f t="shared" si="22"/>
        <v>5489</v>
      </c>
      <c r="J764" s="25" t="s">
        <v>1</v>
      </c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ht="33.75" customHeight="1">
      <c r="A765" s="11" t="s">
        <v>135</v>
      </c>
      <c r="B765" s="22" t="s">
        <v>98</v>
      </c>
      <c r="C765" s="11" t="s">
        <v>1361</v>
      </c>
      <c r="D765" s="11"/>
      <c r="E765" s="64">
        <v>46040.0</v>
      </c>
      <c r="F765" s="14" t="s">
        <v>1141</v>
      </c>
      <c r="G765" s="15" t="s">
        <v>1362</v>
      </c>
      <c r="H765" s="16">
        <v>25383.0</v>
      </c>
      <c r="I765" s="17">
        <f t="shared" si="22"/>
        <v>1617</v>
      </c>
      <c r="J765" s="25" t="s">
        <v>1</v>
      </c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ht="33.75" customHeight="1">
      <c r="A766" s="11" t="s">
        <v>28</v>
      </c>
      <c r="B766" s="22" t="s">
        <v>49</v>
      </c>
      <c r="C766" s="11" t="s">
        <v>1363</v>
      </c>
      <c r="D766" s="11"/>
      <c r="E766" s="64">
        <v>46041.0</v>
      </c>
      <c r="F766" s="14" t="s">
        <v>17</v>
      </c>
      <c r="G766" s="15" t="s">
        <v>336</v>
      </c>
      <c r="H766" s="16">
        <v>9280.0</v>
      </c>
      <c r="I766" s="17">
        <f t="shared" si="22"/>
        <v>1720</v>
      </c>
      <c r="J766" s="25" t="s">
        <v>1</v>
      </c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ht="33.75" customHeight="1">
      <c r="A767" s="11" t="s">
        <v>1271</v>
      </c>
      <c r="B767" s="22" t="s">
        <v>49</v>
      </c>
      <c r="C767" s="11" t="s">
        <v>1364</v>
      </c>
      <c r="D767" s="11"/>
      <c r="E767" s="64">
        <v>46041.0</v>
      </c>
      <c r="F767" s="14" t="s">
        <v>99</v>
      </c>
      <c r="G767" s="178">
        <v>10000.0</v>
      </c>
      <c r="H767" s="16">
        <v>6797.0</v>
      </c>
      <c r="I767" s="17">
        <f t="shared" si="22"/>
        <v>3203</v>
      </c>
      <c r="J767" s="25" t="s">
        <v>1</v>
      </c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ht="33.75" customHeight="1">
      <c r="A768" s="11" t="s">
        <v>1365</v>
      </c>
      <c r="B768" s="22" t="s">
        <v>49</v>
      </c>
      <c r="C768" s="11" t="s">
        <v>1364</v>
      </c>
      <c r="D768" s="11"/>
      <c r="E768" s="64">
        <v>46041.0</v>
      </c>
      <c r="F768" s="14" t="s">
        <v>99</v>
      </c>
      <c r="G768" s="178">
        <v>10000.0</v>
      </c>
      <c r="H768" s="16">
        <v>8355.0</v>
      </c>
      <c r="I768" s="17">
        <f t="shared" si="22"/>
        <v>1645</v>
      </c>
      <c r="J768" s="25" t="s">
        <v>1</v>
      </c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ht="33.75" customHeight="1">
      <c r="A769" s="185" t="s">
        <v>774</v>
      </c>
      <c r="B769" s="186" t="s">
        <v>85</v>
      </c>
      <c r="C769" s="185" t="s">
        <v>1332</v>
      </c>
      <c r="D769" s="185"/>
      <c r="E769" s="187">
        <v>46041.0</v>
      </c>
      <c r="F769" s="188" t="s">
        <v>287</v>
      </c>
      <c r="G769" s="216"/>
      <c r="H769" s="217"/>
      <c r="I769" s="191">
        <f t="shared" si="22"/>
        <v>0</v>
      </c>
      <c r="J769" s="192" t="s">
        <v>1366</v>
      </c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</row>
    <row r="770" ht="33.75" customHeight="1">
      <c r="A770" s="11" t="s">
        <v>135</v>
      </c>
      <c r="B770" s="22" t="s">
        <v>1367</v>
      </c>
      <c r="C770" s="11" t="s">
        <v>1361</v>
      </c>
      <c r="D770" s="11"/>
      <c r="E770" s="64">
        <v>46041.0</v>
      </c>
      <c r="F770" s="14" t="s">
        <v>26</v>
      </c>
      <c r="G770" s="15" t="s">
        <v>1362</v>
      </c>
      <c r="H770" s="16">
        <v>25044.0</v>
      </c>
      <c r="I770" s="17">
        <f t="shared" si="22"/>
        <v>1956</v>
      </c>
      <c r="J770" s="25" t="s">
        <v>1</v>
      </c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ht="33.75" customHeight="1">
      <c r="A771" s="11" t="s">
        <v>40</v>
      </c>
      <c r="B771" s="22" t="s">
        <v>34</v>
      </c>
      <c r="C771" s="11" t="s">
        <v>1368</v>
      </c>
      <c r="D771" s="11"/>
      <c r="E771" s="64">
        <v>46041.0</v>
      </c>
      <c r="F771" s="14" t="s">
        <v>99</v>
      </c>
      <c r="G771" s="178">
        <v>34927.0</v>
      </c>
      <c r="H771" s="16">
        <v>32979.0</v>
      </c>
      <c r="I771" s="17">
        <f t="shared" si="22"/>
        <v>1948</v>
      </c>
      <c r="J771" s="25" t="s">
        <v>1</v>
      </c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ht="33.75" customHeight="1">
      <c r="A772" s="11" t="s">
        <v>1369</v>
      </c>
      <c r="B772" s="22" t="s">
        <v>34</v>
      </c>
      <c r="C772" s="11" t="s">
        <v>1370</v>
      </c>
      <c r="D772" s="11"/>
      <c r="E772" s="64">
        <v>46041.0</v>
      </c>
      <c r="F772" s="14" t="s">
        <v>1141</v>
      </c>
      <c r="G772" s="178">
        <v>14976.0</v>
      </c>
      <c r="H772" s="16">
        <v>13136.0</v>
      </c>
      <c r="I772" s="17">
        <f t="shared" si="22"/>
        <v>1840</v>
      </c>
      <c r="J772" s="25" t="s">
        <v>1</v>
      </c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ht="33.75" customHeight="1">
      <c r="A773" s="11" t="s">
        <v>1371</v>
      </c>
      <c r="B773" s="22" t="s">
        <v>350</v>
      </c>
      <c r="C773" s="11" t="s">
        <v>1372</v>
      </c>
      <c r="D773" s="11"/>
      <c r="E773" s="64">
        <v>46041.0</v>
      </c>
      <c r="F773" s="14" t="s">
        <v>17</v>
      </c>
      <c r="G773" s="178">
        <v>26909.0</v>
      </c>
      <c r="H773" s="16">
        <v>19848.0</v>
      </c>
      <c r="I773" s="17">
        <f t="shared" si="22"/>
        <v>7061</v>
      </c>
      <c r="J773" s="25" t="s">
        <v>1</v>
      </c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ht="33.75" customHeight="1">
      <c r="A774" s="195" t="s">
        <v>1373</v>
      </c>
      <c r="B774" s="196" t="s">
        <v>49</v>
      </c>
      <c r="C774" s="195" t="s">
        <v>1374</v>
      </c>
      <c r="D774" s="195"/>
      <c r="E774" s="197">
        <v>46042.0</v>
      </c>
      <c r="F774" s="198" t="s">
        <v>1133</v>
      </c>
      <c r="G774" s="218"/>
      <c r="H774" s="200"/>
      <c r="I774" s="201">
        <f t="shared" si="22"/>
        <v>0</v>
      </c>
      <c r="J774" s="202" t="s">
        <v>1051</v>
      </c>
      <c r="K774" s="203"/>
      <c r="L774" s="203"/>
      <c r="M774" s="203"/>
      <c r="N774" s="203"/>
      <c r="O774" s="203"/>
      <c r="P774" s="203"/>
      <c r="Q774" s="203"/>
      <c r="R774" s="203"/>
      <c r="S774" s="203"/>
      <c r="T774" s="203"/>
      <c r="U774" s="203"/>
      <c r="V774" s="203"/>
      <c r="W774" s="203"/>
      <c r="X774" s="203"/>
      <c r="Y774" s="203"/>
      <c r="Z774" s="203"/>
    </row>
    <row r="775" ht="33.75" customHeight="1">
      <c r="A775" s="11" t="s">
        <v>28</v>
      </c>
      <c r="B775" s="22" t="s">
        <v>49</v>
      </c>
      <c r="C775" s="11" t="s">
        <v>1363</v>
      </c>
      <c r="D775" s="11"/>
      <c r="E775" s="64">
        <v>46042.0</v>
      </c>
      <c r="F775" s="14" t="s">
        <v>17</v>
      </c>
      <c r="G775" s="15" t="s">
        <v>336</v>
      </c>
      <c r="H775" s="16">
        <v>9284.0</v>
      </c>
      <c r="I775" s="17">
        <f t="shared" si="22"/>
        <v>1716</v>
      </c>
      <c r="J775" s="25" t="s">
        <v>1</v>
      </c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ht="33.75" customHeight="1">
      <c r="A776" s="11" t="s">
        <v>1375</v>
      </c>
      <c r="B776" s="22" t="s">
        <v>49</v>
      </c>
      <c r="C776" s="11" t="s">
        <v>1376</v>
      </c>
      <c r="D776" s="11"/>
      <c r="E776" s="64">
        <v>46042.0</v>
      </c>
      <c r="F776" s="14" t="s">
        <v>99</v>
      </c>
      <c r="G776" s="178">
        <v>10000.0</v>
      </c>
      <c r="H776" s="16">
        <v>7695.0</v>
      </c>
      <c r="I776" s="17">
        <f t="shared" si="22"/>
        <v>2305</v>
      </c>
      <c r="J776" s="25" t="s">
        <v>1</v>
      </c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ht="33.75" customHeight="1">
      <c r="A777" s="11" t="s">
        <v>1377</v>
      </c>
      <c r="B777" s="22" t="s">
        <v>49</v>
      </c>
      <c r="C777" s="11" t="s">
        <v>1376</v>
      </c>
      <c r="D777" s="11"/>
      <c r="E777" s="64">
        <v>46042.0</v>
      </c>
      <c r="F777" s="14" t="s">
        <v>99</v>
      </c>
      <c r="G777" s="180">
        <v>10000.0</v>
      </c>
      <c r="H777" s="16">
        <v>8658.0</v>
      </c>
      <c r="I777" s="17">
        <v>10000.0</v>
      </c>
      <c r="J777" s="25" t="s">
        <v>1</v>
      </c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ht="33.75" customHeight="1">
      <c r="A778" s="11" t="s">
        <v>366</v>
      </c>
      <c r="B778" s="22" t="s">
        <v>49</v>
      </c>
      <c r="C778" s="11" t="s">
        <v>1376</v>
      </c>
      <c r="D778" s="11"/>
      <c r="E778" s="64">
        <v>46042.0</v>
      </c>
      <c r="F778" s="14" t="s">
        <v>99</v>
      </c>
      <c r="G778" s="180">
        <v>10000.0</v>
      </c>
      <c r="H778" s="16" t="s">
        <v>1378</v>
      </c>
      <c r="I778" s="17">
        <v>10000.0</v>
      </c>
      <c r="J778" s="25" t="s">
        <v>1</v>
      </c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ht="33.75" customHeight="1">
      <c r="A779" s="11" t="s">
        <v>1379</v>
      </c>
      <c r="B779" s="22" t="s">
        <v>49</v>
      </c>
      <c r="C779" s="11" t="s">
        <v>1376</v>
      </c>
      <c r="D779" s="11"/>
      <c r="E779" s="64">
        <v>46042.0</v>
      </c>
      <c r="F779" s="14" t="s">
        <v>99</v>
      </c>
      <c r="G779" s="180">
        <v>10000.0</v>
      </c>
      <c r="H779" s="16">
        <v>9245.0</v>
      </c>
      <c r="I779" s="17">
        <v>10000.0</v>
      </c>
      <c r="J779" s="25" t="s">
        <v>1</v>
      </c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ht="33.75" customHeight="1">
      <c r="A780" s="11" t="s">
        <v>1177</v>
      </c>
      <c r="B780" s="22" t="s">
        <v>49</v>
      </c>
      <c r="C780" s="11" t="s">
        <v>1380</v>
      </c>
      <c r="D780" s="11"/>
      <c r="E780" s="64">
        <v>46042.0</v>
      </c>
      <c r="F780" s="14" t="s">
        <v>1133</v>
      </c>
      <c r="G780" s="15">
        <v>10000.0</v>
      </c>
      <c r="H780" s="179">
        <v>8831.0</v>
      </c>
      <c r="I780" s="39">
        <f t="shared" ref="I780:I808" si="23">G780-H780</f>
        <v>1169</v>
      </c>
      <c r="J780" s="25" t="s">
        <v>1</v>
      </c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ht="33.75" customHeight="1">
      <c r="A781" s="11" t="s">
        <v>373</v>
      </c>
      <c r="B781" s="22" t="s">
        <v>49</v>
      </c>
      <c r="C781" s="11" t="s">
        <v>1380</v>
      </c>
      <c r="D781" s="11"/>
      <c r="E781" s="64">
        <v>46042.0</v>
      </c>
      <c r="F781" s="14" t="s">
        <v>1133</v>
      </c>
      <c r="G781" s="15">
        <v>10000.0</v>
      </c>
      <c r="H781" s="16">
        <v>4158.0</v>
      </c>
      <c r="I781" s="39">
        <f t="shared" si="23"/>
        <v>5842</v>
      </c>
      <c r="J781" s="25" t="s">
        <v>1</v>
      </c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ht="33.75" customHeight="1">
      <c r="A782" s="11" t="s">
        <v>569</v>
      </c>
      <c r="B782" s="22" t="s">
        <v>49</v>
      </c>
      <c r="C782" s="11" t="s">
        <v>1380</v>
      </c>
      <c r="D782" s="11"/>
      <c r="E782" s="64">
        <v>46042.0</v>
      </c>
      <c r="F782" s="14" t="s">
        <v>1133</v>
      </c>
      <c r="G782" s="15">
        <v>10000.0</v>
      </c>
      <c r="H782" s="179">
        <v>9188.0</v>
      </c>
      <c r="I782" s="39">
        <f t="shared" si="23"/>
        <v>812</v>
      </c>
      <c r="J782" s="25" t="s">
        <v>1</v>
      </c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ht="33.75" customHeight="1">
      <c r="A783" s="11" t="s">
        <v>693</v>
      </c>
      <c r="B783" s="22" t="s">
        <v>49</v>
      </c>
      <c r="C783" s="11" t="s">
        <v>1380</v>
      </c>
      <c r="D783" s="11"/>
      <c r="E783" s="64">
        <v>46042.0</v>
      </c>
      <c r="F783" s="14" t="s">
        <v>1133</v>
      </c>
      <c r="G783" s="15">
        <v>10000.0</v>
      </c>
      <c r="H783" s="179">
        <v>7564.0</v>
      </c>
      <c r="I783" s="39">
        <f t="shared" si="23"/>
        <v>2436</v>
      </c>
      <c r="J783" s="25" t="s">
        <v>1</v>
      </c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ht="33.75" customHeight="1">
      <c r="A784" s="11" t="s">
        <v>1381</v>
      </c>
      <c r="B784" s="22" t="s">
        <v>49</v>
      </c>
      <c r="C784" s="11" t="s">
        <v>1382</v>
      </c>
      <c r="D784" s="11"/>
      <c r="E784" s="64">
        <v>46042.0</v>
      </c>
      <c r="F784" s="14" t="s">
        <v>1141</v>
      </c>
      <c r="G784" s="15" t="s">
        <v>1383</v>
      </c>
      <c r="H784" s="16">
        <v>1129.0</v>
      </c>
      <c r="I784" s="17">
        <f t="shared" si="23"/>
        <v>232</v>
      </c>
      <c r="J784" s="25" t="s">
        <v>1</v>
      </c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ht="33.75" customHeight="1">
      <c r="A785" s="11" t="s">
        <v>774</v>
      </c>
      <c r="B785" s="22" t="s">
        <v>81</v>
      </c>
      <c r="C785" s="11" t="s">
        <v>1332</v>
      </c>
      <c r="D785" s="11"/>
      <c r="E785" s="64">
        <v>46042.0</v>
      </c>
      <c r="F785" s="14" t="s">
        <v>287</v>
      </c>
      <c r="G785" s="178">
        <v>37491.0</v>
      </c>
      <c r="H785" s="16">
        <v>31304.0</v>
      </c>
      <c r="I785" s="17">
        <f t="shared" si="23"/>
        <v>6187</v>
      </c>
      <c r="J785" s="25" t="s">
        <v>1</v>
      </c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ht="33.75" customHeight="1">
      <c r="A786" s="11" t="s">
        <v>28</v>
      </c>
      <c r="B786" s="22" t="s">
        <v>81</v>
      </c>
      <c r="C786" s="11" t="s">
        <v>1363</v>
      </c>
      <c r="D786" s="11"/>
      <c r="E786" s="64">
        <v>46042.0</v>
      </c>
      <c r="F786" s="14" t="s">
        <v>17</v>
      </c>
      <c r="G786" s="15" t="s">
        <v>336</v>
      </c>
      <c r="H786" s="28"/>
      <c r="I786" s="17">
        <f t="shared" si="23"/>
        <v>11000</v>
      </c>
      <c r="J786" s="25" t="s">
        <v>1</v>
      </c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ht="33.75" customHeight="1">
      <c r="A787" s="11" t="s">
        <v>752</v>
      </c>
      <c r="B787" s="22" t="s">
        <v>85</v>
      </c>
      <c r="C787" s="11" t="s">
        <v>1384</v>
      </c>
      <c r="D787" s="11"/>
      <c r="E787" s="64">
        <v>46042.0</v>
      </c>
      <c r="F787" s="14" t="s">
        <v>26</v>
      </c>
      <c r="G787" s="178">
        <v>9992.0</v>
      </c>
      <c r="H787" s="16">
        <v>7474.0</v>
      </c>
      <c r="I787" s="17">
        <f t="shared" si="23"/>
        <v>2518</v>
      </c>
      <c r="J787" s="25" t="s">
        <v>1</v>
      </c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ht="33.75" customHeight="1">
      <c r="A788" s="11" t="s">
        <v>1314</v>
      </c>
      <c r="B788" s="22" t="s">
        <v>88</v>
      </c>
      <c r="C788" s="11" t="s">
        <v>1385</v>
      </c>
      <c r="D788" s="11"/>
      <c r="E788" s="64">
        <v>46042.0</v>
      </c>
      <c r="F788" s="14" t="s">
        <v>287</v>
      </c>
      <c r="G788" s="15" t="s">
        <v>1386</v>
      </c>
      <c r="H788" s="16">
        <v>1758.0</v>
      </c>
      <c r="I788" s="17">
        <f t="shared" si="23"/>
        <v>236</v>
      </c>
      <c r="J788" s="25" t="s">
        <v>1</v>
      </c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ht="33.75" customHeight="1">
      <c r="A789" s="11" t="s">
        <v>1276</v>
      </c>
      <c r="B789" s="22" t="s">
        <v>37</v>
      </c>
      <c r="C789" s="11" t="s">
        <v>1277</v>
      </c>
      <c r="D789" s="11"/>
      <c r="E789" s="64">
        <v>46042.0</v>
      </c>
      <c r="F789" s="14" t="s">
        <v>1141</v>
      </c>
      <c r="G789" s="178">
        <v>10000.0</v>
      </c>
      <c r="H789" s="16">
        <v>8562.0</v>
      </c>
      <c r="I789" s="17">
        <f t="shared" si="23"/>
        <v>1438</v>
      </c>
      <c r="J789" s="25" t="s">
        <v>1</v>
      </c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ht="33.75" customHeight="1">
      <c r="A790" s="11" t="s">
        <v>28</v>
      </c>
      <c r="B790" s="22" t="s">
        <v>37</v>
      </c>
      <c r="C790" s="11" t="s">
        <v>1387</v>
      </c>
      <c r="D790" s="11"/>
      <c r="E790" s="64">
        <v>46042.0</v>
      </c>
      <c r="F790" s="14" t="s">
        <v>17</v>
      </c>
      <c r="G790" s="178">
        <v>13499.0</v>
      </c>
      <c r="H790" s="16">
        <v>11863.0</v>
      </c>
      <c r="I790" s="17">
        <f t="shared" si="23"/>
        <v>1636</v>
      </c>
      <c r="J790" s="25" t="s">
        <v>1</v>
      </c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ht="33.75" customHeight="1">
      <c r="A791" s="11" t="s">
        <v>1222</v>
      </c>
      <c r="B791" s="22" t="s">
        <v>1097</v>
      </c>
      <c r="C791" s="11" t="s">
        <v>1388</v>
      </c>
      <c r="D791" s="11"/>
      <c r="E791" s="64">
        <v>46042.0</v>
      </c>
      <c r="F791" s="14" t="s">
        <v>287</v>
      </c>
      <c r="G791" s="178">
        <v>14634.0</v>
      </c>
      <c r="H791" s="16">
        <v>9245.0</v>
      </c>
      <c r="I791" s="17">
        <f t="shared" si="23"/>
        <v>5389</v>
      </c>
      <c r="J791" s="25" t="s">
        <v>1</v>
      </c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ht="33.75" customHeight="1">
      <c r="A792" s="11" t="s">
        <v>1389</v>
      </c>
      <c r="B792" s="22" t="s">
        <v>681</v>
      </c>
      <c r="C792" s="11" t="s">
        <v>1390</v>
      </c>
      <c r="D792" s="11"/>
      <c r="E792" s="64">
        <v>46042.0</v>
      </c>
      <c r="F792" s="14" t="s">
        <v>1141</v>
      </c>
      <c r="G792" s="15" t="s">
        <v>1391</v>
      </c>
      <c r="H792" s="16">
        <v>6319.0</v>
      </c>
      <c r="I792" s="17">
        <f t="shared" si="23"/>
        <v>281</v>
      </c>
      <c r="J792" s="25" t="s">
        <v>1</v>
      </c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ht="33.75" customHeight="1">
      <c r="A793" s="11" t="s">
        <v>1392</v>
      </c>
      <c r="B793" s="22" t="s">
        <v>19</v>
      </c>
      <c r="C793" s="11" t="s">
        <v>1393</v>
      </c>
      <c r="D793" s="11"/>
      <c r="E793" s="64">
        <v>46042.0</v>
      </c>
      <c r="F793" s="14" t="s">
        <v>17</v>
      </c>
      <c r="G793" s="178">
        <v>16786.0</v>
      </c>
      <c r="H793" s="16">
        <v>5734.0</v>
      </c>
      <c r="I793" s="17">
        <f t="shared" si="23"/>
        <v>11052</v>
      </c>
      <c r="J793" s="25" t="s">
        <v>1</v>
      </c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ht="33.75" customHeight="1">
      <c r="A794" s="11" t="s">
        <v>135</v>
      </c>
      <c r="B794" s="22" t="s">
        <v>34</v>
      </c>
      <c r="C794" s="11" t="s">
        <v>1368</v>
      </c>
      <c r="D794" s="11"/>
      <c r="E794" s="64">
        <v>46042.0</v>
      </c>
      <c r="F794" s="14" t="s">
        <v>287</v>
      </c>
      <c r="G794" s="178">
        <v>27000.0</v>
      </c>
      <c r="H794" s="28"/>
      <c r="I794" s="25">
        <f t="shared" si="23"/>
        <v>27000</v>
      </c>
      <c r="J794" s="25" t="s">
        <v>1</v>
      </c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ht="33.75" customHeight="1">
      <c r="A795" s="11" t="s">
        <v>1394</v>
      </c>
      <c r="B795" s="22" t="s">
        <v>34</v>
      </c>
      <c r="C795" s="11" t="s">
        <v>1395</v>
      </c>
      <c r="D795" s="11"/>
      <c r="E795" s="64">
        <v>46042.0</v>
      </c>
      <c r="F795" s="14" t="s">
        <v>1141</v>
      </c>
      <c r="G795" s="178">
        <v>2200.0</v>
      </c>
      <c r="H795" s="16">
        <v>1313.0</v>
      </c>
      <c r="I795" s="17">
        <f t="shared" si="23"/>
        <v>887</v>
      </c>
      <c r="J795" s="25" t="s">
        <v>1</v>
      </c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ht="33.75" customHeight="1">
      <c r="A796" s="11" t="s">
        <v>884</v>
      </c>
      <c r="B796" s="22" t="s">
        <v>34</v>
      </c>
      <c r="C796" s="11" t="s">
        <v>1396</v>
      </c>
      <c r="D796" s="11"/>
      <c r="E796" s="64">
        <v>46042.0</v>
      </c>
      <c r="F796" s="14" t="s">
        <v>17</v>
      </c>
      <c r="G796" s="15" t="s">
        <v>1397</v>
      </c>
      <c r="H796" s="16">
        <v>41545.0</v>
      </c>
      <c r="I796" s="17">
        <f t="shared" si="23"/>
        <v>5315</v>
      </c>
      <c r="J796" s="25" t="s">
        <v>1</v>
      </c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ht="33.75" customHeight="1">
      <c r="A797" s="11" t="s">
        <v>1349</v>
      </c>
      <c r="B797" s="12"/>
      <c r="C797" s="11" t="s">
        <v>1398</v>
      </c>
      <c r="D797" s="11"/>
      <c r="E797" s="64">
        <v>46042.0</v>
      </c>
      <c r="F797" s="14" t="s">
        <v>99</v>
      </c>
      <c r="G797" s="178">
        <v>17313.0</v>
      </c>
      <c r="H797" s="16">
        <v>16583.0</v>
      </c>
      <c r="I797" s="17">
        <f t="shared" si="23"/>
        <v>730</v>
      </c>
      <c r="J797" s="25" t="s">
        <v>1</v>
      </c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ht="33.75" customHeight="1">
      <c r="A798" s="11" t="s">
        <v>40</v>
      </c>
      <c r="B798" s="22" t="s">
        <v>15</v>
      </c>
      <c r="C798" s="11" t="s">
        <v>1399</v>
      </c>
      <c r="D798" s="11"/>
      <c r="E798" s="64">
        <v>46042.0</v>
      </c>
      <c r="F798" s="14" t="s">
        <v>17</v>
      </c>
      <c r="G798" s="178">
        <v>34927.0</v>
      </c>
      <c r="H798" s="16">
        <v>33912.0</v>
      </c>
      <c r="I798" s="17">
        <f t="shared" si="23"/>
        <v>1015</v>
      </c>
      <c r="J798" s="25" t="s">
        <v>1</v>
      </c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ht="33.75" customHeight="1">
      <c r="A799" s="11" t="s">
        <v>420</v>
      </c>
      <c r="B799" s="12"/>
      <c r="C799" s="11" t="s">
        <v>1400</v>
      </c>
      <c r="D799" s="11"/>
      <c r="E799" s="64">
        <v>46042.0</v>
      </c>
      <c r="F799" s="14" t="s">
        <v>99</v>
      </c>
      <c r="G799" s="178">
        <v>10000.0</v>
      </c>
      <c r="H799" s="16">
        <v>9342.0</v>
      </c>
      <c r="I799" s="17">
        <f t="shared" si="23"/>
        <v>658</v>
      </c>
      <c r="J799" s="25" t="s">
        <v>1</v>
      </c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ht="33.75" customHeight="1">
      <c r="A800" s="11" t="s">
        <v>40</v>
      </c>
      <c r="B800" s="22" t="s">
        <v>49</v>
      </c>
      <c r="C800" s="11" t="s">
        <v>1401</v>
      </c>
      <c r="D800" s="11"/>
      <c r="E800" s="64">
        <v>46043.0</v>
      </c>
      <c r="F800" s="14" t="s">
        <v>287</v>
      </c>
      <c r="G800" s="180">
        <v>34927.0</v>
      </c>
      <c r="H800" s="16">
        <v>31581.0</v>
      </c>
      <c r="I800" s="17">
        <f t="shared" si="23"/>
        <v>3346</v>
      </c>
      <c r="J800" s="25" t="s">
        <v>1</v>
      </c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ht="33.75" customHeight="1">
      <c r="A801" s="11" t="s">
        <v>366</v>
      </c>
      <c r="B801" s="22" t="s">
        <v>49</v>
      </c>
      <c r="C801" s="11" t="s">
        <v>1402</v>
      </c>
      <c r="D801" s="11"/>
      <c r="E801" s="64">
        <v>46043.0</v>
      </c>
      <c r="F801" s="14" t="s">
        <v>99</v>
      </c>
      <c r="G801" s="180">
        <v>10000.0</v>
      </c>
      <c r="H801" s="16">
        <v>9129.0</v>
      </c>
      <c r="I801" s="17">
        <f t="shared" si="23"/>
        <v>871</v>
      </c>
      <c r="J801" s="25" t="s">
        <v>1</v>
      </c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ht="33.75" customHeight="1">
      <c r="A802" s="11" t="s">
        <v>1403</v>
      </c>
      <c r="B802" s="22" t="s">
        <v>49</v>
      </c>
      <c r="C802" s="11" t="s">
        <v>1402</v>
      </c>
      <c r="D802" s="11"/>
      <c r="E802" s="64">
        <v>46043.0</v>
      </c>
      <c r="F802" s="14" t="s">
        <v>99</v>
      </c>
      <c r="G802" s="180">
        <v>10000.0</v>
      </c>
      <c r="H802" s="16">
        <v>3074.0</v>
      </c>
      <c r="I802" s="17">
        <f t="shared" si="23"/>
        <v>6926</v>
      </c>
      <c r="J802" s="25" t="s">
        <v>1</v>
      </c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ht="33.75" customHeight="1">
      <c r="A803" s="11" t="s">
        <v>369</v>
      </c>
      <c r="B803" s="22" t="s">
        <v>49</v>
      </c>
      <c r="C803" s="11" t="s">
        <v>1402</v>
      </c>
      <c r="D803" s="11"/>
      <c r="E803" s="64">
        <v>46043.0</v>
      </c>
      <c r="F803" s="14" t="s">
        <v>99</v>
      </c>
      <c r="G803" s="180">
        <v>10000.0</v>
      </c>
      <c r="H803" s="16">
        <v>4298.0</v>
      </c>
      <c r="I803" s="17">
        <f t="shared" si="23"/>
        <v>5702</v>
      </c>
      <c r="J803" s="25" t="s">
        <v>1</v>
      </c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ht="33.75" customHeight="1">
      <c r="A804" s="11" t="s">
        <v>1273</v>
      </c>
      <c r="B804" s="22" t="s">
        <v>49</v>
      </c>
      <c r="C804" s="11" t="s">
        <v>1402</v>
      </c>
      <c r="D804" s="11"/>
      <c r="E804" s="64">
        <v>46043.0</v>
      </c>
      <c r="F804" s="14" t="s">
        <v>99</v>
      </c>
      <c r="G804" s="180">
        <v>10000.0</v>
      </c>
      <c r="H804" s="16">
        <v>8393.0</v>
      </c>
      <c r="I804" s="17">
        <f t="shared" si="23"/>
        <v>1607</v>
      </c>
      <c r="J804" s="25" t="s">
        <v>1</v>
      </c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ht="33.75" customHeight="1">
      <c r="A805" s="11" t="s">
        <v>460</v>
      </c>
      <c r="B805" s="22" t="s">
        <v>49</v>
      </c>
      <c r="C805" s="11" t="s">
        <v>1404</v>
      </c>
      <c r="D805" s="11"/>
      <c r="E805" s="64">
        <v>46043.0</v>
      </c>
      <c r="F805" s="14" t="s">
        <v>1405</v>
      </c>
      <c r="G805" s="180">
        <v>10000.0</v>
      </c>
      <c r="H805" s="16">
        <v>8393.0</v>
      </c>
      <c r="I805" s="17">
        <f t="shared" si="23"/>
        <v>1607</v>
      </c>
      <c r="J805" s="25" t="s">
        <v>1</v>
      </c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ht="33.75" customHeight="1">
      <c r="A806" s="11" t="s">
        <v>1406</v>
      </c>
      <c r="B806" s="22" t="s">
        <v>49</v>
      </c>
      <c r="C806" s="11" t="s">
        <v>1404</v>
      </c>
      <c r="D806" s="11"/>
      <c r="E806" s="64">
        <v>46043.0</v>
      </c>
      <c r="F806" s="14" t="s">
        <v>1133</v>
      </c>
      <c r="G806" s="180">
        <v>10000.0</v>
      </c>
      <c r="H806" s="16">
        <v>2387.0</v>
      </c>
      <c r="I806" s="17">
        <f t="shared" si="23"/>
        <v>7613</v>
      </c>
      <c r="J806" s="25" t="s">
        <v>1</v>
      </c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ht="33.75" customHeight="1">
      <c r="A807" s="11" t="s">
        <v>1407</v>
      </c>
      <c r="B807" s="22" t="s">
        <v>49</v>
      </c>
      <c r="C807" s="11" t="s">
        <v>1404</v>
      </c>
      <c r="D807" s="11"/>
      <c r="E807" s="64">
        <v>46043.0</v>
      </c>
      <c r="F807" s="14" t="s">
        <v>1133</v>
      </c>
      <c r="G807" s="180">
        <v>10000.0</v>
      </c>
      <c r="H807" s="16">
        <v>5845.0</v>
      </c>
      <c r="I807" s="17">
        <f t="shared" si="23"/>
        <v>4155</v>
      </c>
      <c r="J807" s="25" t="s">
        <v>1</v>
      </c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ht="33.75" customHeight="1">
      <c r="A808" s="11" t="s">
        <v>1408</v>
      </c>
      <c r="B808" s="22" t="s">
        <v>49</v>
      </c>
      <c r="C808" s="11" t="s">
        <v>1404</v>
      </c>
      <c r="D808" s="11"/>
      <c r="E808" s="64">
        <v>46043.0</v>
      </c>
      <c r="F808" s="14" t="s">
        <v>1133</v>
      </c>
      <c r="G808" s="180">
        <v>10000.0</v>
      </c>
      <c r="H808" s="16">
        <v>4131.0</v>
      </c>
      <c r="I808" s="17">
        <f t="shared" si="23"/>
        <v>5869</v>
      </c>
      <c r="J808" s="25" t="s">
        <v>1</v>
      </c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ht="33.75" customHeight="1">
      <c r="A809" s="11" t="s">
        <v>1409</v>
      </c>
      <c r="B809" s="22">
        <v>0.375</v>
      </c>
      <c r="C809" s="11" t="s">
        <v>1410</v>
      </c>
      <c r="D809" s="11"/>
      <c r="E809" s="64">
        <v>46042.0</v>
      </c>
      <c r="F809" s="14" t="s">
        <v>1141</v>
      </c>
      <c r="G809" s="180">
        <v>10000.0</v>
      </c>
      <c r="H809" s="16">
        <v>8908.0</v>
      </c>
      <c r="I809" s="17">
        <v>10000.0</v>
      </c>
      <c r="J809" s="25" t="s">
        <v>1</v>
      </c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ht="33.75" customHeight="1">
      <c r="A810" s="11" t="s">
        <v>28</v>
      </c>
      <c r="B810" s="22" t="s">
        <v>81</v>
      </c>
      <c r="C810" s="11" t="s">
        <v>1411</v>
      </c>
      <c r="D810" s="11"/>
      <c r="E810" s="64">
        <v>46043.0</v>
      </c>
      <c r="F810" s="14" t="s">
        <v>17</v>
      </c>
      <c r="G810" s="15" t="s">
        <v>336</v>
      </c>
      <c r="H810" s="16">
        <v>10140.0</v>
      </c>
      <c r="I810" s="17">
        <f>G810-H810</f>
        <v>860</v>
      </c>
      <c r="J810" s="25" t="s">
        <v>1</v>
      </c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ht="33.75" customHeight="1">
      <c r="A811" s="11" t="s">
        <v>959</v>
      </c>
      <c r="B811" s="22" t="s">
        <v>88</v>
      </c>
      <c r="C811" s="11" t="s">
        <v>1412</v>
      </c>
      <c r="D811" s="11"/>
      <c r="E811" s="76">
        <v>46042.0</v>
      </c>
      <c r="F811" s="14" t="s">
        <v>17</v>
      </c>
      <c r="G811" s="15" t="s">
        <v>1413</v>
      </c>
      <c r="H811" s="16">
        <v>26755.0</v>
      </c>
      <c r="I811" s="219">
        <v>10000.0</v>
      </c>
      <c r="J811" s="25" t="s">
        <v>1</v>
      </c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ht="33.75" customHeight="1">
      <c r="A812" s="11" t="s">
        <v>795</v>
      </c>
      <c r="B812" s="22" t="s">
        <v>260</v>
      </c>
      <c r="C812" s="11" t="s">
        <v>1337</v>
      </c>
      <c r="D812" s="11"/>
      <c r="E812" s="76">
        <v>46042.0</v>
      </c>
      <c r="F812" s="14" t="s">
        <v>99</v>
      </c>
      <c r="G812" s="15" t="s">
        <v>1414</v>
      </c>
      <c r="H812" s="16">
        <v>622.0</v>
      </c>
      <c r="I812" s="219">
        <v>10000.0</v>
      </c>
      <c r="J812" s="25" t="s">
        <v>1</v>
      </c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ht="33.75" customHeight="1">
      <c r="A813" s="11" t="s">
        <v>1242</v>
      </c>
      <c r="B813" s="22" t="s">
        <v>260</v>
      </c>
      <c r="C813" s="11" t="s">
        <v>1415</v>
      </c>
      <c r="D813" s="11"/>
      <c r="E813" s="76">
        <v>46042.0</v>
      </c>
      <c r="F813" s="14" t="s">
        <v>17</v>
      </c>
      <c r="G813" s="15" t="s">
        <v>1416</v>
      </c>
      <c r="H813" s="16">
        <v>8580.0</v>
      </c>
      <c r="I813" s="219">
        <v>10000.0</v>
      </c>
      <c r="J813" s="25" t="s">
        <v>1</v>
      </c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ht="33.75" customHeight="1">
      <c r="A814" s="11" t="s">
        <v>715</v>
      </c>
      <c r="B814" s="22" t="s">
        <v>1417</v>
      </c>
      <c r="C814" s="11" t="s">
        <v>1418</v>
      </c>
      <c r="D814" s="11"/>
      <c r="E814" s="64">
        <v>46043.0</v>
      </c>
      <c r="F814" s="14" t="s">
        <v>1141</v>
      </c>
      <c r="G814" s="15" t="s">
        <v>1419</v>
      </c>
      <c r="H814" s="16">
        <v>17394.0</v>
      </c>
      <c r="I814" s="219">
        <v>10000.0</v>
      </c>
      <c r="J814" s="25" t="s">
        <v>1</v>
      </c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ht="33.75" customHeight="1">
      <c r="A815" s="11" t="s">
        <v>28</v>
      </c>
      <c r="B815" s="22" t="s">
        <v>37</v>
      </c>
      <c r="C815" s="11" t="s">
        <v>1411</v>
      </c>
      <c r="D815" s="11"/>
      <c r="E815" s="64">
        <v>46043.0</v>
      </c>
      <c r="F815" s="14" t="s">
        <v>17</v>
      </c>
      <c r="G815" s="15" t="s">
        <v>336</v>
      </c>
      <c r="H815" s="16">
        <v>9016.0</v>
      </c>
      <c r="I815" s="219">
        <v>10000.0</v>
      </c>
      <c r="J815" s="25" t="s">
        <v>1</v>
      </c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ht="33.75" customHeight="1">
      <c r="A816" s="11" t="s">
        <v>135</v>
      </c>
      <c r="B816" s="22" t="s">
        <v>1074</v>
      </c>
      <c r="C816" s="11" t="s">
        <v>1361</v>
      </c>
      <c r="D816" s="11"/>
      <c r="E816" s="64">
        <v>46043.0</v>
      </c>
      <c r="F816" s="14" t="s">
        <v>1133</v>
      </c>
      <c r="G816" s="15">
        <v>27000.0</v>
      </c>
      <c r="H816" s="16">
        <v>24714.0</v>
      </c>
      <c r="I816" s="219">
        <f>G816-H816</f>
        <v>2286</v>
      </c>
      <c r="J816" s="25" t="s">
        <v>1</v>
      </c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ht="33.75" customHeight="1">
      <c r="A817" s="11" t="s">
        <v>795</v>
      </c>
      <c r="B817" s="22" t="s">
        <v>584</v>
      </c>
      <c r="C817" s="11" t="s">
        <v>1337</v>
      </c>
      <c r="D817" s="11"/>
      <c r="E817" s="76">
        <v>46042.0</v>
      </c>
      <c r="F817" s="14" t="s">
        <v>99</v>
      </c>
      <c r="G817" s="178">
        <v>5443.0</v>
      </c>
      <c r="H817" s="16">
        <v>3532.0</v>
      </c>
      <c r="I817" s="219">
        <v>10000.0</v>
      </c>
      <c r="J817" s="25" t="s">
        <v>1</v>
      </c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ht="33.75" customHeight="1">
      <c r="A818" s="11" t="s">
        <v>1420</v>
      </c>
      <c r="B818" s="22" t="s">
        <v>1421</v>
      </c>
      <c r="C818" s="11" t="s">
        <v>1422</v>
      </c>
      <c r="D818" s="11"/>
      <c r="E818" s="64">
        <v>46043.0</v>
      </c>
      <c r="F818" s="14" t="s">
        <v>1191</v>
      </c>
      <c r="G818" s="178">
        <v>9326.0</v>
      </c>
      <c r="H818" s="16">
        <v>9035.0</v>
      </c>
      <c r="I818" s="219">
        <v>10000.0</v>
      </c>
      <c r="J818" s="25" t="s">
        <v>1</v>
      </c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ht="33.75" customHeight="1">
      <c r="A819" s="11" t="s">
        <v>1265</v>
      </c>
      <c r="B819" s="22" t="s">
        <v>237</v>
      </c>
      <c r="C819" s="11" t="s">
        <v>1423</v>
      </c>
      <c r="D819" s="11"/>
      <c r="E819" s="64">
        <v>46043.0</v>
      </c>
      <c r="F819" s="14" t="s">
        <v>17</v>
      </c>
      <c r="G819" s="15" t="s">
        <v>1424</v>
      </c>
      <c r="H819" s="16">
        <v>10680.0</v>
      </c>
      <c r="I819" s="17">
        <f t="shared" ref="I819:I859" si="24">G819-H819</f>
        <v>2979</v>
      </c>
      <c r="J819" s="25" t="s">
        <v>1</v>
      </c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ht="33.75" customHeight="1">
      <c r="A820" s="11" t="s">
        <v>420</v>
      </c>
      <c r="B820" s="22" t="s">
        <v>1425</v>
      </c>
      <c r="C820" s="11" t="s">
        <v>1400</v>
      </c>
      <c r="D820" s="11"/>
      <c r="E820" s="64">
        <v>46043.0</v>
      </c>
      <c r="F820" s="14" t="s">
        <v>99</v>
      </c>
      <c r="G820" s="178">
        <v>34184.0</v>
      </c>
      <c r="H820" s="16">
        <v>24920.0</v>
      </c>
      <c r="I820" s="17">
        <f t="shared" si="24"/>
        <v>9264</v>
      </c>
      <c r="J820" s="25" t="s">
        <v>1</v>
      </c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ht="33.75" customHeight="1">
      <c r="A821" s="11" t="s">
        <v>1334</v>
      </c>
      <c r="B821" s="22" t="s">
        <v>323</v>
      </c>
      <c r="C821" s="11" t="s">
        <v>1426</v>
      </c>
      <c r="D821" s="11"/>
      <c r="E821" s="64">
        <v>46043.0</v>
      </c>
      <c r="F821" s="14" t="s">
        <v>1141</v>
      </c>
      <c r="G821" s="178">
        <v>98914.0</v>
      </c>
      <c r="H821" s="16">
        <v>76518.0</v>
      </c>
      <c r="I821" s="17">
        <f t="shared" si="24"/>
        <v>22396</v>
      </c>
      <c r="J821" s="25" t="s">
        <v>1</v>
      </c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ht="33.75" customHeight="1">
      <c r="A822" s="11" t="s">
        <v>1427</v>
      </c>
      <c r="B822" s="22" t="s">
        <v>15</v>
      </c>
      <c r="C822" s="11" t="s">
        <v>1428</v>
      </c>
      <c r="D822" s="11"/>
      <c r="E822" s="64">
        <v>46043.0</v>
      </c>
      <c r="F822" s="14" t="s">
        <v>1133</v>
      </c>
      <c r="G822" s="178">
        <v>46000.0</v>
      </c>
      <c r="H822" s="16">
        <v>29997.0</v>
      </c>
      <c r="I822" s="17">
        <f t="shared" si="24"/>
        <v>16003</v>
      </c>
      <c r="J822" s="25" t="s">
        <v>1</v>
      </c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ht="33.75" customHeight="1">
      <c r="A823" s="11" t="s">
        <v>28</v>
      </c>
      <c r="B823" s="22" t="s">
        <v>1429</v>
      </c>
      <c r="C823" s="11" t="s">
        <v>1430</v>
      </c>
      <c r="D823" s="11"/>
      <c r="E823" s="64">
        <v>46044.0</v>
      </c>
      <c r="F823" s="14" t="s">
        <v>17</v>
      </c>
      <c r="G823" s="15" t="s">
        <v>336</v>
      </c>
      <c r="H823" s="16">
        <v>9655.0</v>
      </c>
      <c r="I823" s="17">
        <f t="shared" si="24"/>
        <v>1345</v>
      </c>
      <c r="J823" s="25" t="s">
        <v>1</v>
      </c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ht="33.75" customHeight="1">
      <c r="A824" s="11" t="s">
        <v>1271</v>
      </c>
      <c r="B824" s="22" t="s">
        <v>49</v>
      </c>
      <c r="C824" s="11" t="s">
        <v>1431</v>
      </c>
      <c r="D824" s="11"/>
      <c r="E824" s="64">
        <v>46044.0</v>
      </c>
      <c r="F824" s="14" t="s">
        <v>287</v>
      </c>
      <c r="G824" s="15" t="s">
        <v>21</v>
      </c>
      <c r="H824" s="16">
        <v>5156.0</v>
      </c>
      <c r="I824" s="17">
        <f t="shared" si="24"/>
        <v>4844</v>
      </c>
      <c r="J824" s="25" t="s">
        <v>1</v>
      </c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ht="33.75" customHeight="1">
      <c r="A825" s="11" t="s">
        <v>1432</v>
      </c>
      <c r="B825" s="22" t="s">
        <v>49</v>
      </c>
      <c r="C825" s="11" t="s">
        <v>1431</v>
      </c>
      <c r="D825" s="11"/>
      <c r="E825" s="64">
        <v>46044.0</v>
      </c>
      <c r="F825" s="14" t="s">
        <v>287</v>
      </c>
      <c r="G825" s="15" t="s">
        <v>21</v>
      </c>
      <c r="H825" s="16">
        <v>3706.0</v>
      </c>
      <c r="I825" s="17">
        <f t="shared" si="24"/>
        <v>6294</v>
      </c>
      <c r="J825" s="25" t="s">
        <v>1</v>
      </c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ht="33.75" customHeight="1">
      <c r="A826" s="11" t="s">
        <v>1433</v>
      </c>
      <c r="B826" s="22" t="s">
        <v>49</v>
      </c>
      <c r="C826" s="11" t="s">
        <v>1431</v>
      </c>
      <c r="D826" s="11"/>
      <c r="E826" s="64">
        <v>46044.0</v>
      </c>
      <c r="F826" s="14" t="s">
        <v>287</v>
      </c>
      <c r="G826" s="15" t="s">
        <v>21</v>
      </c>
      <c r="H826" s="16">
        <v>6929.0</v>
      </c>
      <c r="I826" s="17">
        <f t="shared" si="24"/>
        <v>3071</v>
      </c>
      <c r="J826" s="25" t="s">
        <v>1</v>
      </c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ht="33.75" customHeight="1">
      <c r="A827" s="11" t="s">
        <v>1434</v>
      </c>
      <c r="B827" s="22" t="s">
        <v>49</v>
      </c>
      <c r="C827" s="11" t="s">
        <v>1431</v>
      </c>
      <c r="D827" s="11"/>
      <c r="E827" s="64">
        <v>46044.0</v>
      </c>
      <c r="F827" s="14" t="s">
        <v>287</v>
      </c>
      <c r="G827" s="15" t="s">
        <v>21</v>
      </c>
      <c r="H827" s="16">
        <v>3804.0</v>
      </c>
      <c r="I827" s="17">
        <f t="shared" si="24"/>
        <v>6196</v>
      </c>
      <c r="J827" s="25" t="s">
        <v>1</v>
      </c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ht="33.75" customHeight="1">
      <c r="A828" s="11" t="s">
        <v>1272</v>
      </c>
      <c r="B828" s="22" t="s">
        <v>49</v>
      </c>
      <c r="C828" s="11" t="s">
        <v>1435</v>
      </c>
      <c r="D828" s="11"/>
      <c r="E828" s="64">
        <v>46044.0</v>
      </c>
      <c r="F828" s="14" t="s">
        <v>99</v>
      </c>
      <c r="G828" s="27"/>
      <c r="H828" s="16">
        <v>8053.0</v>
      </c>
      <c r="I828" s="17">
        <f t="shared" si="24"/>
        <v>-8053</v>
      </c>
      <c r="J828" s="25" t="s">
        <v>1</v>
      </c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ht="33.75" customHeight="1">
      <c r="A829" s="11" t="s">
        <v>1406</v>
      </c>
      <c r="B829" s="22" t="s">
        <v>49</v>
      </c>
      <c r="C829" s="11" t="s">
        <v>1435</v>
      </c>
      <c r="D829" s="11"/>
      <c r="E829" s="64">
        <v>46044.0</v>
      </c>
      <c r="F829" s="14" t="s">
        <v>99</v>
      </c>
      <c r="G829" s="27"/>
      <c r="H829" s="16">
        <v>8094.0</v>
      </c>
      <c r="I829" s="17">
        <f t="shared" si="24"/>
        <v>-8094</v>
      </c>
      <c r="J829" s="25" t="s">
        <v>1</v>
      </c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ht="33.75" customHeight="1">
      <c r="A830" s="11" t="s">
        <v>1177</v>
      </c>
      <c r="B830" s="22" t="s">
        <v>49</v>
      </c>
      <c r="C830" s="11" t="s">
        <v>1435</v>
      </c>
      <c r="D830" s="11"/>
      <c r="E830" s="64">
        <v>46044.0</v>
      </c>
      <c r="F830" s="14" t="s">
        <v>99</v>
      </c>
      <c r="G830" s="27"/>
      <c r="H830" s="16">
        <v>8792.0</v>
      </c>
      <c r="I830" s="17">
        <f t="shared" si="24"/>
        <v>-8792</v>
      </c>
      <c r="J830" s="25" t="s">
        <v>1</v>
      </c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ht="33.75" customHeight="1">
      <c r="A831" s="11" t="s">
        <v>109</v>
      </c>
      <c r="B831" s="22" t="s">
        <v>49</v>
      </c>
      <c r="C831" s="11" t="s">
        <v>1435</v>
      </c>
      <c r="D831" s="11"/>
      <c r="E831" s="64">
        <v>46044.0</v>
      </c>
      <c r="F831" s="14" t="s">
        <v>99</v>
      </c>
      <c r="G831" s="27"/>
      <c r="H831" s="16">
        <v>8251.0</v>
      </c>
      <c r="I831" s="17">
        <f t="shared" si="24"/>
        <v>-8251</v>
      </c>
      <c r="J831" s="25" t="s">
        <v>1</v>
      </c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ht="33.75" customHeight="1">
      <c r="A832" s="11" t="s">
        <v>1314</v>
      </c>
      <c r="B832" s="22" t="s">
        <v>85</v>
      </c>
      <c r="C832" s="11" t="s">
        <v>1436</v>
      </c>
      <c r="D832" s="11"/>
      <c r="E832" s="64">
        <v>46044.0</v>
      </c>
      <c r="F832" s="14" t="s">
        <v>1133</v>
      </c>
      <c r="G832" s="27" t="s">
        <v>1437</v>
      </c>
      <c r="H832" s="16">
        <v>1713.0</v>
      </c>
      <c r="I832" s="17">
        <f t="shared" si="24"/>
        <v>286</v>
      </c>
      <c r="J832" s="25" t="s">
        <v>1</v>
      </c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ht="33.75" customHeight="1">
      <c r="A833" s="11" t="s">
        <v>28</v>
      </c>
      <c r="B833" s="22" t="s">
        <v>37</v>
      </c>
      <c r="C833" s="11" t="s">
        <v>1430</v>
      </c>
      <c r="D833" s="11"/>
      <c r="E833" s="64">
        <v>46044.0</v>
      </c>
      <c r="F833" s="14" t="s">
        <v>17</v>
      </c>
      <c r="G833" s="15" t="s">
        <v>336</v>
      </c>
      <c r="H833" s="16">
        <v>9483.0</v>
      </c>
      <c r="I833" s="17">
        <f t="shared" si="24"/>
        <v>1517</v>
      </c>
      <c r="J833" s="25" t="s">
        <v>1</v>
      </c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ht="33.75" customHeight="1">
      <c r="A834" s="11" t="s">
        <v>1099</v>
      </c>
      <c r="B834" s="22" t="s">
        <v>161</v>
      </c>
      <c r="C834" s="11" t="s">
        <v>1438</v>
      </c>
      <c r="D834" s="11"/>
      <c r="E834" s="64">
        <v>46044.0</v>
      </c>
      <c r="F834" s="14" t="s">
        <v>287</v>
      </c>
      <c r="G834" s="178">
        <v>12462.0</v>
      </c>
      <c r="H834" s="16">
        <v>11810.0</v>
      </c>
      <c r="I834" s="17">
        <f t="shared" si="24"/>
        <v>652</v>
      </c>
      <c r="J834" s="25" t="s">
        <v>1</v>
      </c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ht="33.75" customHeight="1">
      <c r="A835" s="11" t="s">
        <v>77</v>
      </c>
      <c r="B835" s="22" t="s">
        <v>161</v>
      </c>
      <c r="C835" s="11" t="s">
        <v>1439</v>
      </c>
      <c r="D835" s="11"/>
      <c r="E835" s="64">
        <v>46044.0</v>
      </c>
      <c r="F835" s="14" t="s">
        <v>1133</v>
      </c>
      <c r="G835" s="178">
        <v>15000.0</v>
      </c>
      <c r="H835" s="16">
        <v>9664.0</v>
      </c>
      <c r="I835" s="17">
        <f t="shared" si="24"/>
        <v>5336</v>
      </c>
      <c r="J835" s="25" t="s">
        <v>1</v>
      </c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ht="33.75" customHeight="1">
      <c r="A836" s="11" t="s">
        <v>686</v>
      </c>
      <c r="B836" s="22" t="s">
        <v>140</v>
      </c>
      <c r="C836" s="11" t="s">
        <v>1440</v>
      </c>
      <c r="D836" s="11"/>
      <c r="E836" s="64">
        <v>46044.0</v>
      </c>
      <c r="F836" s="14" t="s">
        <v>17</v>
      </c>
      <c r="G836" s="178">
        <v>82938.0</v>
      </c>
      <c r="H836" s="28"/>
      <c r="I836" s="17">
        <f t="shared" si="24"/>
        <v>82938</v>
      </c>
      <c r="J836" s="25" t="s">
        <v>1</v>
      </c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ht="33.75" customHeight="1">
      <c r="A837" s="11" t="s">
        <v>40</v>
      </c>
      <c r="B837" s="22" t="s">
        <v>19</v>
      </c>
      <c r="C837" s="11" t="s">
        <v>1441</v>
      </c>
      <c r="D837" s="11"/>
      <c r="E837" s="64">
        <v>46044.0</v>
      </c>
      <c r="F837" s="14" t="s">
        <v>1141</v>
      </c>
      <c r="G837" s="178">
        <v>19258.0</v>
      </c>
      <c r="H837" s="28"/>
      <c r="I837" s="17">
        <f t="shared" si="24"/>
        <v>19258</v>
      </c>
      <c r="J837" s="25" t="s">
        <v>1</v>
      </c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ht="33.75" customHeight="1">
      <c r="A838" s="11" t="s">
        <v>1442</v>
      </c>
      <c r="B838" s="22" t="s">
        <v>19</v>
      </c>
      <c r="C838" s="11" t="s">
        <v>1443</v>
      </c>
      <c r="D838" s="11"/>
      <c r="E838" s="64">
        <v>46044.0</v>
      </c>
      <c r="F838" s="14" t="s">
        <v>287</v>
      </c>
      <c r="G838" s="178">
        <v>27934.0</v>
      </c>
      <c r="H838" s="16">
        <v>13408.0</v>
      </c>
      <c r="I838" s="17">
        <f t="shared" si="24"/>
        <v>14526</v>
      </c>
      <c r="J838" s="25" t="s">
        <v>1</v>
      </c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ht="33.75" customHeight="1">
      <c r="A839" s="11" t="s">
        <v>28</v>
      </c>
      <c r="B839" s="22" t="s">
        <v>81</v>
      </c>
      <c r="C839" s="22" t="s">
        <v>1444</v>
      </c>
      <c r="D839" s="22"/>
      <c r="E839" s="64">
        <v>46045.0</v>
      </c>
      <c r="F839" s="14" t="s">
        <v>17</v>
      </c>
      <c r="G839" s="178">
        <v>11000.0</v>
      </c>
      <c r="H839" s="16">
        <v>9199.0</v>
      </c>
      <c r="I839" s="17">
        <f t="shared" si="24"/>
        <v>1801</v>
      </c>
      <c r="J839" s="25" t="s">
        <v>1</v>
      </c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ht="33.75" customHeight="1">
      <c r="A840" s="11" t="s">
        <v>386</v>
      </c>
      <c r="B840" s="22" t="s">
        <v>49</v>
      </c>
      <c r="C840" s="22" t="s">
        <v>1445</v>
      </c>
      <c r="D840" s="22"/>
      <c r="E840" s="64">
        <v>46045.0</v>
      </c>
      <c r="F840" s="14" t="s">
        <v>287</v>
      </c>
      <c r="G840" s="178">
        <v>10000.0</v>
      </c>
      <c r="H840" s="16">
        <v>7327.0</v>
      </c>
      <c r="I840" s="17">
        <f t="shared" si="24"/>
        <v>2673</v>
      </c>
      <c r="J840" s="220" t="s">
        <v>1</v>
      </c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</row>
    <row r="841" ht="33.75" customHeight="1">
      <c r="A841" s="11" t="s">
        <v>1446</v>
      </c>
      <c r="B841" s="22" t="s">
        <v>49</v>
      </c>
      <c r="C841" s="22" t="s">
        <v>1445</v>
      </c>
      <c r="D841" s="22"/>
      <c r="E841" s="64">
        <v>46045.0</v>
      </c>
      <c r="F841" s="14" t="s">
        <v>287</v>
      </c>
      <c r="G841" s="178">
        <v>10000.0</v>
      </c>
      <c r="H841" s="16">
        <v>3339.0</v>
      </c>
      <c r="I841" s="17">
        <f t="shared" si="24"/>
        <v>6661</v>
      </c>
      <c r="J841" s="220" t="s">
        <v>1</v>
      </c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</row>
    <row r="842" ht="33.75" customHeight="1">
      <c r="A842" s="11" t="s">
        <v>1447</v>
      </c>
      <c r="B842" s="22" t="s">
        <v>49</v>
      </c>
      <c r="C842" s="22" t="s">
        <v>1445</v>
      </c>
      <c r="D842" s="22"/>
      <c r="E842" s="64">
        <v>46045.0</v>
      </c>
      <c r="F842" s="14" t="s">
        <v>287</v>
      </c>
      <c r="G842" s="178">
        <v>10000.0</v>
      </c>
      <c r="H842" s="16">
        <v>3587.0</v>
      </c>
      <c r="I842" s="17">
        <f t="shared" si="24"/>
        <v>6413</v>
      </c>
      <c r="J842" s="220" t="s">
        <v>1</v>
      </c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</row>
    <row r="843" ht="33.75" customHeight="1">
      <c r="A843" s="11" t="s">
        <v>1448</v>
      </c>
      <c r="B843" s="22" t="s">
        <v>49</v>
      </c>
      <c r="C843" s="22" t="s">
        <v>1445</v>
      </c>
      <c r="D843" s="22"/>
      <c r="E843" s="64">
        <v>46045.0</v>
      </c>
      <c r="F843" s="14" t="s">
        <v>287</v>
      </c>
      <c r="G843" s="178">
        <v>10000.0</v>
      </c>
      <c r="H843" s="16">
        <v>7579.0</v>
      </c>
      <c r="I843" s="17">
        <f t="shared" si="24"/>
        <v>2421</v>
      </c>
      <c r="J843" s="220" t="s">
        <v>1</v>
      </c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</row>
    <row r="844" ht="33.75" customHeight="1">
      <c r="A844" s="11" t="s">
        <v>1177</v>
      </c>
      <c r="B844" s="22" t="s">
        <v>49</v>
      </c>
      <c r="C844" s="22" t="s">
        <v>1445</v>
      </c>
      <c r="D844" s="22"/>
      <c r="E844" s="64">
        <v>46045.0</v>
      </c>
      <c r="F844" s="14" t="s">
        <v>287</v>
      </c>
      <c r="G844" s="178">
        <v>10000.0</v>
      </c>
      <c r="H844" s="16">
        <v>8798.0</v>
      </c>
      <c r="I844" s="17">
        <f t="shared" si="24"/>
        <v>1202</v>
      </c>
      <c r="J844" s="220" t="s">
        <v>1</v>
      </c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</row>
    <row r="845" ht="33.75" customHeight="1">
      <c r="A845" s="11" t="s">
        <v>1449</v>
      </c>
      <c r="B845" s="22" t="s">
        <v>49</v>
      </c>
      <c r="C845" s="22" t="s">
        <v>1445</v>
      </c>
      <c r="D845" s="22"/>
      <c r="E845" s="64">
        <v>46045.0</v>
      </c>
      <c r="F845" s="14" t="s">
        <v>287</v>
      </c>
      <c r="G845" s="178">
        <v>10000.0</v>
      </c>
      <c r="H845" s="16">
        <v>2488.0</v>
      </c>
      <c r="I845" s="17">
        <f t="shared" si="24"/>
        <v>7512</v>
      </c>
      <c r="J845" s="220" t="s">
        <v>1</v>
      </c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</row>
    <row r="846" ht="33.75" customHeight="1">
      <c r="A846" s="11" t="s">
        <v>77</v>
      </c>
      <c r="B846" s="22" t="s">
        <v>49</v>
      </c>
      <c r="C846" s="22" t="s">
        <v>1450</v>
      </c>
      <c r="D846" s="22"/>
      <c r="E846" s="64">
        <v>46045.0</v>
      </c>
      <c r="F846" s="14" t="s">
        <v>26</v>
      </c>
      <c r="G846" s="178">
        <v>12000.0</v>
      </c>
      <c r="H846" s="16">
        <v>8178.0</v>
      </c>
      <c r="I846" s="17">
        <f t="shared" si="24"/>
        <v>3822</v>
      </c>
      <c r="J846" s="25" t="s">
        <v>1</v>
      </c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ht="33.75" customHeight="1">
      <c r="A847" s="11" t="s">
        <v>1451</v>
      </c>
      <c r="B847" s="22" t="s">
        <v>44</v>
      </c>
      <c r="C847" s="11" t="s">
        <v>1452</v>
      </c>
      <c r="D847" s="11"/>
      <c r="E847" s="64">
        <v>46045.0</v>
      </c>
      <c r="F847" s="14" t="s">
        <v>287</v>
      </c>
      <c r="G847" s="178">
        <v>1166.0</v>
      </c>
      <c r="H847" s="16">
        <v>876.0</v>
      </c>
      <c r="I847" s="17">
        <f t="shared" si="24"/>
        <v>290</v>
      </c>
      <c r="J847" s="220" t="s">
        <v>1</v>
      </c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</row>
    <row r="848" ht="33.75" customHeight="1">
      <c r="A848" s="11" t="s">
        <v>135</v>
      </c>
      <c r="B848" s="22" t="s">
        <v>1453</v>
      </c>
      <c r="C848" s="11" t="s">
        <v>1454</v>
      </c>
      <c r="D848" s="11"/>
      <c r="E848" s="64">
        <v>46045.0</v>
      </c>
      <c r="F848" s="14" t="s">
        <v>17</v>
      </c>
      <c r="G848" s="15" t="s">
        <v>1362</v>
      </c>
      <c r="H848" s="16">
        <v>25921.0</v>
      </c>
      <c r="I848" s="17">
        <f t="shared" si="24"/>
        <v>1079</v>
      </c>
      <c r="J848" s="220" t="s">
        <v>1</v>
      </c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</row>
    <row r="849" ht="33.75" customHeight="1">
      <c r="A849" s="11" t="s">
        <v>1455</v>
      </c>
      <c r="B849" s="22" t="s">
        <v>237</v>
      </c>
      <c r="C849" s="11" t="s">
        <v>1456</v>
      </c>
      <c r="D849" s="11"/>
      <c r="E849" s="64">
        <v>46045.0</v>
      </c>
      <c r="F849" s="14" t="s">
        <v>1133</v>
      </c>
      <c r="G849" s="15" t="s">
        <v>1457</v>
      </c>
      <c r="H849" s="16">
        <v>6348.0</v>
      </c>
      <c r="I849" s="17">
        <f t="shared" si="24"/>
        <v>20058</v>
      </c>
      <c r="J849" s="220" t="s">
        <v>1</v>
      </c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</row>
    <row r="850" ht="33.75" customHeight="1">
      <c r="A850" s="11" t="s">
        <v>785</v>
      </c>
      <c r="B850" s="22" t="s">
        <v>34</v>
      </c>
      <c r="C850" s="11" t="s">
        <v>1458</v>
      </c>
      <c r="D850" s="11"/>
      <c r="E850" s="64">
        <v>46045.0</v>
      </c>
      <c r="F850" s="14" t="s">
        <v>17</v>
      </c>
      <c r="G850" s="178">
        <v>12000.0</v>
      </c>
      <c r="H850" s="28"/>
      <c r="I850" s="17">
        <f t="shared" si="24"/>
        <v>12000</v>
      </c>
      <c r="J850" s="220" t="s">
        <v>1</v>
      </c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</row>
    <row r="851" ht="33.75" customHeight="1">
      <c r="A851" s="11" t="s">
        <v>1459</v>
      </c>
      <c r="B851" s="22" t="s">
        <v>34</v>
      </c>
      <c r="C851" s="11" t="s">
        <v>1460</v>
      </c>
      <c r="D851" s="11"/>
      <c r="E851" s="64">
        <v>46045.0</v>
      </c>
      <c r="F851" s="14" t="s">
        <v>17</v>
      </c>
      <c r="G851" s="178">
        <v>44284.0</v>
      </c>
      <c r="H851" s="16">
        <v>24641.0</v>
      </c>
      <c r="I851" s="17">
        <f t="shared" si="24"/>
        <v>19643</v>
      </c>
      <c r="J851" s="220" t="s">
        <v>1</v>
      </c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</row>
    <row r="852" ht="33.75" customHeight="1">
      <c r="A852" s="11" t="s">
        <v>752</v>
      </c>
      <c r="B852" s="22" t="s">
        <v>34</v>
      </c>
      <c r="C852" s="11" t="s">
        <v>1461</v>
      </c>
      <c r="D852" s="11"/>
      <c r="E852" s="64">
        <v>46045.0</v>
      </c>
      <c r="F852" s="14" t="s">
        <v>17</v>
      </c>
      <c r="G852" s="15" t="s">
        <v>21</v>
      </c>
      <c r="H852" s="28"/>
      <c r="I852" s="17">
        <f t="shared" si="24"/>
        <v>10000</v>
      </c>
      <c r="J852" s="220" t="s">
        <v>1</v>
      </c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</row>
    <row r="853" ht="33.75" customHeight="1">
      <c r="A853" s="11" t="s">
        <v>1462</v>
      </c>
      <c r="B853" s="22" t="s">
        <v>34</v>
      </c>
      <c r="C853" s="11" t="s">
        <v>1463</v>
      </c>
      <c r="D853" s="11"/>
      <c r="E853" s="64">
        <v>46045.0</v>
      </c>
      <c r="F853" s="14" t="s">
        <v>1141</v>
      </c>
      <c r="G853" s="178">
        <v>34247.0</v>
      </c>
      <c r="H853" s="16">
        <v>27334.0</v>
      </c>
      <c r="I853" s="17">
        <f t="shared" si="24"/>
        <v>6913</v>
      </c>
      <c r="J853" s="25" t="s">
        <v>1</v>
      </c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ht="33.75" customHeight="1">
      <c r="A854" s="11" t="s">
        <v>534</v>
      </c>
      <c r="B854" s="22" t="s">
        <v>34</v>
      </c>
      <c r="C854" s="11" t="s">
        <v>1464</v>
      </c>
      <c r="D854" s="11"/>
      <c r="E854" s="64">
        <v>46045.0</v>
      </c>
      <c r="F854" s="14" t="s">
        <v>287</v>
      </c>
      <c r="G854" s="178">
        <v>16431.0</v>
      </c>
      <c r="H854" s="16">
        <v>14504.0</v>
      </c>
      <c r="I854" s="17">
        <f t="shared" si="24"/>
        <v>1927</v>
      </c>
      <c r="J854" s="25" t="s">
        <v>1</v>
      </c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ht="33.75" customHeight="1">
      <c r="A855" s="11" t="s">
        <v>1319</v>
      </c>
      <c r="B855" s="22" t="s">
        <v>34</v>
      </c>
      <c r="C855" s="11" t="s">
        <v>1465</v>
      </c>
      <c r="D855" s="11"/>
      <c r="E855" s="64">
        <v>46045.0</v>
      </c>
      <c r="F855" s="14" t="s">
        <v>26</v>
      </c>
      <c r="G855" s="178">
        <v>30552.0</v>
      </c>
      <c r="H855" s="16">
        <v>26077.0</v>
      </c>
      <c r="I855" s="17">
        <f t="shared" si="24"/>
        <v>4475</v>
      </c>
      <c r="J855" s="25" t="s">
        <v>1</v>
      </c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ht="33.75" customHeight="1">
      <c r="A856" s="11" t="s">
        <v>795</v>
      </c>
      <c r="B856" s="22" t="s">
        <v>1466</v>
      </c>
      <c r="C856" s="11" t="s">
        <v>1337</v>
      </c>
      <c r="D856" s="11"/>
      <c r="E856" s="64">
        <v>46045.0</v>
      </c>
      <c r="F856" s="14" t="s">
        <v>1141</v>
      </c>
      <c r="G856" s="178">
        <v>8789.0</v>
      </c>
      <c r="H856" s="16">
        <v>7869.0</v>
      </c>
      <c r="I856" s="17">
        <f t="shared" si="24"/>
        <v>920</v>
      </c>
      <c r="J856" s="220" t="s">
        <v>1</v>
      </c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</row>
    <row r="857" ht="33.75" customHeight="1">
      <c r="A857" s="11" t="s">
        <v>40</v>
      </c>
      <c r="B857" s="22" t="s">
        <v>15</v>
      </c>
      <c r="C857" s="11" t="s">
        <v>1467</v>
      </c>
      <c r="D857" s="11"/>
      <c r="E857" s="64">
        <v>46045.0</v>
      </c>
      <c r="F857" s="14" t="s">
        <v>1141</v>
      </c>
      <c r="G857" s="178">
        <v>19258.0</v>
      </c>
      <c r="H857" s="16">
        <v>18326.0</v>
      </c>
      <c r="I857" s="17">
        <f t="shared" si="24"/>
        <v>932</v>
      </c>
      <c r="J857" s="220" t="s">
        <v>1</v>
      </c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</row>
    <row r="858" ht="33.75" customHeight="1">
      <c r="A858" s="11" t="s">
        <v>539</v>
      </c>
      <c r="B858" s="22" t="s">
        <v>15</v>
      </c>
      <c r="C858" s="11" t="s">
        <v>1468</v>
      </c>
      <c r="D858" s="11"/>
      <c r="E858" s="64">
        <v>46045.0</v>
      </c>
      <c r="F858" s="14" t="s">
        <v>99</v>
      </c>
      <c r="G858" s="178">
        <v>12000.0</v>
      </c>
      <c r="H858" s="16">
        <v>11398.0</v>
      </c>
      <c r="I858" s="17">
        <f t="shared" si="24"/>
        <v>602</v>
      </c>
      <c r="J858" s="220" t="s">
        <v>1</v>
      </c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</row>
    <row r="859" ht="33.75" customHeight="1">
      <c r="A859" s="11" t="s">
        <v>1469</v>
      </c>
      <c r="B859" s="22" t="s">
        <v>15</v>
      </c>
      <c r="C859" s="11" t="s">
        <v>1470</v>
      </c>
      <c r="D859" s="11"/>
      <c r="E859" s="64">
        <v>46045.0</v>
      </c>
      <c r="F859" s="14" t="s">
        <v>17</v>
      </c>
      <c r="G859" s="15" t="s">
        <v>21</v>
      </c>
      <c r="H859" s="16">
        <v>9361.0</v>
      </c>
      <c r="I859" s="17">
        <f t="shared" si="24"/>
        <v>639</v>
      </c>
      <c r="J859" s="220" t="s">
        <v>1</v>
      </c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</row>
    <row r="860" ht="33.75" customHeight="1">
      <c r="A860" s="11" t="s">
        <v>40</v>
      </c>
      <c r="B860" s="22" t="s">
        <v>1011</v>
      </c>
      <c r="C860" s="11" t="s">
        <v>1467</v>
      </c>
      <c r="D860" s="11"/>
      <c r="E860" s="64">
        <v>46046.0</v>
      </c>
      <c r="F860" s="14" t="s">
        <v>1141</v>
      </c>
      <c r="G860" s="178">
        <v>34927.0</v>
      </c>
      <c r="H860" s="16">
        <v>30821.0</v>
      </c>
      <c r="I860" s="17"/>
      <c r="J860" s="220" t="s">
        <v>1</v>
      </c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</row>
    <row r="861" ht="33.75" customHeight="1">
      <c r="A861" s="11" t="s">
        <v>266</v>
      </c>
      <c r="B861" s="22" t="s">
        <v>49</v>
      </c>
      <c r="C861" s="11" t="s">
        <v>1471</v>
      </c>
      <c r="D861" s="11"/>
      <c r="E861" s="64">
        <v>46046.0</v>
      </c>
      <c r="F861" s="14" t="s">
        <v>17</v>
      </c>
      <c r="G861" s="178">
        <v>51231.0</v>
      </c>
      <c r="H861" s="16">
        <v>39381.0</v>
      </c>
      <c r="I861" s="17">
        <f t="shared" ref="I861:I880" si="25">G861-H861</f>
        <v>11850</v>
      </c>
      <c r="J861" s="220" t="s">
        <v>1</v>
      </c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</row>
    <row r="862" ht="33.75" customHeight="1">
      <c r="A862" s="11" t="s">
        <v>1472</v>
      </c>
      <c r="B862" s="22" t="s">
        <v>49</v>
      </c>
      <c r="C862" s="11" t="s">
        <v>1473</v>
      </c>
      <c r="D862" s="11"/>
      <c r="E862" s="64">
        <v>46046.0</v>
      </c>
      <c r="F862" s="14" t="s">
        <v>287</v>
      </c>
      <c r="G862" s="178">
        <v>30331.0</v>
      </c>
      <c r="H862" s="16">
        <v>19793.0</v>
      </c>
      <c r="I862" s="17">
        <f t="shared" si="25"/>
        <v>10538</v>
      </c>
      <c r="J862" s="220" t="s">
        <v>1</v>
      </c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</row>
    <row r="863" ht="33.75" customHeight="1">
      <c r="A863" s="11" t="s">
        <v>1474</v>
      </c>
      <c r="B863" s="22" t="s">
        <v>85</v>
      </c>
      <c r="C863" s="11" t="s">
        <v>1475</v>
      </c>
      <c r="D863" s="11"/>
      <c r="E863" s="64">
        <v>46046.0</v>
      </c>
      <c r="F863" s="14" t="s">
        <v>1141</v>
      </c>
      <c r="G863" s="178">
        <v>8224.0</v>
      </c>
      <c r="H863" s="16">
        <v>3181.0</v>
      </c>
      <c r="I863" s="17">
        <f t="shared" si="25"/>
        <v>5043</v>
      </c>
      <c r="J863" s="222" t="s">
        <v>700</v>
      </c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</row>
    <row r="864" ht="33.75" customHeight="1">
      <c r="A864" s="11" t="s">
        <v>1476</v>
      </c>
      <c r="B864" s="22" t="s">
        <v>85</v>
      </c>
      <c r="C864" s="11" t="s">
        <v>1477</v>
      </c>
      <c r="D864" s="11"/>
      <c r="E864" s="64">
        <v>46046.0</v>
      </c>
      <c r="F864" s="14" t="s">
        <v>1133</v>
      </c>
      <c r="G864" s="178">
        <v>16787.0</v>
      </c>
      <c r="H864" s="16">
        <v>5530.0</v>
      </c>
      <c r="I864" s="17">
        <f t="shared" si="25"/>
        <v>11257</v>
      </c>
      <c r="J864" s="222" t="s">
        <v>700</v>
      </c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</row>
    <row r="865" ht="33.75" customHeight="1">
      <c r="A865" s="11" t="s">
        <v>135</v>
      </c>
      <c r="B865" s="22" t="s">
        <v>85</v>
      </c>
      <c r="C865" s="11" t="s">
        <v>1454</v>
      </c>
      <c r="D865" s="11"/>
      <c r="E865" s="64">
        <v>46046.0</v>
      </c>
      <c r="F865" s="14" t="s">
        <v>17</v>
      </c>
      <c r="G865" s="15" t="s">
        <v>1478</v>
      </c>
      <c r="H865" s="16">
        <v>27780.0</v>
      </c>
      <c r="I865" s="17">
        <f t="shared" si="25"/>
        <v>2447</v>
      </c>
      <c r="J865" s="220" t="s">
        <v>1</v>
      </c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</row>
    <row r="866" ht="33.75" customHeight="1">
      <c r="A866" s="11" t="s">
        <v>1479</v>
      </c>
      <c r="B866" s="22" t="s">
        <v>88</v>
      </c>
      <c r="C866" s="11" t="s">
        <v>1480</v>
      </c>
      <c r="D866" s="11"/>
      <c r="E866" s="64">
        <v>46046.0</v>
      </c>
      <c r="F866" s="14" t="s">
        <v>17</v>
      </c>
      <c r="G866" s="15" t="s">
        <v>1481</v>
      </c>
      <c r="H866" s="16">
        <v>6504.0</v>
      </c>
      <c r="I866" s="17">
        <f t="shared" si="25"/>
        <v>5298</v>
      </c>
      <c r="J866" s="220" t="s">
        <v>1</v>
      </c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</row>
    <row r="867" ht="33.75" customHeight="1">
      <c r="A867" s="11" t="s">
        <v>1455</v>
      </c>
      <c r="B867" s="22" t="s">
        <v>31</v>
      </c>
      <c r="C867" s="11" t="s">
        <v>1482</v>
      </c>
      <c r="D867" s="11"/>
      <c r="E867" s="64">
        <v>46046.0</v>
      </c>
      <c r="F867" s="14" t="s">
        <v>26</v>
      </c>
      <c r="G867" s="178">
        <v>30240.0</v>
      </c>
      <c r="H867" s="16">
        <v>20102.0</v>
      </c>
      <c r="I867" s="17">
        <f t="shared" si="25"/>
        <v>10138</v>
      </c>
      <c r="J867" s="220" t="s">
        <v>1</v>
      </c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</row>
    <row r="868" ht="33.75" customHeight="1">
      <c r="A868" s="11" t="s">
        <v>882</v>
      </c>
      <c r="B868" s="22" t="s">
        <v>31</v>
      </c>
      <c r="C868" s="11" t="s">
        <v>1483</v>
      </c>
      <c r="D868" s="11"/>
      <c r="E868" s="64">
        <v>46046.0</v>
      </c>
      <c r="F868" s="14" t="s">
        <v>1141</v>
      </c>
      <c r="G868" s="178">
        <v>14884.0</v>
      </c>
      <c r="H868" s="16">
        <v>13258.0</v>
      </c>
      <c r="I868" s="17">
        <f t="shared" si="25"/>
        <v>1626</v>
      </c>
      <c r="J868" s="222" t="s">
        <v>700</v>
      </c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</row>
    <row r="869" ht="33.75" customHeight="1">
      <c r="A869" s="11" t="s">
        <v>577</v>
      </c>
      <c r="B869" s="22" t="s">
        <v>1484</v>
      </c>
      <c r="C869" s="11" t="s">
        <v>1485</v>
      </c>
      <c r="D869" s="11"/>
      <c r="E869" s="64">
        <v>46046.0</v>
      </c>
      <c r="F869" s="14" t="s">
        <v>1141</v>
      </c>
      <c r="G869" s="178">
        <v>11441.0</v>
      </c>
      <c r="H869" s="16">
        <v>9720.0</v>
      </c>
      <c r="I869" s="17">
        <f t="shared" si="25"/>
        <v>1721</v>
      </c>
      <c r="J869" s="222" t="s">
        <v>700</v>
      </c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</row>
    <row r="870" ht="33.75" customHeight="1">
      <c r="A870" s="11" t="s">
        <v>534</v>
      </c>
      <c r="B870" s="22" t="s">
        <v>1143</v>
      </c>
      <c r="C870" s="11" t="s">
        <v>1464</v>
      </c>
      <c r="D870" s="11"/>
      <c r="E870" s="64">
        <v>46046.0</v>
      </c>
      <c r="F870" s="14" t="s">
        <v>287</v>
      </c>
      <c r="G870" s="178">
        <v>14801.0</v>
      </c>
      <c r="H870" s="16">
        <v>12743.0</v>
      </c>
      <c r="I870" s="17">
        <f t="shared" si="25"/>
        <v>2058</v>
      </c>
      <c r="J870" s="25" t="s">
        <v>1</v>
      </c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ht="33.75" customHeight="1">
      <c r="A871" s="11" t="s">
        <v>789</v>
      </c>
      <c r="B871" s="22" t="s">
        <v>1486</v>
      </c>
      <c r="C871" s="11" t="s">
        <v>1487</v>
      </c>
      <c r="D871" s="11"/>
      <c r="E871" s="64">
        <v>46046.0</v>
      </c>
      <c r="F871" s="14" t="s">
        <v>17</v>
      </c>
      <c r="G871" s="15" t="s">
        <v>1488</v>
      </c>
      <c r="H871" s="16">
        <v>10603.0</v>
      </c>
      <c r="I871" s="17">
        <f t="shared" si="25"/>
        <v>1632</v>
      </c>
      <c r="J871" s="25" t="s">
        <v>1</v>
      </c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ht="33.75" customHeight="1">
      <c r="A872" s="11" t="s">
        <v>1242</v>
      </c>
      <c r="B872" s="22" t="s">
        <v>1486</v>
      </c>
      <c r="C872" s="11" t="s">
        <v>1489</v>
      </c>
      <c r="D872" s="11"/>
      <c r="E872" s="64">
        <v>46046.0</v>
      </c>
      <c r="F872" s="14" t="s">
        <v>17</v>
      </c>
      <c r="G872" s="15" t="s">
        <v>1490</v>
      </c>
      <c r="H872" s="16">
        <v>7762.0</v>
      </c>
      <c r="I872" s="17">
        <f t="shared" si="25"/>
        <v>5570</v>
      </c>
      <c r="J872" s="25" t="s">
        <v>1</v>
      </c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ht="33.75" customHeight="1">
      <c r="A873" s="11" t="s">
        <v>785</v>
      </c>
      <c r="B873" s="22" t="s">
        <v>161</v>
      </c>
      <c r="C873" s="11" t="s">
        <v>1458</v>
      </c>
      <c r="D873" s="11"/>
      <c r="E873" s="64">
        <v>46046.0</v>
      </c>
      <c r="F873" s="14" t="s">
        <v>17</v>
      </c>
      <c r="G873" s="15" t="s">
        <v>1491</v>
      </c>
      <c r="H873" s="16">
        <v>42565.0</v>
      </c>
      <c r="I873" s="17">
        <f t="shared" si="25"/>
        <v>3535</v>
      </c>
      <c r="J873" s="25" t="s">
        <v>1</v>
      </c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ht="33.75" customHeight="1">
      <c r="A874" s="11" t="s">
        <v>1099</v>
      </c>
      <c r="B874" s="22" t="s">
        <v>1492</v>
      </c>
      <c r="C874" s="11" t="s">
        <v>1493</v>
      </c>
      <c r="D874" s="11"/>
      <c r="E874" s="64">
        <v>46046.0</v>
      </c>
      <c r="F874" s="14" t="s">
        <v>287</v>
      </c>
      <c r="G874" s="178">
        <v>12856.0</v>
      </c>
      <c r="H874" s="16">
        <v>12013.0</v>
      </c>
      <c r="I874" s="17">
        <f t="shared" si="25"/>
        <v>843</v>
      </c>
      <c r="J874" s="220" t="s">
        <v>1</v>
      </c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</row>
    <row r="875" ht="33.75" customHeight="1">
      <c r="A875" s="11" t="s">
        <v>1462</v>
      </c>
      <c r="B875" s="22" t="s">
        <v>1494</v>
      </c>
      <c r="C875" s="11" t="s">
        <v>1495</v>
      </c>
      <c r="D875" s="11"/>
      <c r="E875" s="64">
        <v>46046.0</v>
      </c>
      <c r="F875" s="14" t="s">
        <v>1141</v>
      </c>
      <c r="G875" s="178">
        <v>33982.0</v>
      </c>
      <c r="H875" s="16">
        <v>28334.0</v>
      </c>
      <c r="I875" s="17">
        <f t="shared" si="25"/>
        <v>5648</v>
      </c>
      <c r="J875" s="220" t="s">
        <v>1</v>
      </c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</row>
    <row r="876" ht="33.75" customHeight="1">
      <c r="A876" s="11" t="s">
        <v>1496</v>
      </c>
      <c r="B876" s="22" t="s">
        <v>1497</v>
      </c>
      <c r="C876" s="11" t="s">
        <v>1498</v>
      </c>
      <c r="D876" s="11"/>
      <c r="E876" s="64">
        <v>46046.0</v>
      </c>
      <c r="F876" s="14" t="s">
        <v>26</v>
      </c>
      <c r="G876" s="178">
        <v>33150.0</v>
      </c>
      <c r="H876" s="16">
        <v>30433.0</v>
      </c>
      <c r="I876" s="17">
        <f t="shared" si="25"/>
        <v>2717</v>
      </c>
      <c r="J876" s="220" t="s">
        <v>1</v>
      </c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</row>
    <row r="877" ht="33.75" customHeight="1">
      <c r="A877" s="11" t="s">
        <v>40</v>
      </c>
      <c r="B877" s="22" t="s">
        <v>1499</v>
      </c>
      <c r="C877" s="11" t="s">
        <v>1500</v>
      </c>
      <c r="D877" s="11"/>
      <c r="E877" s="64">
        <v>46046.0</v>
      </c>
      <c r="F877" s="14" t="s">
        <v>17</v>
      </c>
      <c r="G877" s="178">
        <v>34927.0</v>
      </c>
      <c r="H877" s="16">
        <v>27279.0</v>
      </c>
      <c r="I877" s="17">
        <f t="shared" si="25"/>
        <v>7648</v>
      </c>
      <c r="J877" s="220" t="s">
        <v>1</v>
      </c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</row>
    <row r="878" ht="33.75" customHeight="1">
      <c r="A878" s="11" t="s">
        <v>856</v>
      </c>
      <c r="B878" s="22" t="s">
        <v>237</v>
      </c>
      <c r="C878" s="11" t="s">
        <v>1501</v>
      </c>
      <c r="D878" s="11"/>
      <c r="E878" s="64">
        <v>46046.0</v>
      </c>
      <c r="F878" s="14" t="s">
        <v>1141</v>
      </c>
      <c r="G878" s="178">
        <v>11666.0</v>
      </c>
      <c r="H878" s="16">
        <v>10137.0</v>
      </c>
      <c r="I878" s="17">
        <f t="shared" si="25"/>
        <v>1529</v>
      </c>
      <c r="J878" s="220" t="s">
        <v>1</v>
      </c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</row>
    <row r="879" ht="33.75" customHeight="1">
      <c r="A879" s="11" t="s">
        <v>1442</v>
      </c>
      <c r="B879" s="22" t="s">
        <v>1502</v>
      </c>
      <c r="C879" s="11" t="s">
        <v>1503</v>
      </c>
      <c r="D879" s="11"/>
      <c r="E879" s="64">
        <v>46046.0</v>
      </c>
      <c r="F879" s="14" t="s">
        <v>1141</v>
      </c>
      <c r="G879" s="178"/>
      <c r="H879" s="16">
        <v>5968.0</v>
      </c>
      <c r="I879" s="17">
        <f t="shared" si="25"/>
        <v>-5968</v>
      </c>
      <c r="J879" s="91" t="s">
        <v>1504</v>
      </c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33.75" customHeight="1">
      <c r="A880" s="11" t="s">
        <v>1351</v>
      </c>
      <c r="B880" s="22" t="s">
        <v>98</v>
      </c>
      <c r="C880" s="11" t="s">
        <v>1505</v>
      </c>
      <c r="D880" s="11"/>
      <c r="E880" s="64">
        <v>46046.0</v>
      </c>
      <c r="F880" s="14" t="s">
        <v>287</v>
      </c>
      <c r="G880" s="178">
        <v>10944.0</v>
      </c>
      <c r="H880" s="16">
        <v>9819.0</v>
      </c>
      <c r="I880" s="17">
        <f t="shared" si="25"/>
        <v>1125</v>
      </c>
      <c r="J880" s="25" t="s">
        <v>1</v>
      </c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ht="33.75" customHeight="1">
      <c r="A881" s="11" t="s">
        <v>884</v>
      </c>
      <c r="B881" s="22" t="s">
        <v>248</v>
      </c>
      <c r="C881" s="11" t="s">
        <v>1506</v>
      </c>
      <c r="D881" s="11"/>
      <c r="E881" s="64">
        <v>46046.0</v>
      </c>
      <c r="F881" s="14" t="s">
        <v>17</v>
      </c>
      <c r="G881" s="178">
        <v>46862.0</v>
      </c>
      <c r="H881" s="16">
        <v>40952.0</v>
      </c>
      <c r="I881" s="17"/>
      <c r="J881" s="220" t="s">
        <v>1</v>
      </c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</row>
    <row r="882" ht="33.75" customHeight="1">
      <c r="A882" s="11" t="s">
        <v>135</v>
      </c>
      <c r="B882" s="22" t="s">
        <v>31</v>
      </c>
      <c r="C882" s="11" t="s">
        <v>1454</v>
      </c>
      <c r="D882" s="11"/>
      <c r="E882" s="64">
        <v>46047.0</v>
      </c>
      <c r="F882" s="14" t="s">
        <v>287</v>
      </c>
      <c r="G882" s="15" t="s">
        <v>1478</v>
      </c>
      <c r="H882" s="16">
        <v>27951.0</v>
      </c>
      <c r="I882" s="17">
        <f t="shared" ref="I882:I897" si="26">G882-H882</f>
        <v>2276</v>
      </c>
      <c r="J882" s="25" t="s">
        <v>1</v>
      </c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ht="33.75" customHeight="1">
      <c r="A883" s="11" t="s">
        <v>216</v>
      </c>
      <c r="B883" s="22" t="s">
        <v>125</v>
      </c>
      <c r="C883" s="11" t="s">
        <v>1507</v>
      </c>
      <c r="D883" s="11"/>
      <c r="E883" s="64">
        <v>46047.0</v>
      </c>
      <c r="F883" s="14" t="s">
        <v>17</v>
      </c>
      <c r="G883" s="15" t="s">
        <v>1042</v>
      </c>
      <c r="H883" s="16">
        <v>39296.0</v>
      </c>
      <c r="I883" s="17">
        <f t="shared" si="26"/>
        <v>2269</v>
      </c>
      <c r="J883" s="25" t="s">
        <v>1</v>
      </c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ht="33.75" customHeight="1">
      <c r="A884" s="11" t="s">
        <v>1508</v>
      </c>
      <c r="B884" s="22" t="s">
        <v>49</v>
      </c>
      <c r="C884" s="11" t="s">
        <v>1509</v>
      </c>
      <c r="D884" s="11"/>
      <c r="E884" s="64">
        <v>46048.0</v>
      </c>
      <c r="F884" s="14" t="s">
        <v>287</v>
      </c>
      <c r="G884" s="178">
        <v>10000.0</v>
      </c>
      <c r="H884" s="16">
        <v>5596.0</v>
      </c>
      <c r="I884" s="17">
        <f t="shared" si="26"/>
        <v>4404</v>
      </c>
      <c r="J884" s="25" t="s">
        <v>1</v>
      </c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ht="33.75" customHeight="1">
      <c r="A885" s="11" t="s">
        <v>1510</v>
      </c>
      <c r="B885" s="22" t="s">
        <v>49</v>
      </c>
      <c r="C885" s="11" t="s">
        <v>1509</v>
      </c>
      <c r="D885" s="11"/>
      <c r="E885" s="64">
        <v>46048.0</v>
      </c>
      <c r="F885" s="14" t="s">
        <v>287</v>
      </c>
      <c r="G885" s="178">
        <v>10000.0</v>
      </c>
      <c r="H885" s="16">
        <v>283.0</v>
      </c>
      <c r="I885" s="17">
        <f t="shared" si="26"/>
        <v>9717</v>
      </c>
      <c r="J885" s="25" t="s">
        <v>1</v>
      </c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ht="33.75" customHeight="1">
      <c r="A886" s="11" t="s">
        <v>386</v>
      </c>
      <c r="B886" s="22" t="s">
        <v>49</v>
      </c>
      <c r="C886" s="11" t="s">
        <v>1509</v>
      </c>
      <c r="D886" s="11"/>
      <c r="E886" s="64">
        <v>46048.0</v>
      </c>
      <c r="F886" s="14" t="s">
        <v>287</v>
      </c>
      <c r="G886" s="178">
        <v>10000.0</v>
      </c>
      <c r="H886" s="16">
        <v>6364.0</v>
      </c>
      <c r="I886" s="17">
        <f t="shared" si="26"/>
        <v>3636</v>
      </c>
      <c r="J886" s="25" t="s">
        <v>1</v>
      </c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ht="33.75" customHeight="1">
      <c r="A887" s="11" t="s">
        <v>1511</v>
      </c>
      <c r="B887" s="22" t="s">
        <v>49</v>
      </c>
      <c r="C887" s="11" t="s">
        <v>1509</v>
      </c>
      <c r="D887" s="11"/>
      <c r="E887" s="64">
        <v>46048.0</v>
      </c>
      <c r="F887" s="14" t="s">
        <v>287</v>
      </c>
      <c r="G887" s="178">
        <v>10000.0</v>
      </c>
      <c r="H887" s="16">
        <v>3209.0</v>
      </c>
      <c r="I887" s="17">
        <f t="shared" si="26"/>
        <v>6791</v>
      </c>
      <c r="J887" s="25" t="s">
        <v>1</v>
      </c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ht="33.75" customHeight="1">
      <c r="A888" s="11" t="s">
        <v>1271</v>
      </c>
      <c r="B888" s="22" t="s">
        <v>49</v>
      </c>
      <c r="C888" s="11" t="s">
        <v>1512</v>
      </c>
      <c r="D888" s="11"/>
      <c r="E888" s="64">
        <v>46048.0</v>
      </c>
      <c r="F888" s="14" t="s">
        <v>287</v>
      </c>
      <c r="G888" s="178">
        <v>10000.0</v>
      </c>
      <c r="H888" s="16">
        <v>4872.0</v>
      </c>
      <c r="I888" s="17">
        <f t="shared" si="26"/>
        <v>5128</v>
      </c>
      <c r="J888" s="25" t="s">
        <v>1</v>
      </c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ht="33.75" customHeight="1">
      <c r="A889" s="11" t="s">
        <v>1173</v>
      </c>
      <c r="B889" s="22" t="s">
        <v>49</v>
      </c>
      <c r="C889" s="11" t="s">
        <v>1512</v>
      </c>
      <c r="D889" s="11"/>
      <c r="E889" s="64">
        <v>46048.0</v>
      </c>
      <c r="F889" s="14" t="s">
        <v>287</v>
      </c>
      <c r="G889" s="178">
        <v>10000.0</v>
      </c>
      <c r="H889" s="16">
        <v>7938.0</v>
      </c>
      <c r="I889" s="17">
        <f t="shared" si="26"/>
        <v>2062</v>
      </c>
      <c r="J889" s="25" t="s">
        <v>1</v>
      </c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ht="33.75" customHeight="1">
      <c r="A890" s="11" t="s">
        <v>1513</v>
      </c>
      <c r="B890" s="22" t="s">
        <v>49</v>
      </c>
      <c r="C890" s="11" t="s">
        <v>1512</v>
      </c>
      <c r="D890" s="11"/>
      <c r="E890" s="64">
        <v>46048.0</v>
      </c>
      <c r="F890" s="14" t="s">
        <v>287</v>
      </c>
      <c r="G890" s="178">
        <v>10000.0</v>
      </c>
      <c r="H890" s="16">
        <v>7807.0</v>
      </c>
      <c r="I890" s="17">
        <f t="shared" si="26"/>
        <v>2193</v>
      </c>
      <c r="J890" s="25" t="s">
        <v>1</v>
      </c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ht="33.75" customHeight="1">
      <c r="A891" s="11" t="s">
        <v>28</v>
      </c>
      <c r="B891" s="22" t="s">
        <v>81</v>
      </c>
      <c r="C891" s="11" t="s">
        <v>1514</v>
      </c>
      <c r="D891" s="11"/>
      <c r="E891" s="76">
        <v>46048.0</v>
      </c>
      <c r="F891" s="14" t="s">
        <v>17</v>
      </c>
      <c r="G891" s="178">
        <v>11000.0</v>
      </c>
      <c r="H891" s="16">
        <v>9283.0</v>
      </c>
      <c r="I891" s="17">
        <f t="shared" si="26"/>
        <v>1717</v>
      </c>
      <c r="J891" s="25" t="s">
        <v>1</v>
      </c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ht="33.75" customHeight="1">
      <c r="A892" s="11" t="s">
        <v>28</v>
      </c>
      <c r="B892" s="22" t="s">
        <v>37</v>
      </c>
      <c r="C892" s="11" t="s">
        <v>1515</v>
      </c>
      <c r="D892" s="11"/>
      <c r="E892" s="64">
        <v>46048.0</v>
      </c>
      <c r="F892" s="14" t="s">
        <v>17</v>
      </c>
      <c r="G892" s="178">
        <v>10000.0</v>
      </c>
      <c r="H892" s="28"/>
      <c r="I892" s="17">
        <f t="shared" si="26"/>
        <v>10000</v>
      </c>
      <c r="J892" s="25" t="s">
        <v>1</v>
      </c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ht="33.75" customHeight="1">
      <c r="A893" s="11" t="s">
        <v>1516</v>
      </c>
      <c r="B893" s="22"/>
      <c r="C893" s="11" t="s">
        <v>1517</v>
      </c>
      <c r="D893" s="11"/>
      <c r="E893" s="64">
        <v>46048.0</v>
      </c>
      <c r="F893" s="14" t="s">
        <v>1141</v>
      </c>
      <c r="G893" s="178">
        <v>5000.0</v>
      </c>
      <c r="H893" s="16">
        <v>5946.0</v>
      </c>
      <c r="I893" s="17">
        <f t="shared" si="26"/>
        <v>-946</v>
      </c>
      <c r="J893" s="25" t="s">
        <v>1</v>
      </c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ht="33.75" customHeight="1">
      <c r="A894" s="224" t="s">
        <v>77</v>
      </c>
      <c r="B894" s="225" t="s">
        <v>237</v>
      </c>
      <c r="C894" s="224" t="s">
        <v>1518</v>
      </c>
      <c r="D894" s="224"/>
      <c r="E894" s="226">
        <v>46048.0</v>
      </c>
      <c r="F894" s="227" t="s">
        <v>1191</v>
      </c>
      <c r="G894" s="228">
        <v>9326.0</v>
      </c>
      <c r="H894" s="229"/>
      <c r="I894" s="230">
        <f t="shared" si="26"/>
        <v>9326</v>
      </c>
      <c r="J894" s="231" t="s">
        <v>1051</v>
      </c>
      <c r="K894" s="232"/>
      <c r="L894" s="232"/>
      <c r="M894" s="232"/>
      <c r="N894" s="232"/>
      <c r="O894" s="232"/>
      <c r="P894" s="232"/>
      <c r="Q894" s="232"/>
      <c r="R894" s="232"/>
      <c r="S894" s="232"/>
      <c r="T894" s="232"/>
      <c r="U894" s="232"/>
      <c r="V894" s="232"/>
      <c r="W894" s="232"/>
      <c r="X894" s="232"/>
      <c r="Y894" s="232"/>
      <c r="Z894" s="232"/>
    </row>
    <row r="895" ht="33.75" customHeight="1">
      <c r="A895" s="11" t="s">
        <v>407</v>
      </c>
      <c r="B895" s="22" t="s">
        <v>34</v>
      </c>
      <c r="C895" s="11" t="s">
        <v>1519</v>
      </c>
      <c r="D895" s="11"/>
      <c r="E895" s="64">
        <v>46048.0</v>
      </c>
      <c r="F895" s="14" t="s">
        <v>287</v>
      </c>
      <c r="G895" s="178">
        <v>4762.0</v>
      </c>
      <c r="H895" s="16">
        <v>4682.0</v>
      </c>
      <c r="I895" s="17">
        <f t="shared" si="26"/>
        <v>80</v>
      </c>
      <c r="J895" s="25" t="s">
        <v>1</v>
      </c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ht="33.75" customHeight="1">
      <c r="A896" s="11" t="s">
        <v>40</v>
      </c>
      <c r="B896" s="22" t="s">
        <v>15</v>
      </c>
      <c r="C896" s="11"/>
      <c r="D896" s="11"/>
      <c r="E896" s="76">
        <v>46048.0</v>
      </c>
      <c r="F896" s="14" t="s">
        <v>1141</v>
      </c>
      <c r="G896" s="178">
        <v>36860.0</v>
      </c>
      <c r="H896" s="179">
        <v>34702.0</v>
      </c>
      <c r="I896" s="17">
        <f t="shared" si="26"/>
        <v>2158</v>
      </c>
      <c r="J896" s="222" t="s">
        <v>700</v>
      </c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</row>
    <row r="897" ht="33.75" customHeight="1">
      <c r="A897" s="11" t="s">
        <v>1373</v>
      </c>
      <c r="B897" s="22" t="s">
        <v>1011</v>
      </c>
      <c r="C897" s="11" t="s">
        <v>1520</v>
      </c>
      <c r="D897" s="11"/>
      <c r="E897" s="76">
        <v>46049.0</v>
      </c>
      <c r="F897" s="14" t="s">
        <v>287</v>
      </c>
      <c r="G897" s="178">
        <v>2449.0</v>
      </c>
      <c r="H897" s="16">
        <v>1172.0</v>
      </c>
      <c r="I897" s="17">
        <f t="shared" si="26"/>
        <v>1277</v>
      </c>
      <c r="J897" s="25" t="s">
        <v>1</v>
      </c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ht="33.75" customHeight="1">
      <c r="A898" s="181" t="s">
        <v>77</v>
      </c>
      <c r="B898" s="22" t="s">
        <v>49</v>
      </c>
      <c r="C898" s="181" t="s">
        <v>1518</v>
      </c>
      <c r="D898" s="181"/>
      <c r="E898" s="76">
        <v>46049.0</v>
      </c>
      <c r="F898" s="183" t="s">
        <v>1191</v>
      </c>
      <c r="G898" s="233">
        <v>9326.0</v>
      </c>
      <c r="H898" s="179">
        <v>8901.0</v>
      </c>
      <c r="I898" s="17">
        <v>9326.0</v>
      </c>
      <c r="J898" s="25" t="s">
        <v>1</v>
      </c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ht="33.75" customHeight="1">
      <c r="A899" s="11" t="s">
        <v>1451</v>
      </c>
      <c r="B899" s="22" t="s">
        <v>49</v>
      </c>
      <c r="C899" s="11" t="s">
        <v>1521</v>
      </c>
      <c r="D899" s="11"/>
      <c r="E899" s="76">
        <v>46049.0</v>
      </c>
      <c r="F899" s="14" t="s">
        <v>1141</v>
      </c>
      <c r="G899" s="178">
        <v>1096.0</v>
      </c>
      <c r="H899" s="179">
        <v>686.0</v>
      </c>
      <c r="I899" s="17">
        <f t="shared" ref="I899:I950" si="27">G899-H899</f>
        <v>410</v>
      </c>
      <c r="J899" s="222" t="s">
        <v>700</v>
      </c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</row>
    <row r="900" ht="33.75" customHeight="1">
      <c r="A900" s="11" t="s">
        <v>28</v>
      </c>
      <c r="B900" s="22" t="s">
        <v>81</v>
      </c>
      <c r="C900" s="11" t="s">
        <v>1522</v>
      </c>
      <c r="D900" s="11"/>
      <c r="E900" s="76">
        <v>46049.0</v>
      </c>
      <c r="F900" s="14" t="s">
        <v>17</v>
      </c>
      <c r="G900" s="178">
        <v>10999.0</v>
      </c>
      <c r="H900" s="16">
        <v>9370.0</v>
      </c>
      <c r="I900" s="17">
        <f t="shared" si="27"/>
        <v>1629</v>
      </c>
      <c r="J900" s="25" t="s">
        <v>1</v>
      </c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ht="33.75" customHeight="1">
      <c r="A901" s="11" t="s">
        <v>366</v>
      </c>
      <c r="B901" s="22" t="s">
        <v>44</v>
      </c>
      <c r="C901" s="11" t="s">
        <v>1523</v>
      </c>
      <c r="D901" s="11"/>
      <c r="E901" s="76">
        <v>46049.0</v>
      </c>
      <c r="F901" s="14" t="s">
        <v>287</v>
      </c>
      <c r="G901" s="178">
        <v>10000.0</v>
      </c>
      <c r="H901" s="16">
        <v>8076.0</v>
      </c>
      <c r="I901" s="17">
        <f t="shared" si="27"/>
        <v>1924</v>
      </c>
      <c r="J901" s="25" t="s">
        <v>1</v>
      </c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ht="33.75" customHeight="1">
      <c r="A902" s="11" t="s">
        <v>1524</v>
      </c>
      <c r="B902" s="22" t="s">
        <v>44</v>
      </c>
      <c r="C902" s="11" t="s">
        <v>1523</v>
      </c>
      <c r="D902" s="11"/>
      <c r="E902" s="76">
        <v>46049.0</v>
      </c>
      <c r="F902" s="14" t="s">
        <v>287</v>
      </c>
      <c r="G902" s="178">
        <v>5000.0</v>
      </c>
      <c r="H902" s="16">
        <v>3728.0</v>
      </c>
      <c r="I902" s="17">
        <f t="shared" si="27"/>
        <v>1272</v>
      </c>
      <c r="J902" s="25" t="s">
        <v>1525</v>
      </c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ht="33.75" customHeight="1">
      <c r="A903" s="11" t="s">
        <v>1526</v>
      </c>
      <c r="B903" s="22" t="s">
        <v>44</v>
      </c>
      <c r="C903" s="11" t="s">
        <v>1523</v>
      </c>
      <c r="D903" s="11"/>
      <c r="E903" s="76">
        <v>46049.0</v>
      </c>
      <c r="F903" s="14" t="s">
        <v>287</v>
      </c>
      <c r="G903" s="178">
        <v>7990.0</v>
      </c>
      <c r="H903" s="16">
        <v>6930.0</v>
      </c>
      <c r="I903" s="17">
        <f t="shared" si="27"/>
        <v>1060</v>
      </c>
      <c r="J903" s="25" t="s">
        <v>1525</v>
      </c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ht="33.75" customHeight="1">
      <c r="A904" s="11" t="s">
        <v>516</v>
      </c>
      <c r="B904" s="22" t="s">
        <v>44</v>
      </c>
      <c r="C904" s="11" t="s">
        <v>1523</v>
      </c>
      <c r="D904" s="11"/>
      <c r="E904" s="76">
        <v>46049.0</v>
      </c>
      <c r="F904" s="14" t="s">
        <v>287</v>
      </c>
      <c r="G904" s="178">
        <v>10000.0</v>
      </c>
      <c r="H904" s="16">
        <v>6859.0</v>
      </c>
      <c r="I904" s="17">
        <f t="shared" si="27"/>
        <v>3141</v>
      </c>
      <c r="J904" s="25" t="s">
        <v>1</v>
      </c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ht="33.75" customHeight="1">
      <c r="A905" s="11" t="s">
        <v>1527</v>
      </c>
      <c r="B905" s="22" t="s">
        <v>44</v>
      </c>
      <c r="C905" s="11" t="s">
        <v>1523</v>
      </c>
      <c r="D905" s="11"/>
      <c r="E905" s="76">
        <v>46049.0</v>
      </c>
      <c r="F905" s="14" t="s">
        <v>287</v>
      </c>
      <c r="G905" s="178">
        <v>10000.0</v>
      </c>
      <c r="H905" s="16">
        <v>7663.0</v>
      </c>
      <c r="I905" s="17">
        <f t="shared" si="27"/>
        <v>2337</v>
      </c>
      <c r="J905" s="25" t="s">
        <v>1</v>
      </c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ht="33.75" customHeight="1">
      <c r="A906" s="234" t="s">
        <v>1528</v>
      </c>
      <c r="B906" s="235" t="s">
        <v>1529</v>
      </c>
      <c r="C906" s="234" t="s">
        <v>1523</v>
      </c>
      <c r="D906" s="234"/>
      <c r="E906" s="236">
        <v>46049.0</v>
      </c>
      <c r="F906" s="237" t="s">
        <v>287</v>
      </c>
      <c r="G906" s="238">
        <v>4919.0</v>
      </c>
      <c r="H906" s="239"/>
      <c r="I906" s="240">
        <f t="shared" si="27"/>
        <v>4919</v>
      </c>
      <c r="J906" s="241" t="s">
        <v>1529</v>
      </c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  <c r="Y906" s="242"/>
      <c r="Z906" s="242"/>
    </row>
    <row r="907" ht="33.75" customHeight="1">
      <c r="A907" s="11" t="s">
        <v>1530</v>
      </c>
      <c r="B907" s="22" t="s">
        <v>44</v>
      </c>
      <c r="C907" s="11" t="s">
        <v>1531</v>
      </c>
      <c r="D907" s="11"/>
      <c r="E907" s="76">
        <v>46049.0</v>
      </c>
      <c r="F907" s="14" t="s">
        <v>287</v>
      </c>
      <c r="G907" s="178">
        <v>10000.0</v>
      </c>
      <c r="H907" s="16">
        <v>4795.0</v>
      </c>
      <c r="I907" s="17">
        <f t="shared" si="27"/>
        <v>5205</v>
      </c>
      <c r="J907" s="25" t="s">
        <v>1</v>
      </c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ht="33.75" customHeight="1">
      <c r="A908" s="11" t="s">
        <v>1532</v>
      </c>
      <c r="B908" s="22" t="s">
        <v>44</v>
      </c>
      <c r="C908" s="11" t="s">
        <v>1531</v>
      </c>
      <c r="D908" s="11"/>
      <c r="E908" s="76">
        <v>46049.0</v>
      </c>
      <c r="F908" s="14" t="s">
        <v>287</v>
      </c>
      <c r="G908" s="178">
        <v>10000.0</v>
      </c>
      <c r="H908" s="16">
        <v>6420.0</v>
      </c>
      <c r="I908" s="17">
        <f t="shared" si="27"/>
        <v>3580</v>
      </c>
      <c r="J908" s="25" t="s">
        <v>1</v>
      </c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ht="33.75" customHeight="1">
      <c r="A909" s="11" t="s">
        <v>693</v>
      </c>
      <c r="B909" s="22" t="s">
        <v>44</v>
      </c>
      <c r="C909" s="11" t="s">
        <v>1531</v>
      </c>
      <c r="D909" s="11"/>
      <c r="E909" s="76">
        <v>46049.0</v>
      </c>
      <c r="F909" s="14" t="s">
        <v>287</v>
      </c>
      <c r="G909" s="178">
        <v>10000.0</v>
      </c>
      <c r="H909" s="16">
        <v>8873.0</v>
      </c>
      <c r="I909" s="17">
        <f t="shared" si="27"/>
        <v>1127</v>
      </c>
      <c r="J909" s="25" t="s">
        <v>1</v>
      </c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ht="33.75" customHeight="1">
      <c r="A910" s="11" t="s">
        <v>695</v>
      </c>
      <c r="B910" s="22" t="s">
        <v>44</v>
      </c>
      <c r="C910" s="11" t="s">
        <v>1531</v>
      </c>
      <c r="D910" s="11"/>
      <c r="E910" s="76">
        <v>46049.0</v>
      </c>
      <c r="F910" s="14" t="s">
        <v>287</v>
      </c>
      <c r="G910" s="178">
        <v>10000.0</v>
      </c>
      <c r="H910" s="16">
        <v>6253.0</v>
      </c>
      <c r="I910" s="17">
        <f t="shared" si="27"/>
        <v>3747</v>
      </c>
      <c r="J910" s="25" t="s">
        <v>1</v>
      </c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ht="33.75" customHeight="1">
      <c r="A911" s="11" t="s">
        <v>1177</v>
      </c>
      <c r="B911" s="22" t="s">
        <v>44</v>
      </c>
      <c r="C911" s="11" t="s">
        <v>1531</v>
      </c>
      <c r="D911" s="11"/>
      <c r="E911" s="76">
        <v>46049.0</v>
      </c>
      <c r="F911" s="14" t="s">
        <v>287</v>
      </c>
      <c r="G911" s="178">
        <v>10000.0</v>
      </c>
      <c r="H911" s="16">
        <v>8767.0</v>
      </c>
      <c r="I911" s="17">
        <f t="shared" si="27"/>
        <v>1233</v>
      </c>
      <c r="J911" s="25" t="s">
        <v>1</v>
      </c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ht="33.75" customHeight="1">
      <c r="A912" s="11" t="s">
        <v>1449</v>
      </c>
      <c r="B912" s="22" t="s">
        <v>44</v>
      </c>
      <c r="C912" s="11" t="s">
        <v>1531</v>
      </c>
      <c r="D912" s="11"/>
      <c r="E912" s="76">
        <v>46049.0</v>
      </c>
      <c r="F912" s="14" t="s">
        <v>287</v>
      </c>
      <c r="G912" s="178">
        <v>10000.0</v>
      </c>
      <c r="H912" s="16">
        <v>7693.0</v>
      </c>
      <c r="I912" s="17">
        <f t="shared" si="27"/>
        <v>2307</v>
      </c>
      <c r="J912" s="25" t="s">
        <v>1</v>
      </c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ht="33.75" customHeight="1">
      <c r="A913" s="11" t="s">
        <v>1533</v>
      </c>
      <c r="B913" s="22" t="s">
        <v>44</v>
      </c>
      <c r="C913" s="11" t="s">
        <v>1534</v>
      </c>
      <c r="D913" s="11"/>
      <c r="E913" s="64">
        <v>46049.0</v>
      </c>
      <c r="F913" s="14" t="s">
        <v>1141</v>
      </c>
      <c r="G913" s="178">
        <v>1028.0</v>
      </c>
      <c r="H913" s="179">
        <v>833.0</v>
      </c>
      <c r="I913" s="17">
        <f t="shared" si="27"/>
        <v>195</v>
      </c>
      <c r="J913" s="25" t="s">
        <v>1</v>
      </c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ht="33.75" customHeight="1">
      <c r="A914" s="11" t="s">
        <v>1535</v>
      </c>
      <c r="B914" s="22" t="s">
        <v>88</v>
      </c>
      <c r="C914" s="11" t="s">
        <v>1536</v>
      </c>
      <c r="D914" s="11"/>
      <c r="E914" s="76">
        <v>46049.0</v>
      </c>
      <c r="F914" s="14" t="s">
        <v>287</v>
      </c>
      <c r="G914" s="178">
        <v>1050.0</v>
      </c>
      <c r="H914" s="16">
        <v>845.0</v>
      </c>
      <c r="I914" s="17">
        <f t="shared" si="27"/>
        <v>205</v>
      </c>
      <c r="J914" s="25" t="s">
        <v>1</v>
      </c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ht="33.75" customHeight="1">
      <c r="A915" s="11" t="s">
        <v>1516</v>
      </c>
      <c r="B915" s="22" t="s">
        <v>31</v>
      </c>
      <c r="C915" s="11" t="s">
        <v>1537</v>
      </c>
      <c r="D915" s="11"/>
      <c r="E915" s="76">
        <v>46049.0</v>
      </c>
      <c r="F915" s="14" t="s">
        <v>1141</v>
      </c>
      <c r="G915" s="178">
        <v>5000.0</v>
      </c>
      <c r="H915" s="16">
        <v>4707.0</v>
      </c>
      <c r="I915" s="17">
        <f t="shared" si="27"/>
        <v>293</v>
      </c>
      <c r="J915" s="25" t="s">
        <v>1</v>
      </c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ht="33.75" customHeight="1">
      <c r="A916" s="11" t="s">
        <v>1314</v>
      </c>
      <c r="B916" s="22" t="s">
        <v>181</v>
      </c>
      <c r="C916" s="11" t="s">
        <v>1538</v>
      </c>
      <c r="D916" s="11"/>
      <c r="E916" s="76">
        <v>46049.0</v>
      </c>
      <c r="F916" s="14" t="s">
        <v>1191</v>
      </c>
      <c r="G916" s="178">
        <v>1001.0</v>
      </c>
      <c r="H916" s="16">
        <v>882.0</v>
      </c>
      <c r="I916" s="17">
        <f t="shared" si="27"/>
        <v>119</v>
      </c>
      <c r="J916" s="25" t="s">
        <v>1</v>
      </c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ht="33.75" customHeight="1">
      <c r="A917" s="11" t="s">
        <v>1317</v>
      </c>
      <c r="B917" s="22" t="s">
        <v>181</v>
      </c>
      <c r="C917" s="11" t="s">
        <v>1539</v>
      </c>
      <c r="D917" s="11"/>
      <c r="E917" s="76">
        <v>46049.0</v>
      </c>
      <c r="F917" s="14" t="s">
        <v>1141</v>
      </c>
      <c r="G917" s="178">
        <v>1001.0</v>
      </c>
      <c r="H917" s="16">
        <v>833.0</v>
      </c>
      <c r="I917" s="17">
        <f t="shared" si="27"/>
        <v>168</v>
      </c>
      <c r="J917" s="91" t="s">
        <v>700</v>
      </c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33.75" customHeight="1">
      <c r="A918" s="11" t="s">
        <v>795</v>
      </c>
      <c r="B918" s="22" t="s">
        <v>125</v>
      </c>
      <c r="C918" s="11" t="s">
        <v>1337</v>
      </c>
      <c r="D918" s="11"/>
      <c r="E918" s="64">
        <v>46049.0</v>
      </c>
      <c r="F918" s="14" t="s">
        <v>17</v>
      </c>
      <c r="G918" s="15" t="s">
        <v>1540</v>
      </c>
      <c r="H918" s="16">
        <v>516.0</v>
      </c>
      <c r="I918" s="17">
        <f t="shared" si="27"/>
        <v>175</v>
      </c>
      <c r="J918" s="25" t="s">
        <v>1</v>
      </c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ht="33.75" customHeight="1">
      <c r="A919" s="11" t="s">
        <v>1541</v>
      </c>
      <c r="B919" s="22" t="s">
        <v>34</v>
      </c>
      <c r="C919" s="11" t="s">
        <v>1542</v>
      </c>
      <c r="D919" s="11"/>
      <c r="E919" s="76">
        <v>46049.0</v>
      </c>
      <c r="F919" s="14" t="s">
        <v>287</v>
      </c>
      <c r="G919" s="178">
        <v>49541.0</v>
      </c>
      <c r="H919" s="28"/>
      <c r="I919" s="17">
        <f t="shared" si="27"/>
        <v>49541</v>
      </c>
      <c r="J919" s="25" t="s">
        <v>1</v>
      </c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ht="33.75" customHeight="1">
      <c r="A920" s="11" t="s">
        <v>77</v>
      </c>
      <c r="B920" s="22" t="s">
        <v>49</v>
      </c>
      <c r="C920" s="11" t="s">
        <v>1518</v>
      </c>
      <c r="D920" s="11"/>
      <c r="E920" s="64">
        <v>46050.0</v>
      </c>
      <c r="F920" s="14" t="s">
        <v>26</v>
      </c>
      <c r="G920" s="178">
        <v>40000.0</v>
      </c>
      <c r="H920" s="28"/>
      <c r="I920" s="17">
        <f t="shared" si="27"/>
        <v>40000</v>
      </c>
      <c r="J920" s="25" t="s">
        <v>1</v>
      </c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ht="33.75" customHeight="1">
      <c r="A921" s="11" t="s">
        <v>1451</v>
      </c>
      <c r="B921" s="22" t="s">
        <v>55</v>
      </c>
      <c r="C921" s="11" t="s">
        <v>1521</v>
      </c>
      <c r="D921" s="11"/>
      <c r="E921" s="64">
        <v>46050.0</v>
      </c>
      <c r="F921" s="14" t="s">
        <v>287</v>
      </c>
      <c r="G921" s="233"/>
      <c r="H921" s="28"/>
      <c r="I921" s="17">
        <f t="shared" si="27"/>
        <v>0</v>
      </c>
      <c r="J921" s="220" t="s">
        <v>1</v>
      </c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</row>
    <row r="922" ht="33.75" customHeight="1">
      <c r="A922" s="11" t="s">
        <v>928</v>
      </c>
      <c r="B922" s="22" t="s">
        <v>49</v>
      </c>
      <c r="C922" s="11" t="s">
        <v>1543</v>
      </c>
      <c r="D922" s="11"/>
      <c r="E922" s="64">
        <v>46050.0</v>
      </c>
      <c r="F922" s="14" t="s">
        <v>26</v>
      </c>
      <c r="G922" s="178">
        <v>10000.0</v>
      </c>
      <c r="H922" s="28"/>
      <c r="I922" s="17">
        <f t="shared" si="27"/>
        <v>10000</v>
      </c>
      <c r="J922" s="220" t="s">
        <v>1</v>
      </c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</row>
    <row r="923" ht="33.75" customHeight="1">
      <c r="A923" s="11" t="s">
        <v>1527</v>
      </c>
      <c r="B923" s="22" t="s">
        <v>49</v>
      </c>
      <c r="C923" s="11" t="s">
        <v>1543</v>
      </c>
      <c r="D923" s="11"/>
      <c r="E923" s="64">
        <v>46050.0</v>
      </c>
      <c r="F923" s="14" t="s">
        <v>26</v>
      </c>
      <c r="G923" s="178">
        <v>10000.0</v>
      </c>
      <c r="H923" s="28"/>
      <c r="I923" s="17">
        <f t="shared" si="27"/>
        <v>10000</v>
      </c>
      <c r="J923" s="220" t="s">
        <v>1</v>
      </c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</row>
    <row r="924" ht="33.75" customHeight="1">
      <c r="A924" s="11" t="s">
        <v>1544</v>
      </c>
      <c r="B924" s="22" t="s">
        <v>49</v>
      </c>
      <c r="C924" s="11" t="s">
        <v>1543</v>
      </c>
      <c r="D924" s="11"/>
      <c r="E924" s="64">
        <v>46050.0</v>
      </c>
      <c r="F924" s="14" t="s">
        <v>26</v>
      </c>
      <c r="G924" s="178">
        <v>5000.0</v>
      </c>
      <c r="H924" s="28"/>
      <c r="I924" s="17">
        <f t="shared" si="27"/>
        <v>5000</v>
      </c>
      <c r="J924" s="220" t="s">
        <v>1</v>
      </c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</row>
    <row r="925" ht="33.75" customHeight="1">
      <c r="A925" s="243" t="s">
        <v>1528</v>
      </c>
      <c r="B925" s="244" t="s">
        <v>49</v>
      </c>
      <c r="C925" s="243" t="s">
        <v>1543</v>
      </c>
      <c r="D925" s="243"/>
      <c r="E925" s="245">
        <v>46050.0</v>
      </c>
      <c r="F925" s="246" t="s">
        <v>26</v>
      </c>
      <c r="G925" s="247">
        <v>4919.0</v>
      </c>
      <c r="H925" s="248"/>
      <c r="I925" s="249">
        <f t="shared" si="27"/>
        <v>4919</v>
      </c>
      <c r="J925" s="250" t="s">
        <v>1139</v>
      </c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  <c r="Z925" s="251"/>
    </row>
    <row r="926" ht="33.75" customHeight="1">
      <c r="A926" s="11" t="s">
        <v>1545</v>
      </c>
      <c r="B926" s="22" t="s">
        <v>49</v>
      </c>
      <c r="C926" s="11" t="s">
        <v>1543</v>
      </c>
      <c r="D926" s="11"/>
      <c r="E926" s="64">
        <v>46050.0</v>
      </c>
      <c r="F926" s="14" t="s">
        <v>26</v>
      </c>
      <c r="G926" s="178">
        <v>7000.0</v>
      </c>
      <c r="H926" s="28"/>
      <c r="I926" s="17">
        <f t="shared" si="27"/>
        <v>7000</v>
      </c>
      <c r="J926" s="220" t="s">
        <v>1</v>
      </c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</row>
    <row r="927" ht="33.75" customHeight="1">
      <c r="A927" s="11" t="s">
        <v>1116</v>
      </c>
      <c r="B927" s="22" t="s">
        <v>49</v>
      </c>
      <c r="C927" s="11" t="s">
        <v>1543</v>
      </c>
      <c r="D927" s="11"/>
      <c r="E927" s="64">
        <v>46050.0</v>
      </c>
      <c r="F927" s="14" t="s">
        <v>26</v>
      </c>
      <c r="G927" s="178">
        <v>10000.0</v>
      </c>
      <c r="H927" s="28"/>
      <c r="I927" s="17">
        <f t="shared" si="27"/>
        <v>10000</v>
      </c>
      <c r="J927" s="220" t="s">
        <v>1</v>
      </c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</row>
    <row r="928" ht="33.75" customHeight="1">
      <c r="A928" s="11" t="s">
        <v>1177</v>
      </c>
      <c r="B928" s="22" t="s">
        <v>49</v>
      </c>
      <c r="C928" s="11" t="s">
        <v>1543</v>
      </c>
      <c r="D928" s="11"/>
      <c r="E928" s="64">
        <v>46050.0</v>
      </c>
      <c r="F928" s="14" t="s">
        <v>26</v>
      </c>
      <c r="G928" s="178">
        <v>10000.0</v>
      </c>
      <c r="H928" s="28"/>
      <c r="I928" s="17">
        <f t="shared" si="27"/>
        <v>10000</v>
      </c>
      <c r="J928" s="220" t="s">
        <v>1</v>
      </c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</row>
    <row r="929" ht="33.75" customHeight="1">
      <c r="A929" s="11" t="s">
        <v>1546</v>
      </c>
      <c r="B929" s="22" t="s">
        <v>49</v>
      </c>
      <c r="C929" s="11" t="s">
        <v>1547</v>
      </c>
      <c r="D929" s="11"/>
      <c r="E929" s="64">
        <v>46050.0</v>
      </c>
      <c r="F929" s="14" t="s">
        <v>17</v>
      </c>
      <c r="G929" s="178">
        <v>10000.0</v>
      </c>
      <c r="H929" s="28"/>
      <c r="I929" s="17">
        <f t="shared" si="27"/>
        <v>10000</v>
      </c>
      <c r="J929" s="220" t="s">
        <v>1</v>
      </c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</row>
    <row r="930" ht="33.75" customHeight="1">
      <c r="A930" s="11" t="s">
        <v>1548</v>
      </c>
      <c r="B930" s="22" t="s">
        <v>49</v>
      </c>
      <c r="C930" s="11" t="s">
        <v>1547</v>
      </c>
      <c r="D930" s="11"/>
      <c r="E930" s="64">
        <v>46050.0</v>
      </c>
      <c r="F930" s="14" t="s">
        <v>17</v>
      </c>
      <c r="G930" s="178">
        <v>10000.0</v>
      </c>
      <c r="H930" s="28"/>
      <c r="I930" s="17">
        <f t="shared" si="27"/>
        <v>10000</v>
      </c>
      <c r="J930" s="220" t="s">
        <v>1</v>
      </c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</row>
    <row r="931" ht="33.75" customHeight="1">
      <c r="A931" s="11" t="s">
        <v>1549</v>
      </c>
      <c r="B931" s="22" t="s">
        <v>49</v>
      </c>
      <c r="C931" s="11" t="s">
        <v>1547</v>
      </c>
      <c r="D931" s="11"/>
      <c r="E931" s="64">
        <v>46050.0</v>
      </c>
      <c r="F931" s="14" t="s">
        <v>17</v>
      </c>
      <c r="G931" s="178">
        <v>10000.0</v>
      </c>
      <c r="H931" s="28"/>
      <c r="I931" s="17">
        <f t="shared" si="27"/>
        <v>10000</v>
      </c>
      <c r="J931" s="220" t="s">
        <v>1</v>
      </c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</row>
    <row r="932" ht="33.75" customHeight="1">
      <c r="A932" s="11" t="s">
        <v>1550</v>
      </c>
      <c r="B932" s="22" t="s">
        <v>49</v>
      </c>
      <c r="C932" s="11" t="s">
        <v>1547</v>
      </c>
      <c r="D932" s="11"/>
      <c r="E932" s="64">
        <v>46050.0</v>
      </c>
      <c r="F932" s="14" t="s">
        <v>17</v>
      </c>
      <c r="G932" s="178">
        <v>5000.0</v>
      </c>
      <c r="H932" s="28"/>
      <c r="I932" s="17">
        <f t="shared" si="27"/>
        <v>5000</v>
      </c>
      <c r="J932" s="220" t="s">
        <v>1</v>
      </c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</row>
    <row r="933" ht="33.75" customHeight="1">
      <c r="A933" s="11" t="s">
        <v>1551</v>
      </c>
      <c r="B933" s="22" t="s">
        <v>49</v>
      </c>
      <c r="C933" s="11" t="s">
        <v>1547</v>
      </c>
      <c r="D933" s="11"/>
      <c r="E933" s="64">
        <v>46050.0</v>
      </c>
      <c r="F933" s="14" t="s">
        <v>17</v>
      </c>
      <c r="G933" s="178">
        <v>10000.0</v>
      </c>
      <c r="H933" s="28"/>
      <c r="I933" s="17">
        <f t="shared" si="27"/>
        <v>10000</v>
      </c>
      <c r="J933" s="220" t="s">
        <v>1</v>
      </c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</row>
    <row r="934" ht="33.75" customHeight="1">
      <c r="A934" s="11" t="s">
        <v>480</v>
      </c>
      <c r="B934" s="22" t="s">
        <v>49</v>
      </c>
      <c r="C934" s="11" t="s">
        <v>1552</v>
      </c>
      <c r="D934" s="11"/>
      <c r="E934" s="64">
        <v>46050.0</v>
      </c>
      <c r="F934" s="14" t="s">
        <v>17</v>
      </c>
      <c r="G934" s="178">
        <v>10000.0</v>
      </c>
      <c r="H934" s="28"/>
      <c r="I934" s="17">
        <f t="shared" si="27"/>
        <v>10000</v>
      </c>
      <c r="J934" s="220" t="s">
        <v>1</v>
      </c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</row>
    <row r="935" ht="33.75" customHeight="1">
      <c r="A935" s="11" t="s">
        <v>28</v>
      </c>
      <c r="B935" s="22" t="s">
        <v>81</v>
      </c>
      <c r="C935" s="11" t="s">
        <v>1522</v>
      </c>
      <c r="D935" s="11"/>
      <c r="E935" s="64">
        <v>46050.0</v>
      </c>
      <c r="F935" s="14" t="s">
        <v>17</v>
      </c>
      <c r="G935" s="178">
        <v>11000.0</v>
      </c>
      <c r="H935" s="28"/>
      <c r="I935" s="17">
        <f t="shared" si="27"/>
        <v>11000</v>
      </c>
      <c r="J935" s="220" t="s">
        <v>1</v>
      </c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</row>
    <row r="936" ht="33.75" customHeight="1">
      <c r="A936" s="11" t="s">
        <v>726</v>
      </c>
      <c r="B936" s="22" t="s">
        <v>31</v>
      </c>
      <c r="C936" s="11" t="s">
        <v>1553</v>
      </c>
      <c r="D936" s="11"/>
      <c r="E936" s="64">
        <v>46050.0</v>
      </c>
      <c r="F936" s="14" t="s">
        <v>17</v>
      </c>
      <c r="G936" s="178">
        <v>50881.0</v>
      </c>
      <c r="H936" s="28"/>
      <c r="I936" s="17">
        <f t="shared" si="27"/>
        <v>50881</v>
      </c>
      <c r="J936" s="220" t="s">
        <v>1</v>
      </c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</row>
    <row r="937" ht="33.75" customHeight="1">
      <c r="A937" s="11" t="s">
        <v>1516</v>
      </c>
      <c r="B937" s="22" t="s">
        <v>91</v>
      </c>
      <c r="C937" s="11" t="s">
        <v>1537</v>
      </c>
      <c r="D937" s="11"/>
      <c r="E937" s="64">
        <v>46050.0</v>
      </c>
      <c r="F937" s="14" t="s">
        <v>1141</v>
      </c>
      <c r="G937" s="178">
        <v>3273.0</v>
      </c>
      <c r="H937" s="16">
        <v>3002.0</v>
      </c>
      <c r="I937" s="17">
        <f t="shared" si="27"/>
        <v>271</v>
      </c>
      <c r="J937" s="91" t="s">
        <v>1</v>
      </c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33.75" customHeight="1">
      <c r="A938" s="11" t="s">
        <v>386</v>
      </c>
      <c r="B938" s="22" t="s">
        <v>125</v>
      </c>
      <c r="C938" s="11" t="s">
        <v>1554</v>
      </c>
      <c r="D938" s="11"/>
      <c r="E938" s="64">
        <v>46050.0</v>
      </c>
      <c r="F938" s="14" t="s">
        <v>287</v>
      </c>
      <c r="G938" s="178">
        <v>10000.0</v>
      </c>
      <c r="H938" s="28"/>
      <c r="I938" s="17">
        <f t="shared" si="27"/>
        <v>10000</v>
      </c>
      <c r="J938" s="25" t="s">
        <v>1</v>
      </c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ht="33.75" customHeight="1">
      <c r="A939" s="11" t="s">
        <v>1530</v>
      </c>
      <c r="B939" s="22" t="s">
        <v>125</v>
      </c>
      <c r="C939" s="11" t="s">
        <v>1554</v>
      </c>
      <c r="D939" s="11"/>
      <c r="E939" s="64">
        <v>46050.0</v>
      </c>
      <c r="F939" s="14" t="s">
        <v>287</v>
      </c>
      <c r="G939" s="178">
        <v>10000.0</v>
      </c>
      <c r="H939" s="28"/>
      <c r="I939" s="17">
        <f t="shared" si="27"/>
        <v>10000</v>
      </c>
      <c r="J939" s="25" t="s">
        <v>1</v>
      </c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ht="33.75" customHeight="1">
      <c r="A940" s="11" t="s">
        <v>1535</v>
      </c>
      <c r="B940" s="22" t="s">
        <v>161</v>
      </c>
      <c r="C940" s="11" t="s">
        <v>1521</v>
      </c>
      <c r="D940" s="11"/>
      <c r="E940" s="64">
        <v>46050.0</v>
      </c>
      <c r="F940" s="14" t="s">
        <v>1141</v>
      </c>
      <c r="G940" s="178">
        <v>1049.0</v>
      </c>
      <c r="H940" s="16">
        <v>870.0</v>
      </c>
      <c r="I940" s="17">
        <f t="shared" si="27"/>
        <v>179</v>
      </c>
      <c r="J940" s="25" t="s">
        <v>1</v>
      </c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ht="33.75" customHeight="1">
      <c r="A941" s="11" t="s">
        <v>216</v>
      </c>
      <c r="B941" s="22" t="s">
        <v>1555</v>
      </c>
      <c r="C941" s="11" t="s">
        <v>1556</v>
      </c>
      <c r="D941" s="11"/>
      <c r="E941" s="64">
        <v>46050.0</v>
      </c>
      <c r="F941" s="14" t="s">
        <v>17</v>
      </c>
      <c r="G941" s="178">
        <v>45866.0</v>
      </c>
      <c r="H941" s="28"/>
      <c r="I941" s="17">
        <f t="shared" si="27"/>
        <v>45866</v>
      </c>
      <c r="J941" s="25" t="s">
        <v>1</v>
      </c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ht="33.75" customHeight="1">
      <c r="A942" s="11" t="s">
        <v>1557</v>
      </c>
      <c r="B942" s="22"/>
      <c r="C942" s="11" t="s">
        <v>1558</v>
      </c>
      <c r="D942" s="11"/>
      <c r="E942" s="64">
        <v>46050.0</v>
      </c>
      <c r="F942" s="14" t="s">
        <v>26</v>
      </c>
      <c r="G942" s="178">
        <v>10000.0</v>
      </c>
      <c r="H942" s="28"/>
      <c r="I942" s="17">
        <f t="shared" si="27"/>
        <v>10000</v>
      </c>
      <c r="J942" s="91" t="s">
        <v>3</v>
      </c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33.75" customHeight="1">
      <c r="A943" s="11" t="s">
        <v>1476</v>
      </c>
      <c r="B943" s="22" t="s">
        <v>15</v>
      </c>
      <c r="C943" s="11" t="s">
        <v>1559</v>
      </c>
      <c r="D943" s="11"/>
      <c r="E943" s="64">
        <v>46050.0</v>
      </c>
      <c r="F943" s="14" t="s">
        <v>1191</v>
      </c>
      <c r="G943" s="178">
        <v>17000.0</v>
      </c>
      <c r="H943" s="16">
        <v>5800.0</v>
      </c>
      <c r="I943" s="17">
        <f t="shared" si="27"/>
        <v>11200</v>
      </c>
      <c r="J943" s="25" t="s">
        <v>1</v>
      </c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ht="33.75" customHeight="1">
      <c r="A944" s="11" t="s">
        <v>1351</v>
      </c>
      <c r="B944" s="22" t="s">
        <v>34</v>
      </c>
      <c r="C944" s="11" t="s">
        <v>1560</v>
      </c>
      <c r="D944" s="11"/>
      <c r="E944" s="64">
        <v>46050.0</v>
      </c>
      <c r="F944" s="14" t="s">
        <v>1141</v>
      </c>
      <c r="G944" s="178">
        <v>10949.0</v>
      </c>
      <c r="H944" s="16">
        <v>9909.0</v>
      </c>
      <c r="I944" s="17">
        <f t="shared" si="27"/>
        <v>1040</v>
      </c>
      <c r="J944" s="25" t="s">
        <v>1</v>
      </c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ht="33.75" customHeight="1">
      <c r="A945" s="11" t="s">
        <v>489</v>
      </c>
      <c r="B945" s="22" t="s">
        <v>1561</v>
      </c>
      <c r="C945" s="11" t="s">
        <v>1562</v>
      </c>
      <c r="D945" s="11"/>
      <c r="E945" s="64">
        <v>46050.0</v>
      </c>
      <c r="F945" s="14" t="s">
        <v>287</v>
      </c>
      <c r="G945" s="178">
        <v>31000.0</v>
      </c>
      <c r="H945" s="16">
        <v>24845.0</v>
      </c>
      <c r="I945" s="17">
        <f t="shared" si="27"/>
        <v>6155</v>
      </c>
      <c r="J945" s="25" t="s">
        <v>1</v>
      </c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ht="33.75" customHeight="1">
      <c r="A946" s="11" t="s">
        <v>686</v>
      </c>
      <c r="B946" s="22" t="s">
        <v>140</v>
      </c>
      <c r="C946" s="11" t="s">
        <v>1563</v>
      </c>
      <c r="D946" s="11"/>
      <c r="E946" s="64">
        <v>46050.0</v>
      </c>
      <c r="F946" s="14" t="s">
        <v>17</v>
      </c>
      <c r="G946" s="178">
        <v>56526.0</v>
      </c>
      <c r="H946" s="28"/>
      <c r="I946" s="17">
        <f t="shared" si="27"/>
        <v>56526</v>
      </c>
      <c r="J946" s="25" t="s">
        <v>1</v>
      </c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ht="33.75" customHeight="1">
      <c r="A947" s="11" t="s">
        <v>1420</v>
      </c>
      <c r="B947" s="22" t="s">
        <v>22</v>
      </c>
      <c r="C947" s="11" t="s">
        <v>1564</v>
      </c>
      <c r="D947" s="11"/>
      <c r="E947" s="76">
        <v>46050.0</v>
      </c>
      <c r="F947" s="14" t="s">
        <v>287</v>
      </c>
      <c r="G947" s="178">
        <v>50000.0</v>
      </c>
      <c r="H947" s="28"/>
      <c r="I947" s="17">
        <f t="shared" si="27"/>
        <v>50000</v>
      </c>
      <c r="J947" s="25" t="s">
        <v>1</v>
      </c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ht="33.75" customHeight="1">
      <c r="A948" s="11" t="s">
        <v>1420</v>
      </c>
      <c r="B948" s="22" t="s">
        <v>22</v>
      </c>
      <c r="C948" s="11" t="s">
        <v>1565</v>
      </c>
      <c r="D948" s="11"/>
      <c r="E948" s="76">
        <v>46050.0</v>
      </c>
      <c r="F948" s="14" t="s">
        <v>287</v>
      </c>
      <c r="G948" s="178">
        <v>50000.0</v>
      </c>
      <c r="H948" s="28"/>
      <c r="I948" s="17">
        <f t="shared" si="27"/>
        <v>50000</v>
      </c>
      <c r="J948" s="25" t="s">
        <v>1</v>
      </c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ht="33.75" customHeight="1">
      <c r="A949" s="11" t="s">
        <v>1381</v>
      </c>
      <c r="B949" s="22" t="s">
        <v>1011</v>
      </c>
      <c r="C949" s="11" t="s">
        <v>1566</v>
      </c>
      <c r="D949" s="11"/>
      <c r="E949" s="76">
        <v>46051.0</v>
      </c>
      <c r="F949" s="14" t="s">
        <v>1141</v>
      </c>
      <c r="G949" s="178" t="s">
        <v>1567</v>
      </c>
      <c r="H949" s="28"/>
      <c r="I949" s="17">
        <f t="shared" si="27"/>
        <v>2483</v>
      </c>
      <c r="J949" s="25" t="s">
        <v>1</v>
      </c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ht="33.75" customHeight="1">
      <c r="A950" s="11" t="s">
        <v>28</v>
      </c>
      <c r="B950" s="22" t="s">
        <v>81</v>
      </c>
      <c r="C950" s="11" t="s">
        <v>1568</v>
      </c>
      <c r="D950" s="11"/>
      <c r="E950" s="64">
        <v>46051.0</v>
      </c>
      <c r="F950" s="14" t="s">
        <v>17</v>
      </c>
      <c r="G950" s="178">
        <v>11000.0</v>
      </c>
      <c r="H950" s="28"/>
      <c r="I950" s="17">
        <f t="shared" si="27"/>
        <v>11000</v>
      </c>
      <c r="J950" s="25" t="s">
        <v>1</v>
      </c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ht="33.75" customHeight="1">
      <c r="A951" s="11" t="s">
        <v>109</v>
      </c>
      <c r="B951" s="22" t="s">
        <v>1569</v>
      </c>
      <c r="C951" s="11" t="s">
        <v>1570</v>
      </c>
      <c r="D951" s="11"/>
      <c r="E951" s="64">
        <v>46051.0</v>
      </c>
      <c r="F951" s="14" t="s">
        <v>1141</v>
      </c>
      <c r="G951" s="178">
        <v>10000.0</v>
      </c>
      <c r="H951" s="16">
        <v>7724.0</v>
      </c>
      <c r="I951" s="17">
        <v>10000.0</v>
      </c>
      <c r="J951" s="25" t="s">
        <v>1</v>
      </c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ht="33.75" customHeight="1">
      <c r="A952" s="11" t="s">
        <v>1317</v>
      </c>
      <c r="B952" s="22" t="s">
        <v>1571</v>
      </c>
      <c r="C952" s="11" t="s">
        <v>1572</v>
      </c>
      <c r="D952" s="11"/>
      <c r="E952" s="64">
        <v>46051.0</v>
      </c>
      <c r="F952" s="14" t="s">
        <v>1141</v>
      </c>
      <c r="G952" s="178">
        <v>893.0</v>
      </c>
      <c r="H952" s="16">
        <v>754.0</v>
      </c>
      <c r="I952" s="17">
        <f t="shared" ref="I952:I965" si="28">G952-H952</f>
        <v>139</v>
      </c>
      <c r="J952" s="25" t="s">
        <v>1</v>
      </c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ht="33.75" customHeight="1">
      <c r="A953" s="11" t="s">
        <v>1314</v>
      </c>
      <c r="B953" s="22" t="s">
        <v>1571</v>
      </c>
      <c r="C953" s="11" t="s">
        <v>1573</v>
      </c>
      <c r="D953" s="11"/>
      <c r="E953" s="64">
        <v>46051.0</v>
      </c>
      <c r="F953" s="14" t="s">
        <v>1191</v>
      </c>
      <c r="G953" s="178">
        <v>1095.0</v>
      </c>
      <c r="H953" s="16">
        <v>983.0</v>
      </c>
      <c r="I953" s="17">
        <f t="shared" si="28"/>
        <v>112</v>
      </c>
      <c r="J953" s="25" t="s">
        <v>1</v>
      </c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ht="33.75" customHeight="1">
      <c r="A954" s="11" t="s">
        <v>1574</v>
      </c>
      <c r="B954" s="22" t="s">
        <v>88</v>
      </c>
      <c r="C954" s="11" t="s">
        <v>1575</v>
      </c>
      <c r="D954" s="11"/>
      <c r="E954" s="64">
        <v>46051.0</v>
      </c>
      <c r="F954" s="14" t="s">
        <v>287</v>
      </c>
      <c r="G954" s="178">
        <v>5000.0</v>
      </c>
      <c r="H954" s="28"/>
      <c r="I954" s="17">
        <f t="shared" si="28"/>
        <v>5000</v>
      </c>
      <c r="J954" s="25" t="s">
        <v>1</v>
      </c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ht="33.75" customHeight="1">
      <c r="A955" s="11" t="s">
        <v>1576</v>
      </c>
      <c r="B955" s="22" t="s">
        <v>88</v>
      </c>
      <c r="C955" s="11" t="s">
        <v>1575</v>
      </c>
      <c r="D955" s="11"/>
      <c r="E955" s="64">
        <v>46051.0</v>
      </c>
      <c r="F955" s="14" t="s">
        <v>287</v>
      </c>
      <c r="G955" s="178">
        <v>10000.0</v>
      </c>
      <c r="H955" s="28"/>
      <c r="I955" s="17">
        <f t="shared" si="28"/>
        <v>10000</v>
      </c>
      <c r="J955" s="25" t="s">
        <v>1</v>
      </c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ht="33.75" customHeight="1">
      <c r="A956" s="11" t="s">
        <v>516</v>
      </c>
      <c r="B956" s="22" t="s">
        <v>88</v>
      </c>
      <c r="C956" s="11" t="s">
        <v>1575</v>
      </c>
      <c r="D956" s="11"/>
      <c r="E956" s="64">
        <v>46051.0</v>
      </c>
      <c r="F956" s="14" t="s">
        <v>287</v>
      </c>
      <c r="G956" s="178">
        <v>10000.0</v>
      </c>
      <c r="H956" s="28"/>
      <c r="I956" s="17">
        <f t="shared" si="28"/>
        <v>10000</v>
      </c>
      <c r="J956" s="25" t="s">
        <v>1</v>
      </c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ht="33.75" customHeight="1">
      <c r="A957" s="11" t="s">
        <v>1527</v>
      </c>
      <c r="B957" s="22" t="s">
        <v>88</v>
      </c>
      <c r="C957" s="11" t="s">
        <v>1575</v>
      </c>
      <c r="D957" s="11"/>
      <c r="E957" s="64">
        <v>46051.0</v>
      </c>
      <c r="F957" s="14" t="s">
        <v>287</v>
      </c>
      <c r="G957" s="178">
        <v>10000.0</v>
      </c>
      <c r="H957" s="28"/>
      <c r="I957" s="17">
        <f t="shared" si="28"/>
        <v>10000</v>
      </c>
      <c r="J957" s="25" t="s">
        <v>1</v>
      </c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ht="33.75" customHeight="1">
      <c r="A958" s="11" t="s">
        <v>1271</v>
      </c>
      <c r="B958" s="22" t="s">
        <v>88</v>
      </c>
      <c r="C958" s="11" t="s">
        <v>1575</v>
      </c>
      <c r="D958" s="11"/>
      <c r="E958" s="64">
        <v>46051.0</v>
      </c>
      <c r="F958" s="14" t="s">
        <v>287</v>
      </c>
      <c r="G958" s="178">
        <v>5000.0</v>
      </c>
      <c r="H958" s="28"/>
      <c r="I958" s="17">
        <f t="shared" si="28"/>
        <v>5000</v>
      </c>
      <c r="J958" s="25" t="s">
        <v>1</v>
      </c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ht="33.75" customHeight="1">
      <c r="A959" s="11" t="s">
        <v>1545</v>
      </c>
      <c r="B959" s="22" t="s">
        <v>88</v>
      </c>
      <c r="C959" s="11" t="s">
        <v>1577</v>
      </c>
      <c r="D959" s="11"/>
      <c r="E959" s="64">
        <v>46051.0</v>
      </c>
      <c r="F959" s="14" t="s">
        <v>287</v>
      </c>
      <c r="G959" s="178">
        <v>7000.0</v>
      </c>
      <c r="H959" s="28"/>
      <c r="I959" s="17">
        <f t="shared" si="28"/>
        <v>7000</v>
      </c>
      <c r="J959" s="25" t="s">
        <v>1</v>
      </c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ht="33.75" customHeight="1">
      <c r="A960" s="11" t="s">
        <v>693</v>
      </c>
      <c r="B960" s="22" t="s">
        <v>88</v>
      </c>
      <c r="C960" s="11" t="s">
        <v>1577</v>
      </c>
      <c r="D960" s="11"/>
      <c r="E960" s="64">
        <v>46051.0</v>
      </c>
      <c r="F960" s="14" t="s">
        <v>287</v>
      </c>
      <c r="G960" s="178">
        <v>10000.0</v>
      </c>
      <c r="H960" s="28"/>
      <c r="I960" s="17">
        <f t="shared" si="28"/>
        <v>10000</v>
      </c>
      <c r="J960" s="25" t="s">
        <v>1</v>
      </c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ht="33.75" customHeight="1">
      <c r="A961" s="11" t="s">
        <v>1578</v>
      </c>
      <c r="B961" s="22" t="s">
        <v>88</v>
      </c>
      <c r="C961" s="11" t="s">
        <v>1577</v>
      </c>
      <c r="D961" s="11"/>
      <c r="E961" s="64">
        <v>46051.0</v>
      </c>
      <c r="F961" s="14" t="s">
        <v>287</v>
      </c>
      <c r="G961" s="178">
        <v>10000.0</v>
      </c>
      <c r="H961" s="28"/>
      <c r="I961" s="17">
        <f t="shared" si="28"/>
        <v>10000</v>
      </c>
      <c r="J961" s="25" t="s">
        <v>1</v>
      </c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ht="33.75" customHeight="1">
      <c r="A962" s="11" t="s">
        <v>1579</v>
      </c>
      <c r="B962" s="22" t="s">
        <v>88</v>
      </c>
      <c r="C962" s="11" t="s">
        <v>1577</v>
      </c>
      <c r="D962" s="11"/>
      <c r="E962" s="64">
        <v>46051.0</v>
      </c>
      <c r="F962" s="14" t="s">
        <v>287</v>
      </c>
      <c r="G962" s="178">
        <v>10000.0</v>
      </c>
      <c r="H962" s="28"/>
      <c r="I962" s="17">
        <f t="shared" si="28"/>
        <v>10000</v>
      </c>
      <c r="J962" s="25" t="s">
        <v>1</v>
      </c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ht="33.75" customHeight="1">
      <c r="A963" s="11" t="s">
        <v>1580</v>
      </c>
      <c r="B963" s="22" t="s">
        <v>88</v>
      </c>
      <c r="C963" s="11" t="s">
        <v>1577</v>
      </c>
      <c r="D963" s="11"/>
      <c r="E963" s="64">
        <v>46051.0</v>
      </c>
      <c r="F963" s="14" t="s">
        <v>287</v>
      </c>
      <c r="G963" s="178">
        <v>10000.0</v>
      </c>
      <c r="H963" s="28"/>
      <c r="I963" s="17">
        <f t="shared" si="28"/>
        <v>10000</v>
      </c>
      <c r="J963" s="25" t="s">
        <v>1</v>
      </c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ht="33.75" customHeight="1">
      <c r="A964" s="11" t="s">
        <v>1535</v>
      </c>
      <c r="B964" s="22" t="s">
        <v>1581</v>
      </c>
      <c r="C964" s="11" t="s">
        <v>1582</v>
      </c>
      <c r="D964" s="11"/>
      <c r="E964" s="64">
        <v>46051.0</v>
      </c>
      <c r="F964" s="14" t="s">
        <v>1141</v>
      </c>
      <c r="G964" s="178">
        <v>1216.0</v>
      </c>
      <c r="H964" s="28">
        <v>1077.0</v>
      </c>
      <c r="I964" s="17">
        <f t="shared" si="28"/>
        <v>139</v>
      </c>
      <c r="J964" s="25" t="s">
        <v>1</v>
      </c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ht="33.75" customHeight="1">
      <c r="A965" s="11" t="s">
        <v>1583</v>
      </c>
      <c r="B965" s="22" t="s">
        <v>1581</v>
      </c>
      <c r="C965" s="11" t="s">
        <v>1584</v>
      </c>
      <c r="D965" s="11"/>
      <c r="E965" s="64">
        <v>46051.0</v>
      </c>
      <c r="F965" s="14" t="s">
        <v>1191</v>
      </c>
      <c r="G965" s="178">
        <v>16556.0</v>
      </c>
      <c r="H965" s="28">
        <v>13723.0</v>
      </c>
      <c r="I965" s="17">
        <f t="shared" si="28"/>
        <v>2833</v>
      </c>
      <c r="J965" s="25" t="s">
        <v>1</v>
      </c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ht="33.75" customHeight="1">
      <c r="A966" s="11" t="s">
        <v>1530</v>
      </c>
      <c r="B966" s="22" t="s">
        <v>1585</v>
      </c>
      <c r="C966" s="11" t="s">
        <v>1586</v>
      </c>
      <c r="D966" s="11"/>
      <c r="E966" s="64">
        <v>46051.0</v>
      </c>
      <c r="F966" s="14" t="s">
        <v>1141</v>
      </c>
      <c r="G966" s="178">
        <v>10000.0</v>
      </c>
      <c r="H966" s="179">
        <v>5262.0</v>
      </c>
      <c r="I966" s="17"/>
      <c r="J966" s="17" t="s">
        <v>1</v>
      </c>
      <c r="K966" s="252"/>
      <c r="L966" s="252"/>
      <c r="M966" s="252"/>
      <c r="N966" s="252"/>
      <c r="O966" s="252"/>
      <c r="P966" s="252"/>
      <c r="Q966" s="252"/>
      <c r="R966" s="252"/>
      <c r="S966" s="252"/>
      <c r="T966" s="252"/>
      <c r="U966" s="252"/>
      <c r="V966" s="252"/>
      <c r="W966" s="252"/>
      <c r="X966" s="252"/>
      <c r="Y966" s="252"/>
      <c r="Z966" s="252"/>
    </row>
    <row r="967" ht="33.75" customHeight="1">
      <c r="A967" s="11" t="s">
        <v>1587</v>
      </c>
      <c r="B967" s="22" t="s">
        <v>528</v>
      </c>
      <c r="C967" s="11" t="s">
        <v>1588</v>
      </c>
      <c r="D967" s="11"/>
      <c r="E967" s="64">
        <v>46051.0</v>
      </c>
      <c r="F967" s="14" t="s">
        <v>287</v>
      </c>
      <c r="G967" s="178">
        <v>25000.0</v>
      </c>
      <c r="H967" s="28"/>
      <c r="I967" s="17">
        <f t="shared" ref="I967:I970" si="29">G967-H967</f>
        <v>25000</v>
      </c>
      <c r="J967" s="25" t="s">
        <v>1</v>
      </c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ht="33.75" customHeight="1">
      <c r="A968" s="11" t="s">
        <v>1587</v>
      </c>
      <c r="B968" s="22" t="s">
        <v>323</v>
      </c>
      <c r="C968" s="11" t="s">
        <v>1589</v>
      </c>
      <c r="D968" s="11"/>
      <c r="E968" s="64">
        <v>46051.0</v>
      </c>
      <c r="F968" s="14" t="s">
        <v>287</v>
      </c>
      <c r="G968" s="178">
        <v>25000.0</v>
      </c>
      <c r="H968" s="28"/>
      <c r="I968" s="17">
        <f t="shared" si="29"/>
        <v>25000</v>
      </c>
      <c r="J968" s="25" t="s">
        <v>1</v>
      </c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ht="33.75" customHeight="1">
      <c r="A969" s="11" t="s">
        <v>1587</v>
      </c>
      <c r="B969" s="22" t="s">
        <v>98</v>
      </c>
      <c r="C969" s="11" t="s">
        <v>1590</v>
      </c>
      <c r="D969" s="11"/>
      <c r="E969" s="64">
        <v>46051.0</v>
      </c>
      <c r="F969" s="14" t="s">
        <v>287</v>
      </c>
      <c r="G969" s="178">
        <v>25000.0</v>
      </c>
      <c r="H969" s="28"/>
      <c r="I969" s="17">
        <f t="shared" si="29"/>
        <v>25000</v>
      </c>
      <c r="J969" s="25" t="s">
        <v>1</v>
      </c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ht="33.75" customHeight="1">
      <c r="A970" s="11" t="s">
        <v>1587</v>
      </c>
      <c r="B970" s="22" t="s">
        <v>140</v>
      </c>
      <c r="C970" s="11" t="s">
        <v>1591</v>
      </c>
      <c r="D970" s="11"/>
      <c r="E970" s="64">
        <v>46051.0</v>
      </c>
      <c r="F970" s="14" t="s">
        <v>1141</v>
      </c>
      <c r="G970" s="178">
        <v>20000.0</v>
      </c>
      <c r="H970" s="28"/>
      <c r="I970" s="17">
        <f t="shared" si="29"/>
        <v>20000</v>
      </c>
      <c r="J970" s="25" t="s">
        <v>1</v>
      </c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ht="33.75" customHeight="1">
      <c r="A971" s="11" t="s">
        <v>1583</v>
      </c>
      <c r="B971" s="22"/>
      <c r="C971" s="11" t="s">
        <v>1592</v>
      </c>
      <c r="D971" s="11"/>
      <c r="E971" s="64">
        <v>46051.0</v>
      </c>
      <c r="F971" s="14"/>
      <c r="G971" s="178"/>
      <c r="H971" s="28"/>
      <c r="I971" s="17"/>
      <c r="J971" s="91" t="s">
        <v>3</v>
      </c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33.75" customHeight="1">
      <c r="A972" s="11" t="s">
        <v>386</v>
      </c>
      <c r="B972" s="22" t="s">
        <v>81</v>
      </c>
      <c r="C972" s="11" t="s">
        <v>1593</v>
      </c>
      <c r="D972" s="11"/>
      <c r="E972" s="64">
        <v>46052.0</v>
      </c>
      <c r="F972" s="14" t="s">
        <v>1141</v>
      </c>
      <c r="G972" s="178">
        <v>41000.0</v>
      </c>
      <c r="H972" s="179">
        <v>28244.0</v>
      </c>
      <c r="I972" s="17">
        <f t="shared" ref="I972:I993" si="30">G972-H972</f>
        <v>12756</v>
      </c>
      <c r="J972" s="17" t="s">
        <v>1525</v>
      </c>
      <c r="K972" s="252"/>
      <c r="L972" s="252"/>
      <c r="M972" s="252"/>
      <c r="N972" s="252"/>
      <c r="O972" s="252"/>
      <c r="P972" s="252"/>
      <c r="Q972" s="252"/>
      <c r="R972" s="252"/>
      <c r="S972" s="252"/>
      <c r="T972" s="252"/>
      <c r="U972" s="252"/>
      <c r="V972" s="252"/>
      <c r="W972" s="252"/>
      <c r="X972" s="252"/>
      <c r="Y972" s="252"/>
      <c r="Z972" s="252"/>
    </row>
    <row r="973" ht="33.75" customHeight="1">
      <c r="A973" s="11" t="s">
        <v>1544</v>
      </c>
      <c r="B973" s="22" t="s">
        <v>81</v>
      </c>
      <c r="C973" s="11" t="s">
        <v>1593</v>
      </c>
      <c r="D973" s="11"/>
      <c r="E973" s="64">
        <v>46052.0</v>
      </c>
      <c r="F973" s="14" t="s">
        <v>1141</v>
      </c>
      <c r="G973" s="178">
        <v>5000.0</v>
      </c>
      <c r="H973" s="179">
        <v>2426.0</v>
      </c>
      <c r="I973" s="17">
        <f t="shared" si="30"/>
        <v>2574</v>
      </c>
      <c r="J973" s="17" t="s">
        <v>1525</v>
      </c>
      <c r="K973" s="252"/>
      <c r="L973" s="252"/>
      <c r="M973" s="252"/>
      <c r="N973" s="252"/>
      <c r="O973" s="252"/>
      <c r="P973" s="252"/>
      <c r="Q973" s="252"/>
      <c r="R973" s="252"/>
      <c r="S973" s="252"/>
      <c r="T973" s="252"/>
      <c r="U973" s="252"/>
      <c r="V973" s="252"/>
      <c r="W973" s="252"/>
      <c r="X973" s="252"/>
      <c r="Y973" s="252"/>
      <c r="Z973" s="252"/>
    </row>
    <row r="974" ht="33.75" customHeight="1">
      <c r="A974" s="11" t="s">
        <v>1528</v>
      </c>
      <c r="B974" s="22" t="s">
        <v>81</v>
      </c>
      <c r="C974" s="11" t="s">
        <v>1593</v>
      </c>
      <c r="D974" s="11"/>
      <c r="E974" s="64">
        <v>46052.0</v>
      </c>
      <c r="F974" s="14" t="s">
        <v>1141</v>
      </c>
      <c r="G974" s="178">
        <v>5000.0</v>
      </c>
      <c r="H974" s="179">
        <v>2443.0</v>
      </c>
      <c r="I974" s="17">
        <f t="shared" si="30"/>
        <v>2557</v>
      </c>
      <c r="J974" s="17" t="s">
        <v>1525</v>
      </c>
      <c r="K974" s="252"/>
      <c r="L974" s="252"/>
      <c r="M974" s="252"/>
      <c r="N974" s="252"/>
      <c r="O974" s="252"/>
      <c r="P974" s="252"/>
      <c r="Q974" s="252"/>
      <c r="R974" s="252"/>
      <c r="S974" s="252"/>
      <c r="T974" s="252"/>
      <c r="U974" s="252"/>
      <c r="V974" s="252"/>
      <c r="W974" s="252"/>
      <c r="X974" s="252"/>
      <c r="Y974" s="252"/>
      <c r="Z974" s="252"/>
    </row>
    <row r="975" ht="33.75" customHeight="1">
      <c r="A975" s="11" t="s">
        <v>1545</v>
      </c>
      <c r="B975" s="22" t="s">
        <v>81</v>
      </c>
      <c r="C975" s="11" t="s">
        <v>1593</v>
      </c>
      <c r="D975" s="11"/>
      <c r="E975" s="64">
        <v>46052.0</v>
      </c>
      <c r="F975" s="14" t="s">
        <v>1141</v>
      </c>
      <c r="G975" s="178">
        <v>7000.0</v>
      </c>
      <c r="H975" s="179">
        <v>5003.0</v>
      </c>
      <c r="I975" s="17">
        <f t="shared" si="30"/>
        <v>1997</v>
      </c>
      <c r="J975" s="17" t="s">
        <v>1525</v>
      </c>
      <c r="K975" s="252"/>
      <c r="L975" s="252"/>
      <c r="M975" s="252"/>
      <c r="N975" s="252"/>
      <c r="O975" s="252"/>
      <c r="P975" s="252"/>
      <c r="Q975" s="252"/>
      <c r="R975" s="252"/>
      <c r="S975" s="252"/>
      <c r="T975" s="252"/>
      <c r="U975" s="252"/>
      <c r="V975" s="252"/>
      <c r="W975" s="252"/>
      <c r="X975" s="252"/>
      <c r="Y975" s="252"/>
      <c r="Z975" s="252"/>
    </row>
    <row r="976" ht="33.75" customHeight="1">
      <c r="A976" s="11" t="s">
        <v>1594</v>
      </c>
      <c r="B976" s="22" t="s">
        <v>81</v>
      </c>
      <c r="C976" s="11" t="s">
        <v>1593</v>
      </c>
      <c r="D976" s="11"/>
      <c r="E976" s="64">
        <v>46052.0</v>
      </c>
      <c r="F976" s="14" t="s">
        <v>1141</v>
      </c>
      <c r="G976" s="178">
        <v>10000.0</v>
      </c>
      <c r="H976" s="179">
        <v>3909.0</v>
      </c>
      <c r="I976" s="17">
        <f t="shared" si="30"/>
        <v>6091</v>
      </c>
      <c r="J976" s="17" t="s">
        <v>1525</v>
      </c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  <c r="Y976" s="252"/>
      <c r="Z976" s="252"/>
    </row>
    <row r="977" ht="33.75" customHeight="1">
      <c r="A977" s="11" t="s">
        <v>1595</v>
      </c>
      <c r="B977" s="22" t="s">
        <v>81</v>
      </c>
      <c r="C977" s="11" t="s">
        <v>1596</v>
      </c>
      <c r="D977" s="11"/>
      <c r="E977" s="64">
        <v>46052.0</v>
      </c>
      <c r="F977" s="14" t="s">
        <v>1191</v>
      </c>
      <c r="G977" s="178">
        <v>10000.0</v>
      </c>
      <c r="H977" s="28"/>
      <c r="I977" s="17">
        <f t="shared" si="30"/>
        <v>10000</v>
      </c>
      <c r="J977" s="17" t="s">
        <v>1525</v>
      </c>
      <c r="K977" s="252"/>
      <c r="L977" s="252"/>
      <c r="M977" s="252"/>
      <c r="N977" s="252"/>
      <c r="O977" s="252"/>
      <c r="P977" s="252"/>
      <c r="Q977" s="252"/>
      <c r="R977" s="252"/>
      <c r="S977" s="252"/>
      <c r="T977" s="252"/>
      <c r="U977" s="252"/>
      <c r="V977" s="252"/>
      <c r="W977" s="252"/>
      <c r="X977" s="252"/>
      <c r="Y977" s="252"/>
      <c r="Z977" s="252"/>
    </row>
    <row r="978" ht="33.75" customHeight="1">
      <c r="A978" s="11" t="s">
        <v>693</v>
      </c>
      <c r="B978" s="22" t="s">
        <v>81</v>
      </c>
      <c r="C978" s="11" t="s">
        <v>1596</v>
      </c>
      <c r="D978" s="11"/>
      <c r="E978" s="64">
        <v>46052.0</v>
      </c>
      <c r="F978" s="14" t="s">
        <v>1191</v>
      </c>
      <c r="G978" s="178">
        <v>5000.0</v>
      </c>
      <c r="H978" s="28"/>
      <c r="I978" s="17">
        <f t="shared" si="30"/>
        <v>5000</v>
      </c>
      <c r="J978" s="17" t="s">
        <v>1525</v>
      </c>
      <c r="K978" s="252"/>
      <c r="L978" s="252"/>
      <c r="M978" s="252"/>
      <c r="N978" s="252"/>
      <c r="O978" s="252"/>
      <c r="P978" s="252"/>
      <c r="Q978" s="252"/>
      <c r="R978" s="252"/>
      <c r="S978" s="252"/>
      <c r="T978" s="252"/>
      <c r="U978" s="252"/>
      <c r="V978" s="252"/>
      <c r="W978" s="252"/>
      <c r="X978" s="252"/>
      <c r="Y978" s="252"/>
      <c r="Z978" s="252"/>
    </row>
    <row r="979" ht="33.75" customHeight="1">
      <c r="A979" s="11" t="s">
        <v>695</v>
      </c>
      <c r="B979" s="22" t="s">
        <v>81</v>
      </c>
      <c r="C979" s="11" t="s">
        <v>1596</v>
      </c>
      <c r="D979" s="11"/>
      <c r="E979" s="64">
        <v>46052.0</v>
      </c>
      <c r="F979" s="14" t="s">
        <v>1191</v>
      </c>
      <c r="G979" s="178">
        <v>10000.0</v>
      </c>
      <c r="H979" s="28"/>
      <c r="I979" s="17">
        <f t="shared" si="30"/>
        <v>10000</v>
      </c>
      <c r="J979" s="17" t="s">
        <v>1525</v>
      </c>
      <c r="K979" s="252"/>
      <c r="L979" s="252"/>
      <c r="M979" s="252"/>
      <c r="N979" s="252"/>
      <c r="O979" s="252"/>
      <c r="P979" s="252"/>
      <c r="Q979" s="252"/>
      <c r="R979" s="252"/>
      <c r="S979" s="252"/>
      <c r="T979" s="252"/>
      <c r="U979" s="252"/>
      <c r="V979" s="252"/>
      <c r="W979" s="252"/>
      <c r="X979" s="252"/>
      <c r="Y979" s="252"/>
      <c r="Z979" s="252"/>
    </row>
    <row r="980" ht="33.75" customHeight="1">
      <c r="A980" s="11" t="s">
        <v>1177</v>
      </c>
      <c r="B980" s="22" t="s">
        <v>81</v>
      </c>
      <c r="C980" s="11" t="s">
        <v>1596</v>
      </c>
      <c r="D980" s="11"/>
      <c r="E980" s="64">
        <v>46052.0</v>
      </c>
      <c r="F980" s="14" t="s">
        <v>287</v>
      </c>
      <c r="G980" s="178">
        <v>10000.0</v>
      </c>
      <c r="H980" s="28"/>
      <c r="I980" s="17">
        <f t="shared" si="30"/>
        <v>10000</v>
      </c>
      <c r="J980" s="39" t="s">
        <v>1</v>
      </c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ht="33.75" customHeight="1">
      <c r="A981" s="11" t="s">
        <v>609</v>
      </c>
      <c r="B981" s="22" t="s">
        <v>81</v>
      </c>
      <c r="C981" s="11" t="s">
        <v>1596</v>
      </c>
      <c r="D981" s="11"/>
      <c r="E981" s="64">
        <v>46052.0</v>
      </c>
      <c r="F981" s="14" t="s">
        <v>287</v>
      </c>
      <c r="G981" s="178">
        <v>5000.0</v>
      </c>
      <c r="H981" s="28"/>
      <c r="I981" s="17">
        <f t="shared" si="30"/>
        <v>5000</v>
      </c>
      <c r="J981" s="39" t="s">
        <v>1</v>
      </c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ht="33.75" customHeight="1">
      <c r="A982" s="11" t="s">
        <v>1546</v>
      </c>
      <c r="B982" s="22" t="s">
        <v>81</v>
      </c>
      <c r="C982" s="11" t="s">
        <v>1596</v>
      </c>
      <c r="D982" s="11"/>
      <c r="E982" s="64">
        <v>46052.0</v>
      </c>
      <c r="F982" s="14" t="s">
        <v>287</v>
      </c>
      <c r="G982" s="178">
        <v>10000.0</v>
      </c>
      <c r="H982" s="28"/>
      <c r="I982" s="17">
        <f t="shared" si="30"/>
        <v>10000</v>
      </c>
      <c r="J982" s="39" t="s">
        <v>1</v>
      </c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ht="33.75" customHeight="1">
      <c r="A983" s="11" t="s">
        <v>1548</v>
      </c>
      <c r="B983" s="22" t="s">
        <v>81</v>
      </c>
      <c r="C983" s="11" t="s">
        <v>1596</v>
      </c>
      <c r="D983" s="11"/>
      <c r="E983" s="64">
        <v>46052.0</v>
      </c>
      <c r="F983" s="14" t="s">
        <v>287</v>
      </c>
      <c r="G983" s="178">
        <v>5000.0</v>
      </c>
      <c r="H983" s="28"/>
      <c r="I983" s="17">
        <f t="shared" si="30"/>
        <v>5000</v>
      </c>
      <c r="J983" s="39" t="s">
        <v>1</v>
      </c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ht="33.75" customHeight="1">
      <c r="A984" s="11" t="s">
        <v>1549</v>
      </c>
      <c r="B984" s="22" t="s">
        <v>81</v>
      </c>
      <c r="C984" s="11" t="s">
        <v>1596</v>
      </c>
      <c r="D984" s="11"/>
      <c r="E984" s="64">
        <v>46052.0</v>
      </c>
      <c r="F984" s="14" t="s">
        <v>287</v>
      </c>
      <c r="G984" s="178">
        <v>10000.0</v>
      </c>
      <c r="H984" s="28"/>
      <c r="I984" s="17">
        <f t="shared" si="30"/>
        <v>10000</v>
      </c>
      <c r="J984" s="39" t="s">
        <v>1</v>
      </c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ht="33.75" customHeight="1">
      <c r="A985" s="11" t="s">
        <v>1104</v>
      </c>
      <c r="B985" s="22" t="s">
        <v>88</v>
      </c>
      <c r="C985" s="11" t="s">
        <v>1597</v>
      </c>
      <c r="D985" s="11"/>
      <c r="E985" s="64">
        <v>46052.0</v>
      </c>
      <c r="F985" s="14" t="s">
        <v>287</v>
      </c>
      <c r="G985" s="178">
        <v>5787.0</v>
      </c>
      <c r="H985" s="28"/>
      <c r="I985" s="17">
        <f t="shared" si="30"/>
        <v>5787</v>
      </c>
      <c r="J985" s="39" t="s">
        <v>1</v>
      </c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ht="33.75" customHeight="1">
      <c r="A986" s="11" t="s">
        <v>1516</v>
      </c>
      <c r="B986" s="22" t="s">
        <v>1598</v>
      </c>
      <c r="C986" s="11" t="s">
        <v>1537</v>
      </c>
      <c r="D986" s="11"/>
      <c r="E986" s="64">
        <v>46052.0</v>
      </c>
      <c r="F986" s="14" t="s">
        <v>1141</v>
      </c>
      <c r="G986" s="178">
        <v>8101.0</v>
      </c>
      <c r="H986" s="179">
        <v>5040.0</v>
      </c>
      <c r="I986" s="17">
        <f t="shared" si="30"/>
        <v>3061</v>
      </c>
      <c r="J986" s="39" t="s">
        <v>1</v>
      </c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ht="33.75" customHeight="1">
      <c r="A987" s="11" t="s">
        <v>109</v>
      </c>
      <c r="B987" s="22" t="s">
        <v>1599</v>
      </c>
      <c r="C987" s="11" t="s">
        <v>1600</v>
      </c>
      <c r="D987" s="11"/>
      <c r="E987" s="64">
        <v>46052.0</v>
      </c>
      <c r="F987" s="14" t="s">
        <v>1141</v>
      </c>
      <c r="G987" s="178">
        <v>9850.0</v>
      </c>
      <c r="H987" s="179">
        <v>6593.0</v>
      </c>
      <c r="I987" s="17">
        <f t="shared" si="30"/>
        <v>3257</v>
      </c>
      <c r="J987" s="39" t="s">
        <v>1</v>
      </c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ht="33.75" customHeight="1">
      <c r="A988" s="11" t="s">
        <v>1587</v>
      </c>
      <c r="B988" s="22" t="s">
        <v>37</v>
      </c>
      <c r="C988" s="11" t="s">
        <v>1601</v>
      </c>
      <c r="D988" s="11"/>
      <c r="E988" s="64">
        <v>46052.0</v>
      </c>
      <c r="F988" s="14" t="s">
        <v>287</v>
      </c>
      <c r="G988" s="178">
        <v>42537.0</v>
      </c>
      <c r="H988" s="28"/>
      <c r="I988" s="17">
        <f t="shared" si="30"/>
        <v>42537</v>
      </c>
      <c r="J988" s="253" t="s">
        <v>1</v>
      </c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</row>
    <row r="989" ht="33.75" customHeight="1">
      <c r="A989" s="11" t="s">
        <v>135</v>
      </c>
      <c r="B989" s="22" t="s">
        <v>1602</v>
      </c>
      <c r="C989" s="11" t="s">
        <v>1603</v>
      </c>
      <c r="D989" s="11"/>
      <c r="E989" s="64">
        <v>46052.0</v>
      </c>
      <c r="F989" s="14" t="s">
        <v>1141</v>
      </c>
      <c r="G989" s="178">
        <v>23037.0</v>
      </c>
      <c r="H989" s="16">
        <v>20983.0</v>
      </c>
      <c r="I989" s="17">
        <f t="shared" si="30"/>
        <v>2054</v>
      </c>
      <c r="J989" s="39" t="s">
        <v>1</v>
      </c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ht="33.75" customHeight="1">
      <c r="A990" s="11" t="s">
        <v>1535</v>
      </c>
      <c r="B990" s="22" t="s">
        <v>799</v>
      </c>
      <c r="C990" s="11" t="s">
        <v>1604</v>
      </c>
      <c r="D990" s="11"/>
      <c r="E990" s="64">
        <v>46052.0</v>
      </c>
      <c r="F990" s="14" t="s">
        <v>1191</v>
      </c>
      <c r="G990" s="15" t="s">
        <v>1605</v>
      </c>
      <c r="H990" s="28"/>
      <c r="I990" s="17">
        <f t="shared" si="30"/>
        <v>1171</v>
      </c>
      <c r="J990" s="254" t="s">
        <v>1606</v>
      </c>
      <c r="K990" s="223"/>
      <c r="L990" s="223"/>
      <c r="M990" s="223"/>
      <c r="N990" s="223"/>
      <c r="O990" s="223"/>
      <c r="P990" s="223"/>
      <c r="Q990" s="223"/>
      <c r="R990" s="223"/>
      <c r="S990" s="223"/>
      <c r="T990" s="223"/>
      <c r="U990" s="223"/>
      <c r="V990" s="223"/>
      <c r="W990" s="223"/>
      <c r="X990" s="223"/>
      <c r="Y990" s="223"/>
      <c r="Z990" s="223"/>
    </row>
    <row r="991" ht="33.75" customHeight="1">
      <c r="A991" s="11" t="s">
        <v>1587</v>
      </c>
      <c r="B991" s="22" t="s">
        <v>433</v>
      </c>
      <c r="C991" s="11" t="s">
        <v>1607</v>
      </c>
      <c r="D991" s="11"/>
      <c r="E991" s="64">
        <v>46052.0</v>
      </c>
      <c r="F991" s="14" t="s">
        <v>287</v>
      </c>
      <c r="G991" s="178">
        <v>39708.0</v>
      </c>
      <c r="H991" s="28"/>
      <c r="I991" s="17">
        <f t="shared" si="30"/>
        <v>39708</v>
      </c>
      <c r="J991" s="220" t="s">
        <v>1</v>
      </c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</row>
    <row r="992" ht="33.75" customHeight="1">
      <c r="A992" s="11" t="s">
        <v>1583</v>
      </c>
      <c r="B992" s="22" t="s">
        <v>1608</v>
      </c>
      <c r="C992" s="11" t="s">
        <v>1592</v>
      </c>
      <c r="D992" s="11"/>
      <c r="E992" s="76">
        <v>46052.0</v>
      </c>
      <c r="F992" s="14" t="s">
        <v>1141</v>
      </c>
      <c r="G992" s="178">
        <v>2260.0</v>
      </c>
      <c r="H992" s="16">
        <v>1932.0</v>
      </c>
      <c r="I992" s="17">
        <f t="shared" si="30"/>
        <v>328</v>
      </c>
      <c r="J992" s="16" t="s">
        <v>1606</v>
      </c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ht="33.75" customHeight="1">
      <c r="A993" s="11" t="s">
        <v>1587</v>
      </c>
      <c r="B993" s="22" t="s">
        <v>34</v>
      </c>
      <c r="C993" s="11" t="s">
        <v>1609</v>
      </c>
      <c r="D993" s="11"/>
      <c r="E993" s="76">
        <v>46052.0</v>
      </c>
      <c r="F993" s="14" t="s">
        <v>287</v>
      </c>
      <c r="G993" s="178">
        <v>42534.0</v>
      </c>
      <c r="H993" s="28"/>
      <c r="I993" s="17">
        <f t="shared" si="30"/>
        <v>42534</v>
      </c>
      <c r="J993" s="220" t="s">
        <v>1</v>
      </c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</row>
    <row r="994" ht="33.75" customHeight="1">
      <c r="A994" s="11" t="s">
        <v>785</v>
      </c>
      <c r="B994" s="22" t="s">
        <v>34</v>
      </c>
      <c r="C994" s="11" t="s">
        <v>1610</v>
      </c>
      <c r="D994" s="11"/>
      <c r="E994" s="76">
        <v>46052.0</v>
      </c>
      <c r="F994" s="14" t="s">
        <v>17</v>
      </c>
      <c r="G994" s="39">
        <v>12001.0</v>
      </c>
      <c r="H994" s="28"/>
      <c r="I994" s="255"/>
      <c r="J994" s="39" t="s">
        <v>1</v>
      </c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ht="33.75" customHeight="1">
      <c r="A995" s="11" t="s">
        <v>884</v>
      </c>
      <c r="B995" s="22" t="s">
        <v>98</v>
      </c>
      <c r="C995" s="11" t="s">
        <v>1611</v>
      </c>
      <c r="D995" s="11"/>
      <c r="E995" s="76">
        <v>46052.0</v>
      </c>
      <c r="F995" s="14" t="s">
        <v>17</v>
      </c>
      <c r="G995" s="178">
        <v>46827.0</v>
      </c>
      <c r="H995" s="28"/>
      <c r="I995" s="17">
        <f t="shared" ref="I995:I1064" si="31">G995-H995</f>
        <v>46827</v>
      </c>
      <c r="J995" s="39" t="s">
        <v>1</v>
      </c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ht="33.75" customHeight="1">
      <c r="A996" s="11" t="s">
        <v>1583</v>
      </c>
      <c r="B996" s="22"/>
      <c r="C996" s="11" t="s">
        <v>1592</v>
      </c>
      <c r="D996" s="11"/>
      <c r="E996" s="76">
        <v>46052.0</v>
      </c>
      <c r="F996" s="14" t="s">
        <v>1141</v>
      </c>
      <c r="G996" s="256">
        <v>10000.0</v>
      </c>
      <c r="H996" s="16">
        <v>0.0</v>
      </c>
      <c r="I996" s="17">
        <f t="shared" si="31"/>
        <v>10000</v>
      </c>
      <c r="J996" s="222" t="s">
        <v>1139</v>
      </c>
      <c r="K996" s="223"/>
      <c r="L996" s="223"/>
      <c r="M996" s="223"/>
      <c r="N996" s="223"/>
      <c r="O996" s="223"/>
      <c r="P996" s="223"/>
      <c r="Q996" s="223"/>
      <c r="R996" s="223"/>
      <c r="S996" s="223"/>
      <c r="T996" s="223"/>
      <c r="U996" s="223"/>
      <c r="V996" s="223"/>
      <c r="W996" s="223"/>
      <c r="X996" s="223"/>
      <c r="Y996" s="223"/>
      <c r="Z996" s="223"/>
    </row>
    <row r="997" ht="33.75" customHeight="1">
      <c r="A997" s="11" t="s">
        <v>1587</v>
      </c>
      <c r="B997" s="22" t="s">
        <v>15</v>
      </c>
      <c r="C997" s="11" t="s">
        <v>1612</v>
      </c>
      <c r="D997" s="11"/>
      <c r="E997" s="76">
        <v>46052.0</v>
      </c>
      <c r="F997" s="14" t="s">
        <v>287</v>
      </c>
      <c r="G997" s="178">
        <v>42855.0</v>
      </c>
      <c r="H997" s="28"/>
      <c r="I997" s="17">
        <f t="shared" si="31"/>
        <v>42855</v>
      </c>
      <c r="J997" s="220" t="s">
        <v>1</v>
      </c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</row>
    <row r="998" ht="33.75" customHeight="1">
      <c r="A998" s="11" t="s">
        <v>266</v>
      </c>
      <c r="B998" s="22" t="s">
        <v>15</v>
      </c>
      <c r="C998" s="11" t="s">
        <v>1613</v>
      </c>
      <c r="D998" s="11"/>
      <c r="E998" s="76">
        <v>46052.0</v>
      </c>
      <c r="F998" s="14" t="s">
        <v>17</v>
      </c>
      <c r="G998" s="178">
        <v>10000.0</v>
      </c>
      <c r="H998" s="28"/>
      <c r="I998" s="17">
        <f t="shared" si="31"/>
        <v>10000</v>
      </c>
      <c r="J998" s="39" t="s">
        <v>1</v>
      </c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ht="33.75" customHeight="1">
      <c r="A999" s="11" t="s">
        <v>539</v>
      </c>
      <c r="B999" s="22" t="s">
        <v>34</v>
      </c>
      <c r="C999" s="11" t="s">
        <v>1614</v>
      </c>
      <c r="D999" s="11"/>
      <c r="E999" s="76">
        <v>46052.0</v>
      </c>
      <c r="F999" s="14" t="s">
        <v>1141</v>
      </c>
      <c r="G999" s="178">
        <v>12000.0</v>
      </c>
      <c r="H999" s="179">
        <v>11320.0</v>
      </c>
      <c r="I999" s="17">
        <f t="shared" si="31"/>
        <v>680</v>
      </c>
      <c r="J999" s="17" t="s">
        <v>1</v>
      </c>
      <c r="K999" s="252"/>
      <c r="L999" s="252"/>
      <c r="M999" s="252"/>
      <c r="N999" s="252"/>
      <c r="O999" s="252"/>
      <c r="P999" s="252"/>
      <c r="Q999" s="252"/>
      <c r="R999" s="252"/>
      <c r="S999" s="252"/>
      <c r="T999" s="252"/>
      <c r="U999" s="252"/>
      <c r="V999" s="252"/>
      <c r="W999" s="252"/>
      <c r="X999" s="252"/>
      <c r="Y999" s="252"/>
      <c r="Z999" s="252"/>
    </row>
    <row r="1000" ht="33.75" customHeight="1">
      <c r="A1000" s="11" t="s">
        <v>534</v>
      </c>
      <c r="B1000" s="22" t="s">
        <v>34</v>
      </c>
      <c r="C1000" s="11" t="s">
        <v>1615</v>
      </c>
      <c r="D1000" s="11"/>
      <c r="E1000" s="76">
        <v>46052.0</v>
      </c>
      <c r="F1000" s="14" t="s">
        <v>1191</v>
      </c>
      <c r="G1000" s="178">
        <v>26000.0</v>
      </c>
      <c r="H1000" s="179"/>
      <c r="I1000" s="17">
        <f t="shared" si="31"/>
        <v>26000</v>
      </c>
      <c r="J1000" s="17" t="s">
        <v>1525</v>
      </c>
      <c r="K1000" s="252"/>
      <c r="L1000" s="252"/>
      <c r="M1000" s="252"/>
      <c r="N1000" s="252"/>
      <c r="O1000" s="252"/>
      <c r="P1000" s="252"/>
      <c r="Q1000" s="252"/>
      <c r="R1000" s="252"/>
      <c r="S1000" s="252"/>
      <c r="T1000" s="252"/>
      <c r="U1000" s="252"/>
      <c r="V1000" s="252"/>
      <c r="W1000" s="252"/>
      <c r="X1000" s="252"/>
      <c r="Y1000" s="252"/>
      <c r="Z1000" s="252"/>
    </row>
    <row r="1001" ht="33.75" customHeight="1">
      <c r="A1001" s="11" t="s">
        <v>378</v>
      </c>
      <c r="B1001" s="22" t="s">
        <v>19</v>
      </c>
      <c r="C1001" s="11" t="s">
        <v>1616</v>
      </c>
      <c r="D1001" s="11"/>
      <c r="E1001" s="76">
        <v>46052.0</v>
      </c>
      <c r="F1001" s="14" t="s">
        <v>1141</v>
      </c>
      <c r="G1001" s="178">
        <v>13000.0</v>
      </c>
      <c r="H1001" s="179">
        <v>11131.0</v>
      </c>
      <c r="I1001" s="17">
        <f t="shared" si="31"/>
        <v>1869</v>
      </c>
      <c r="J1001" s="17" t="s">
        <v>1</v>
      </c>
      <c r="K1001" s="252"/>
      <c r="L1001" s="252"/>
      <c r="M1001" s="252"/>
      <c r="N1001" s="252"/>
      <c r="O1001" s="252"/>
      <c r="P1001" s="252"/>
      <c r="Q1001" s="252"/>
      <c r="R1001" s="252"/>
      <c r="S1001" s="252"/>
      <c r="T1001" s="252"/>
      <c r="U1001" s="252"/>
      <c r="V1001" s="252"/>
      <c r="W1001" s="252"/>
      <c r="X1001" s="252"/>
      <c r="Y1001" s="252"/>
      <c r="Z1001" s="252"/>
    </row>
    <row r="1002" ht="33.75" customHeight="1">
      <c r="A1002" s="11" t="s">
        <v>1351</v>
      </c>
      <c r="B1002" s="22" t="s">
        <v>1011</v>
      </c>
      <c r="C1002" s="11" t="s">
        <v>1617</v>
      </c>
      <c r="D1002" s="11"/>
      <c r="E1002" s="64">
        <v>46053.0</v>
      </c>
      <c r="F1002" s="14" t="s">
        <v>1141</v>
      </c>
      <c r="G1002" s="178">
        <v>10000.0</v>
      </c>
      <c r="H1002" s="179">
        <v>7559.0</v>
      </c>
      <c r="I1002" s="17">
        <f t="shared" si="31"/>
        <v>2441</v>
      </c>
      <c r="J1002" s="17" t="s">
        <v>1</v>
      </c>
      <c r="K1002" s="252"/>
      <c r="L1002" s="252"/>
      <c r="M1002" s="252"/>
      <c r="N1002" s="252"/>
      <c r="O1002" s="252"/>
      <c r="P1002" s="252"/>
      <c r="Q1002" s="252"/>
      <c r="R1002" s="252"/>
      <c r="S1002" s="252"/>
      <c r="T1002" s="252"/>
      <c r="U1002" s="252"/>
      <c r="V1002" s="252"/>
      <c r="W1002" s="252"/>
      <c r="X1002" s="252"/>
      <c r="Y1002" s="252"/>
      <c r="Z1002" s="252"/>
    </row>
    <row r="1003" ht="33.75" customHeight="1">
      <c r="A1003" s="11" t="s">
        <v>1587</v>
      </c>
      <c r="B1003" s="22" t="s">
        <v>1618</v>
      </c>
      <c r="C1003" s="11" t="s">
        <v>1619</v>
      </c>
      <c r="D1003" s="11"/>
      <c r="E1003" s="64">
        <v>46053.0</v>
      </c>
      <c r="F1003" s="14" t="s">
        <v>287</v>
      </c>
      <c r="G1003" s="178">
        <v>46650.0</v>
      </c>
      <c r="H1003" s="28"/>
      <c r="I1003" s="17">
        <f t="shared" si="31"/>
        <v>46650</v>
      </c>
      <c r="J1003" s="220" t="s">
        <v>1</v>
      </c>
      <c r="K1003" s="221"/>
      <c r="L1003" s="221"/>
      <c r="M1003" s="221"/>
      <c r="N1003" s="221"/>
      <c r="O1003" s="221"/>
      <c r="P1003" s="221"/>
      <c r="Q1003" s="221"/>
      <c r="R1003" s="221"/>
      <c r="S1003" s="221"/>
      <c r="T1003" s="221"/>
      <c r="U1003" s="221"/>
      <c r="V1003" s="221"/>
      <c r="W1003" s="221"/>
      <c r="X1003" s="221"/>
      <c r="Y1003" s="221"/>
      <c r="Z1003" s="221"/>
    </row>
    <row r="1004" ht="33.75" customHeight="1">
      <c r="A1004" s="11" t="s">
        <v>1587</v>
      </c>
      <c r="B1004" s="22" t="s">
        <v>49</v>
      </c>
      <c r="C1004" s="11" t="s">
        <v>1620</v>
      </c>
      <c r="D1004" s="11"/>
      <c r="E1004" s="64">
        <v>46053.0</v>
      </c>
      <c r="F1004" s="14" t="s">
        <v>287</v>
      </c>
      <c r="G1004" s="178">
        <v>46652.0</v>
      </c>
      <c r="H1004" s="28"/>
      <c r="I1004" s="17">
        <f t="shared" si="31"/>
        <v>46652</v>
      </c>
      <c r="J1004" s="25" t="s">
        <v>1</v>
      </c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ht="33.75" customHeight="1">
      <c r="A1005" s="11" t="s">
        <v>1389</v>
      </c>
      <c r="B1005" s="22" t="s">
        <v>49</v>
      </c>
      <c r="C1005" s="11" t="s">
        <v>1621</v>
      </c>
      <c r="D1005" s="11"/>
      <c r="E1005" s="64">
        <v>46053.0</v>
      </c>
      <c r="F1005" s="14" t="s">
        <v>1141</v>
      </c>
      <c r="G1005" s="178">
        <v>12135.0</v>
      </c>
      <c r="H1005" s="16">
        <v>10676.0</v>
      </c>
      <c r="I1005" s="17">
        <f t="shared" si="31"/>
        <v>1459</v>
      </c>
      <c r="J1005" s="25" t="s">
        <v>1</v>
      </c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ht="33.75" customHeight="1">
      <c r="A1006" s="11" t="s">
        <v>77</v>
      </c>
      <c r="B1006" s="22" t="s">
        <v>49</v>
      </c>
      <c r="C1006" s="11" t="s">
        <v>1622</v>
      </c>
      <c r="D1006" s="11"/>
      <c r="E1006" s="64">
        <v>46053.0</v>
      </c>
      <c r="F1006" s="14" t="s">
        <v>26</v>
      </c>
      <c r="G1006" s="178">
        <v>20476.0</v>
      </c>
      <c r="H1006" s="28"/>
      <c r="I1006" s="17">
        <f t="shared" si="31"/>
        <v>20476</v>
      </c>
      <c r="J1006" s="222" t="s">
        <v>1623</v>
      </c>
      <c r="K1006" s="223"/>
      <c r="L1006" s="223"/>
      <c r="M1006" s="223"/>
      <c r="N1006" s="223"/>
      <c r="O1006" s="223"/>
      <c r="P1006" s="223"/>
      <c r="Q1006" s="223"/>
      <c r="R1006" s="223"/>
      <c r="S1006" s="223"/>
      <c r="T1006" s="223"/>
      <c r="U1006" s="223"/>
      <c r="V1006" s="223"/>
      <c r="W1006" s="223"/>
      <c r="X1006" s="223"/>
      <c r="Y1006" s="223"/>
      <c r="Z1006" s="223"/>
    </row>
    <row r="1007" ht="33.75" customHeight="1">
      <c r="A1007" s="11" t="s">
        <v>1624</v>
      </c>
      <c r="B1007" s="22" t="s">
        <v>1625</v>
      </c>
      <c r="C1007" s="11" t="s">
        <v>1626</v>
      </c>
      <c r="D1007" s="11"/>
      <c r="E1007" s="64">
        <v>46053.0</v>
      </c>
      <c r="F1007" s="14" t="s">
        <v>17</v>
      </c>
      <c r="G1007" s="178">
        <v>5000.0</v>
      </c>
      <c r="H1007" s="28"/>
      <c r="I1007" s="17">
        <f t="shared" si="31"/>
        <v>5000</v>
      </c>
      <c r="J1007" s="25" t="s">
        <v>1</v>
      </c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 ht="33.75" customHeight="1">
      <c r="A1008" s="11" t="s">
        <v>1177</v>
      </c>
      <c r="B1008" s="22" t="s">
        <v>1625</v>
      </c>
      <c r="C1008" s="11" t="s">
        <v>1626</v>
      </c>
      <c r="D1008" s="11"/>
      <c r="E1008" s="64">
        <v>46053.0</v>
      </c>
      <c r="F1008" s="14" t="s">
        <v>17</v>
      </c>
      <c r="G1008" s="178">
        <v>10000.0</v>
      </c>
      <c r="H1008" s="28"/>
      <c r="I1008" s="17">
        <f t="shared" si="31"/>
        <v>10000</v>
      </c>
      <c r="J1008" s="25" t="s">
        <v>1</v>
      </c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 ht="33.75" customHeight="1">
      <c r="A1009" s="11" t="s">
        <v>609</v>
      </c>
      <c r="B1009" s="22" t="s">
        <v>1625</v>
      </c>
      <c r="C1009" s="11" t="s">
        <v>1626</v>
      </c>
      <c r="D1009" s="11"/>
      <c r="E1009" s="64">
        <v>46053.0</v>
      </c>
      <c r="F1009" s="14" t="s">
        <v>17</v>
      </c>
      <c r="G1009" s="178">
        <v>5000.0</v>
      </c>
      <c r="H1009" s="28"/>
      <c r="I1009" s="17">
        <f t="shared" si="31"/>
        <v>5000</v>
      </c>
      <c r="J1009" s="25" t="s">
        <v>1</v>
      </c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 ht="33.75" customHeight="1">
      <c r="A1010" s="11" t="s">
        <v>1587</v>
      </c>
      <c r="B1010" s="22" t="s">
        <v>1627</v>
      </c>
      <c r="C1010" s="11" t="s">
        <v>1628</v>
      </c>
      <c r="D1010" s="11"/>
      <c r="E1010" s="64">
        <v>46053.0</v>
      </c>
      <c r="F1010" s="14" t="s">
        <v>287</v>
      </c>
      <c r="G1010" s="178">
        <v>46651.0</v>
      </c>
      <c r="H1010" s="28"/>
      <c r="I1010" s="17">
        <f t="shared" si="31"/>
        <v>46651</v>
      </c>
      <c r="J1010" s="25" t="s">
        <v>1</v>
      </c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 ht="33.75" customHeight="1">
      <c r="A1011" s="11" t="s">
        <v>1629</v>
      </c>
      <c r="B1011" s="22" t="s">
        <v>85</v>
      </c>
      <c r="C1011" s="11" t="s">
        <v>1630</v>
      </c>
      <c r="D1011" s="11"/>
      <c r="E1011" s="64">
        <v>46053.0</v>
      </c>
      <c r="F1011" s="14" t="s">
        <v>17</v>
      </c>
      <c r="G1011" s="178">
        <v>49790.0</v>
      </c>
      <c r="H1011" s="28"/>
      <c r="I1011" s="17">
        <f t="shared" si="31"/>
        <v>49790</v>
      </c>
      <c r="J1011" s="25" t="s">
        <v>1</v>
      </c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  <row r="1012" ht="33.75" customHeight="1">
      <c r="A1012" s="11" t="s">
        <v>1587</v>
      </c>
      <c r="B1012" s="22" t="s">
        <v>62</v>
      </c>
      <c r="C1012" s="11" t="s">
        <v>1631</v>
      </c>
      <c r="D1012" s="11"/>
      <c r="E1012" s="64">
        <v>46053.0</v>
      </c>
      <c r="F1012" s="14" t="s">
        <v>287</v>
      </c>
      <c r="G1012" s="178">
        <v>46652.0</v>
      </c>
      <c r="H1012" s="28"/>
      <c r="I1012" s="17">
        <f t="shared" si="31"/>
        <v>46652</v>
      </c>
      <c r="J1012" s="25" t="s">
        <v>1</v>
      </c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</row>
    <row r="1013" ht="33.75" customHeight="1">
      <c r="A1013" s="11" t="s">
        <v>1334</v>
      </c>
      <c r="B1013" s="22" t="s">
        <v>31</v>
      </c>
      <c r="C1013" s="11" t="s">
        <v>1632</v>
      </c>
      <c r="D1013" s="11"/>
      <c r="E1013" s="64">
        <v>46053.0</v>
      </c>
      <c r="F1013" s="14" t="s">
        <v>17</v>
      </c>
      <c r="G1013" s="178">
        <v>30481.0</v>
      </c>
      <c r="H1013" s="28"/>
      <c r="I1013" s="17">
        <f t="shared" si="31"/>
        <v>30481</v>
      </c>
      <c r="J1013" s="25" t="s">
        <v>1</v>
      </c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</row>
    <row r="1014" ht="33.75" customHeight="1">
      <c r="A1014" s="11" t="s">
        <v>752</v>
      </c>
      <c r="B1014" s="22" t="s">
        <v>31</v>
      </c>
      <c r="C1014" s="11" t="s">
        <v>1633</v>
      </c>
      <c r="D1014" s="11"/>
      <c r="E1014" s="64">
        <v>46053.0</v>
      </c>
      <c r="F1014" s="14" t="s">
        <v>17</v>
      </c>
      <c r="G1014" s="178">
        <v>4912.0</v>
      </c>
      <c r="H1014" s="28"/>
      <c r="I1014" s="17">
        <f t="shared" si="31"/>
        <v>4912</v>
      </c>
      <c r="J1014" s="25" t="s">
        <v>1</v>
      </c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</row>
    <row r="1015" ht="33.75" customHeight="1">
      <c r="A1015" s="11" t="s">
        <v>1280</v>
      </c>
      <c r="B1015" s="22" t="s">
        <v>260</v>
      </c>
      <c r="C1015" s="11" t="s">
        <v>1634</v>
      </c>
      <c r="D1015" s="11"/>
      <c r="E1015" s="64">
        <v>46053.0</v>
      </c>
      <c r="F1015" s="14" t="s">
        <v>1191</v>
      </c>
      <c r="G1015" s="178">
        <v>47217.0</v>
      </c>
      <c r="H1015" s="16">
        <v>15976.0</v>
      </c>
      <c r="I1015" s="17">
        <f t="shared" si="31"/>
        <v>31241</v>
      </c>
      <c r="J1015" s="25" t="s">
        <v>1</v>
      </c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</row>
    <row r="1016" ht="33.75" customHeight="1">
      <c r="A1016" s="11" t="s">
        <v>184</v>
      </c>
      <c r="B1016" s="22" t="s">
        <v>260</v>
      </c>
      <c r="C1016" s="11" t="s">
        <v>1635</v>
      </c>
      <c r="D1016" s="11"/>
      <c r="E1016" s="64">
        <v>46053.0</v>
      </c>
      <c r="F1016" s="14" t="s">
        <v>1141</v>
      </c>
      <c r="G1016" s="257">
        <v>87151.0</v>
      </c>
      <c r="H1016" s="16">
        <v>68200.0</v>
      </c>
      <c r="I1016" s="17">
        <f t="shared" si="31"/>
        <v>18951</v>
      </c>
      <c r="J1016" s="25" t="s">
        <v>1</v>
      </c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</row>
    <row r="1017" ht="33.75" customHeight="1">
      <c r="A1017" s="11" t="s">
        <v>785</v>
      </c>
      <c r="B1017" s="22" t="s">
        <v>91</v>
      </c>
      <c r="C1017" s="11" t="s">
        <v>1636</v>
      </c>
      <c r="D1017" s="11"/>
      <c r="E1017" s="64">
        <v>46053.0</v>
      </c>
      <c r="F1017" s="14" t="s">
        <v>17</v>
      </c>
      <c r="G1017" s="178">
        <v>46401.0</v>
      </c>
      <c r="H1017" s="28"/>
      <c r="I1017" s="17">
        <f t="shared" si="31"/>
        <v>46401</v>
      </c>
      <c r="J1017" s="25" t="s">
        <v>1</v>
      </c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</row>
    <row r="1018" ht="33.75" customHeight="1">
      <c r="A1018" s="11" t="s">
        <v>216</v>
      </c>
      <c r="B1018" s="22" t="s">
        <v>125</v>
      </c>
      <c r="C1018" s="11" t="s">
        <v>1637</v>
      </c>
      <c r="D1018" s="11"/>
      <c r="E1018" s="64">
        <v>46053.0</v>
      </c>
      <c r="F1018" s="14" t="s">
        <v>287</v>
      </c>
      <c r="G1018" s="178">
        <v>45866.0</v>
      </c>
      <c r="H1018" s="28"/>
      <c r="I1018" s="17">
        <f t="shared" si="31"/>
        <v>45866</v>
      </c>
      <c r="J1018" s="220" t="s">
        <v>1</v>
      </c>
      <c r="K1018" s="221"/>
      <c r="L1018" s="221"/>
      <c r="M1018" s="221"/>
      <c r="N1018" s="221"/>
      <c r="O1018" s="221"/>
      <c r="P1018" s="221"/>
      <c r="Q1018" s="221"/>
      <c r="R1018" s="221"/>
      <c r="S1018" s="221"/>
      <c r="T1018" s="221"/>
      <c r="U1018" s="221"/>
      <c r="V1018" s="221"/>
      <c r="W1018" s="221"/>
      <c r="X1018" s="221"/>
      <c r="Y1018" s="221"/>
      <c r="Z1018" s="221"/>
    </row>
    <row r="1019" ht="33.75" customHeight="1">
      <c r="A1019" s="11" t="s">
        <v>1496</v>
      </c>
      <c r="B1019" s="22" t="s">
        <v>619</v>
      </c>
      <c r="C1019" s="11" t="s">
        <v>1638</v>
      </c>
      <c r="D1019" s="11"/>
      <c r="E1019" s="64">
        <v>46053.0</v>
      </c>
      <c r="F1019" s="14" t="s">
        <v>26</v>
      </c>
      <c r="G1019" s="178">
        <v>10000.0</v>
      </c>
      <c r="H1019" s="28"/>
      <c r="I1019" s="17">
        <f t="shared" si="31"/>
        <v>10000</v>
      </c>
      <c r="J1019" s="25" t="s">
        <v>1</v>
      </c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</row>
    <row r="1020" ht="33.75" customHeight="1">
      <c r="A1020" s="11" t="s">
        <v>534</v>
      </c>
      <c r="B1020" s="22" t="s">
        <v>1497</v>
      </c>
      <c r="C1020" s="11" t="s">
        <v>1639</v>
      </c>
      <c r="D1020" s="11"/>
      <c r="E1020" s="64">
        <v>46053.0</v>
      </c>
      <c r="F1020" s="14" t="s">
        <v>1191</v>
      </c>
      <c r="G1020" s="16">
        <v>23745.0</v>
      </c>
      <c r="H1020" s="16">
        <v>20284.0</v>
      </c>
      <c r="I1020" s="17">
        <f t="shared" si="31"/>
        <v>3461</v>
      </c>
      <c r="J1020" s="25" t="s">
        <v>1</v>
      </c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</row>
    <row r="1021" ht="33.75" customHeight="1">
      <c r="A1021" s="11" t="s">
        <v>577</v>
      </c>
      <c r="B1021" s="22" t="s">
        <v>1497</v>
      </c>
      <c r="C1021" s="11" t="s">
        <v>1640</v>
      </c>
      <c r="D1021" s="11"/>
      <c r="E1021" s="64">
        <v>46053.0</v>
      </c>
      <c r="F1021" s="14" t="s">
        <v>1141</v>
      </c>
      <c r="G1021" s="178">
        <v>11482.0</v>
      </c>
      <c r="H1021" s="179">
        <v>9783.0</v>
      </c>
      <c r="I1021" s="17">
        <f t="shared" si="31"/>
        <v>1699</v>
      </c>
      <c r="J1021" s="25" t="s">
        <v>1</v>
      </c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</row>
    <row r="1022" ht="33.75" customHeight="1">
      <c r="A1022" s="11" t="s">
        <v>789</v>
      </c>
      <c r="B1022" s="22" t="s">
        <v>320</v>
      </c>
      <c r="C1022" s="11" t="s">
        <v>1641</v>
      </c>
      <c r="D1022" s="11"/>
      <c r="E1022" s="64">
        <v>46053.0</v>
      </c>
      <c r="F1022" s="14" t="s">
        <v>17</v>
      </c>
      <c r="G1022" s="178">
        <v>14112.0</v>
      </c>
      <c r="H1022" s="28"/>
      <c r="I1022" s="17">
        <f t="shared" si="31"/>
        <v>14112</v>
      </c>
      <c r="J1022" s="25" t="s">
        <v>1</v>
      </c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</row>
    <row r="1023" ht="33.75" customHeight="1">
      <c r="A1023" s="11" t="s">
        <v>1496</v>
      </c>
      <c r="B1023" s="22" t="s">
        <v>320</v>
      </c>
      <c r="C1023" s="11" t="s">
        <v>1638</v>
      </c>
      <c r="D1023" s="11"/>
      <c r="E1023" s="64">
        <v>46053.0</v>
      </c>
      <c r="F1023" s="14" t="s">
        <v>26</v>
      </c>
      <c r="G1023" s="178">
        <v>10000.0</v>
      </c>
      <c r="H1023" s="28"/>
      <c r="I1023" s="17">
        <f t="shared" si="31"/>
        <v>10000</v>
      </c>
      <c r="J1023" s="222" t="s">
        <v>1316</v>
      </c>
      <c r="K1023" s="223"/>
      <c r="L1023" s="223"/>
      <c r="M1023" s="223"/>
      <c r="N1023" s="223"/>
      <c r="O1023" s="223"/>
      <c r="P1023" s="223"/>
      <c r="Q1023" s="223"/>
      <c r="R1023" s="223"/>
      <c r="S1023" s="223"/>
      <c r="T1023" s="223"/>
      <c r="U1023" s="223"/>
      <c r="V1023" s="223"/>
      <c r="W1023" s="223"/>
      <c r="X1023" s="223"/>
      <c r="Y1023" s="223"/>
      <c r="Z1023" s="223"/>
    </row>
    <row r="1024" ht="33.75" customHeight="1">
      <c r="A1024" s="11" t="s">
        <v>1583</v>
      </c>
      <c r="B1024" s="22" t="s">
        <v>1642</v>
      </c>
      <c r="C1024" s="11" t="s">
        <v>1643</v>
      </c>
      <c r="D1024" s="11"/>
      <c r="E1024" s="64">
        <v>46053.0</v>
      </c>
      <c r="F1024" s="14" t="s">
        <v>1141</v>
      </c>
      <c r="G1024" s="178">
        <v>5000.0</v>
      </c>
      <c r="H1024" s="179">
        <v>3647.0</v>
      </c>
      <c r="I1024" s="17">
        <f t="shared" si="31"/>
        <v>1353</v>
      </c>
      <c r="J1024" s="25" t="s">
        <v>1</v>
      </c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</row>
    <row r="1025" ht="33.75" customHeight="1">
      <c r="A1025" s="11" t="s">
        <v>1496</v>
      </c>
      <c r="B1025" s="22" t="s">
        <v>98</v>
      </c>
      <c r="C1025" s="11" t="s">
        <v>1638</v>
      </c>
      <c r="D1025" s="11"/>
      <c r="E1025" s="64">
        <v>46053.0</v>
      </c>
      <c r="F1025" s="14" t="s">
        <v>26</v>
      </c>
      <c r="G1025" s="178">
        <v>18070.0</v>
      </c>
      <c r="H1025" s="179">
        <v>8549.0</v>
      </c>
      <c r="I1025" s="17">
        <f t="shared" si="31"/>
        <v>9521</v>
      </c>
      <c r="J1025" s="222" t="s">
        <v>1316</v>
      </c>
      <c r="K1025" s="223"/>
      <c r="L1025" s="223"/>
      <c r="M1025" s="223"/>
      <c r="N1025" s="223"/>
      <c r="O1025" s="223"/>
      <c r="P1025" s="223"/>
      <c r="Q1025" s="223"/>
      <c r="R1025" s="223"/>
      <c r="S1025" s="223"/>
      <c r="T1025" s="223"/>
      <c r="U1025" s="223"/>
      <c r="V1025" s="223"/>
      <c r="W1025" s="223"/>
      <c r="X1025" s="223"/>
      <c r="Y1025" s="223"/>
      <c r="Z1025" s="223"/>
    </row>
    <row r="1026" ht="33.75" customHeight="1">
      <c r="A1026" s="11" t="s">
        <v>1351</v>
      </c>
      <c r="B1026" s="22" t="s">
        <v>34</v>
      </c>
      <c r="C1026" s="11" t="s">
        <v>1644</v>
      </c>
      <c r="D1026" s="11"/>
      <c r="E1026" s="64">
        <v>46053.0</v>
      </c>
      <c r="F1026" s="14" t="s">
        <v>1141</v>
      </c>
      <c r="G1026" s="178">
        <v>10070.0</v>
      </c>
      <c r="H1026" s="179">
        <v>7752.0</v>
      </c>
      <c r="I1026" s="17">
        <f t="shared" si="31"/>
        <v>2318</v>
      </c>
      <c r="J1026" s="25" t="s">
        <v>1</v>
      </c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</row>
    <row r="1027" ht="33.75" customHeight="1">
      <c r="A1027" s="11" t="s">
        <v>1104</v>
      </c>
      <c r="B1027" s="22" t="s">
        <v>34</v>
      </c>
      <c r="C1027" s="11" t="s">
        <v>1645</v>
      </c>
      <c r="D1027" s="11"/>
      <c r="E1027" s="64">
        <v>46053.0</v>
      </c>
      <c r="F1027" s="14" t="s">
        <v>1191</v>
      </c>
      <c r="G1027" s="178">
        <v>5799.0</v>
      </c>
      <c r="H1027" s="16">
        <v>5563.0</v>
      </c>
      <c r="I1027" s="17">
        <f t="shared" si="31"/>
        <v>236</v>
      </c>
      <c r="J1027" s="25" t="s">
        <v>1</v>
      </c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</row>
    <row r="1028" ht="33.75" customHeight="1">
      <c r="A1028" s="11" t="s">
        <v>849</v>
      </c>
      <c r="B1028" s="11" t="s">
        <v>1646</v>
      </c>
      <c r="C1028" s="11" t="s">
        <v>1647</v>
      </c>
      <c r="D1028" s="11"/>
      <c r="E1028" s="64">
        <v>46053.0</v>
      </c>
      <c r="F1028" s="11" t="s">
        <v>287</v>
      </c>
      <c r="G1028" s="11">
        <v>13312.0</v>
      </c>
      <c r="H1028" s="11"/>
      <c r="I1028" s="11">
        <f t="shared" si="31"/>
        <v>13312</v>
      </c>
      <c r="J1028" s="11" t="s">
        <v>1</v>
      </c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</row>
    <row r="1029" ht="33.75" customHeight="1">
      <c r="A1029" s="11" t="s">
        <v>1583</v>
      </c>
      <c r="B1029" s="11" t="s">
        <v>19</v>
      </c>
      <c r="C1029" s="11" t="s">
        <v>1643</v>
      </c>
      <c r="D1029" s="11"/>
      <c r="E1029" s="64">
        <v>46053.0</v>
      </c>
      <c r="F1029" s="11" t="s">
        <v>1141</v>
      </c>
      <c r="G1029" s="11" t="s">
        <v>1648</v>
      </c>
      <c r="H1029" s="11">
        <v>3228.0</v>
      </c>
      <c r="I1029" s="11">
        <f t="shared" si="31"/>
        <v>1601</v>
      </c>
      <c r="J1029" s="11" t="s">
        <v>1</v>
      </c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</row>
    <row r="1030" ht="33.75" customHeight="1">
      <c r="A1030" s="11" t="s">
        <v>1649</v>
      </c>
      <c r="B1030" s="11" t="s">
        <v>1650</v>
      </c>
      <c r="C1030" s="11" t="s">
        <v>1651</v>
      </c>
      <c r="D1030" s="11"/>
      <c r="E1030" s="64">
        <v>46053.0</v>
      </c>
      <c r="F1030" s="11" t="s">
        <v>1141</v>
      </c>
      <c r="G1030" s="11" t="s">
        <v>1652</v>
      </c>
      <c r="H1030" s="11">
        <v>3335.0</v>
      </c>
      <c r="I1030" s="11">
        <f t="shared" si="31"/>
        <v>1725</v>
      </c>
      <c r="J1030" s="11" t="s">
        <v>1</v>
      </c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</row>
    <row r="1031" ht="33.75" customHeight="1">
      <c r="A1031" s="11" t="s">
        <v>216</v>
      </c>
      <c r="B1031" s="22" t="s">
        <v>125</v>
      </c>
      <c r="C1031" s="11" t="s">
        <v>1653</v>
      </c>
      <c r="D1031" s="11"/>
      <c r="E1031" s="64">
        <v>46054.0</v>
      </c>
      <c r="F1031" s="14" t="s">
        <v>1141</v>
      </c>
      <c r="G1031" s="178">
        <v>45864.0</v>
      </c>
      <c r="H1031" s="16">
        <v>24134.0</v>
      </c>
      <c r="I1031" s="17">
        <f t="shared" si="31"/>
        <v>21730</v>
      </c>
      <c r="J1031" s="132" t="s">
        <v>1</v>
      </c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</row>
    <row r="1032" ht="33.75" customHeight="1">
      <c r="A1032" s="11" t="s">
        <v>135</v>
      </c>
      <c r="B1032" s="22" t="s">
        <v>125</v>
      </c>
      <c r="C1032" s="11" t="s">
        <v>1654</v>
      </c>
      <c r="D1032" s="11"/>
      <c r="E1032" s="64">
        <v>46054.0</v>
      </c>
      <c r="F1032" s="14" t="s">
        <v>17</v>
      </c>
      <c r="G1032" s="178">
        <v>27965.0</v>
      </c>
      <c r="H1032" s="28"/>
      <c r="I1032" s="17">
        <f t="shared" si="31"/>
        <v>27965</v>
      </c>
      <c r="J1032" s="132" t="s">
        <v>1</v>
      </c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</row>
    <row r="1033" ht="33.75" customHeight="1">
      <c r="A1033" s="11" t="s">
        <v>752</v>
      </c>
      <c r="B1033" s="22" t="s">
        <v>161</v>
      </c>
      <c r="C1033" s="11" t="s">
        <v>1655</v>
      </c>
      <c r="D1033" s="11"/>
      <c r="E1033" s="64">
        <v>46054.0</v>
      </c>
      <c r="F1033" s="14" t="s">
        <v>17</v>
      </c>
      <c r="G1033" s="178">
        <v>4912.0</v>
      </c>
      <c r="H1033" s="28"/>
      <c r="I1033" s="17">
        <f t="shared" si="31"/>
        <v>4912</v>
      </c>
      <c r="J1033" s="132" t="s">
        <v>1</v>
      </c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</row>
    <row r="1034" ht="33.75" customHeight="1">
      <c r="A1034" s="11" t="s">
        <v>1496</v>
      </c>
      <c r="B1034" s="22" t="s">
        <v>530</v>
      </c>
      <c r="C1034" s="11" t="s">
        <v>1656</v>
      </c>
      <c r="D1034" s="11"/>
      <c r="E1034" s="64">
        <v>46054.0</v>
      </c>
      <c r="F1034" s="14" t="s">
        <v>1141</v>
      </c>
      <c r="G1034" s="178" t="s">
        <v>444</v>
      </c>
      <c r="H1034" s="28">
        <v>43661.0</v>
      </c>
      <c r="I1034" s="17">
        <f t="shared" si="31"/>
        <v>339</v>
      </c>
      <c r="J1034" s="132" t="s">
        <v>1</v>
      </c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</row>
    <row r="1035" ht="33.75" customHeight="1">
      <c r="A1035" s="11" t="s">
        <v>28</v>
      </c>
      <c r="B1035" s="22" t="s">
        <v>81</v>
      </c>
      <c r="C1035" s="11" t="s">
        <v>1657</v>
      </c>
      <c r="D1035" s="11"/>
      <c r="E1035" s="64">
        <v>46055.0</v>
      </c>
      <c r="F1035" s="14" t="s">
        <v>17</v>
      </c>
      <c r="G1035" s="178">
        <v>11000.0</v>
      </c>
      <c r="H1035" s="28"/>
      <c r="I1035" s="17">
        <f t="shared" si="31"/>
        <v>11000</v>
      </c>
      <c r="J1035" s="132" t="s">
        <v>1</v>
      </c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</row>
    <row r="1036" ht="33.75" customHeight="1">
      <c r="A1036" s="11" t="s">
        <v>1587</v>
      </c>
      <c r="B1036" s="22" t="s">
        <v>85</v>
      </c>
      <c r="C1036" s="11" t="s">
        <v>1658</v>
      </c>
      <c r="D1036" s="11"/>
      <c r="E1036" s="64">
        <v>46055.0</v>
      </c>
      <c r="F1036" s="14" t="s">
        <v>287</v>
      </c>
      <c r="G1036" s="178">
        <v>42529.0</v>
      </c>
      <c r="H1036" s="28"/>
      <c r="I1036" s="17">
        <f t="shared" si="31"/>
        <v>42529</v>
      </c>
      <c r="J1036" s="220" t="s">
        <v>1</v>
      </c>
      <c r="K1036" s="221"/>
      <c r="L1036" s="221"/>
      <c r="M1036" s="221"/>
      <c r="N1036" s="221"/>
      <c r="O1036" s="221"/>
      <c r="P1036" s="221"/>
      <c r="Q1036" s="221"/>
      <c r="R1036" s="221"/>
      <c r="S1036" s="221"/>
      <c r="T1036" s="221"/>
      <c r="U1036" s="221"/>
      <c r="V1036" s="221"/>
      <c r="W1036" s="221"/>
      <c r="X1036" s="221"/>
      <c r="Y1036" s="221"/>
      <c r="Z1036" s="221"/>
    </row>
    <row r="1037" ht="33.75" customHeight="1">
      <c r="A1037" s="11" t="s">
        <v>1524</v>
      </c>
      <c r="B1037" s="22" t="s">
        <v>44</v>
      </c>
      <c r="C1037" s="11" t="s">
        <v>1659</v>
      </c>
      <c r="D1037" s="11"/>
      <c r="E1037" s="64">
        <v>46055.0</v>
      </c>
      <c r="F1037" s="14" t="s">
        <v>1141</v>
      </c>
      <c r="G1037" s="178">
        <v>10000.0</v>
      </c>
      <c r="H1037" s="179">
        <v>7106.0</v>
      </c>
      <c r="I1037" s="17">
        <f t="shared" si="31"/>
        <v>2894</v>
      </c>
      <c r="J1037" s="132" t="s">
        <v>1</v>
      </c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</row>
    <row r="1038" ht="33.75" customHeight="1">
      <c r="A1038" s="11" t="s">
        <v>1587</v>
      </c>
      <c r="B1038" s="22" t="s">
        <v>88</v>
      </c>
      <c r="C1038" s="11" t="s">
        <v>1660</v>
      </c>
      <c r="D1038" s="11"/>
      <c r="E1038" s="64">
        <v>46055.0</v>
      </c>
      <c r="F1038" s="14" t="s">
        <v>287</v>
      </c>
      <c r="G1038" s="178">
        <v>42529.0</v>
      </c>
      <c r="H1038" s="28"/>
      <c r="I1038" s="17">
        <f t="shared" si="31"/>
        <v>42529</v>
      </c>
      <c r="J1038" s="220" t="s">
        <v>1</v>
      </c>
      <c r="K1038" s="221"/>
      <c r="L1038" s="221"/>
      <c r="M1038" s="221"/>
      <c r="N1038" s="221"/>
      <c r="O1038" s="221"/>
      <c r="P1038" s="221"/>
      <c r="Q1038" s="221"/>
      <c r="R1038" s="221"/>
      <c r="S1038" s="221"/>
      <c r="T1038" s="221"/>
      <c r="U1038" s="221"/>
      <c r="V1038" s="221"/>
      <c r="W1038" s="221"/>
      <c r="X1038" s="221"/>
      <c r="Y1038" s="221"/>
      <c r="Z1038" s="221"/>
    </row>
    <row r="1039" ht="33.75" customHeight="1">
      <c r="A1039" s="11" t="s">
        <v>77</v>
      </c>
      <c r="B1039" s="22" t="s">
        <v>88</v>
      </c>
      <c r="C1039" s="11" t="s">
        <v>1661</v>
      </c>
      <c r="D1039" s="11"/>
      <c r="E1039" s="64">
        <v>46055.0</v>
      </c>
      <c r="F1039" s="14" t="s">
        <v>26</v>
      </c>
      <c r="G1039" s="178">
        <v>39868.0</v>
      </c>
      <c r="H1039" s="16">
        <v>26406.0</v>
      </c>
      <c r="I1039" s="17">
        <f t="shared" si="31"/>
        <v>13462</v>
      </c>
      <c r="J1039" s="132" t="s">
        <v>1</v>
      </c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</row>
    <row r="1040" ht="33.75" customHeight="1">
      <c r="A1040" s="11" t="s">
        <v>210</v>
      </c>
      <c r="B1040" s="22" t="s">
        <v>260</v>
      </c>
      <c r="C1040" s="11" t="s">
        <v>1662</v>
      </c>
      <c r="D1040" s="11"/>
      <c r="E1040" s="64">
        <v>46055.0</v>
      </c>
      <c r="F1040" s="14" t="s">
        <v>17</v>
      </c>
      <c r="G1040" s="178">
        <v>10281.0</v>
      </c>
      <c r="H1040" s="28"/>
      <c r="I1040" s="17">
        <f t="shared" si="31"/>
        <v>10281</v>
      </c>
      <c r="J1040" s="132" t="s">
        <v>1</v>
      </c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</row>
    <row r="1041" ht="33.75" customHeight="1">
      <c r="A1041" s="11" t="s">
        <v>109</v>
      </c>
      <c r="B1041" s="22" t="s">
        <v>31</v>
      </c>
      <c r="C1041" s="11" t="s">
        <v>1663</v>
      </c>
      <c r="D1041" s="11"/>
      <c r="E1041" s="64">
        <v>46055.0</v>
      </c>
      <c r="F1041" s="14" t="s">
        <v>1141</v>
      </c>
      <c r="G1041" s="178">
        <v>10072.0</v>
      </c>
      <c r="H1041" s="28"/>
      <c r="I1041" s="17">
        <f t="shared" si="31"/>
        <v>10072</v>
      </c>
      <c r="J1041" s="220" t="s">
        <v>1</v>
      </c>
      <c r="K1041" s="221"/>
      <c r="L1041" s="221"/>
      <c r="M1041" s="221"/>
      <c r="N1041" s="221"/>
      <c r="O1041" s="221"/>
      <c r="P1041" s="221"/>
      <c r="Q1041" s="221"/>
      <c r="R1041" s="221"/>
      <c r="S1041" s="221"/>
      <c r="T1041" s="221"/>
      <c r="U1041" s="221"/>
      <c r="V1041" s="221"/>
      <c r="W1041" s="221"/>
      <c r="X1041" s="221"/>
      <c r="Y1041" s="221"/>
      <c r="Z1041" s="221"/>
    </row>
    <row r="1042" ht="33.75" customHeight="1">
      <c r="A1042" s="24" t="s">
        <v>1587</v>
      </c>
      <c r="B1042" s="22" t="s">
        <v>31</v>
      </c>
      <c r="C1042" s="11" t="s">
        <v>1664</v>
      </c>
      <c r="D1042" s="11"/>
      <c r="E1042" s="64">
        <v>46055.0</v>
      </c>
      <c r="F1042" s="14" t="s">
        <v>287</v>
      </c>
      <c r="G1042" s="178">
        <v>42529.0</v>
      </c>
      <c r="H1042" s="28"/>
      <c r="I1042" s="17">
        <f t="shared" si="31"/>
        <v>42529</v>
      </c>
      <c r="J1042" s="220" t="s">
        <v>1</v>
      </c>
      <c r="K1042" s="221"/>
      <c r="L1042" s="221"/>
      <c r="M1042" s="221"/>
      <c r="N1042" s="221"/>
      <c r="O1042" s="221"/>
      <c r="P1042" s="221"/>
      <c r="Q1042" s="221"/>
      <c r="R1042" s="221"/>
      <c r="S1042" s="221"/>
      <c r="T1042" s="221"/>
      <c r="U1042" s="221"/>
      <c r="V1042" s="221"/>
      <c r="W1042" s="221"/>
      <c r="X1042" s="221"/>
      <c r="Y1042" s="221"/>
      <c r="Z1042" s="221"/>
    </row>
    <row r="1043" ht="33.75" customHeight="1">
      <c r="A1043" s="11" t="s">
        <v>28</v>
      </c>
      <c r="B1043" s="22" t="s">
        <v>37</v>
      </c>
      <c r="C1043" s="29" t="s">
        <v>1657</v>
      </c>
      <c r="D1043" s="29"/>
      <c r="E1043" s="64">
        <v>46055.0</v>
      </c>
      <c r="F1043" s="14" t="s">
        <v>17</v>
      </c>
      <c r="G1043" s="178">
        <v>11000.0</v>
      </c>
      <c r="H1043" s="28"/>
      <c r="I1043" s="17">
        <f t="shared" si="31"/>
        <v>11000</v>
      </c>
      <c r="J1043" s="132" t="s">
        <v>1</v>
      </c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</row>
    <row r="1044" ht="33.75" customHeight="1">
      <c r="A1044" s="24" t="s">
        <v>1587</v>
      </c>
      <c r="B1044" s="22" t="s">
        <v>91</v>
      </c>
      <c r="C1044" s="11" t="s">
        <v>1665</v>
      </c>
      <c r="D1044" s="11"/>
      <c r="E1044" s="64">
        <v>46055.0</v>
      </c>
      <c r="F1044" s="14" t="s">
        <v>287</v>
      </c>
      <c r="G1044" s="178">
        <v>42529.0</v>
      </c>
      <c r="H1044" s="28"/>
      <c r="I1044" s="17">
        <f t="shared" si="31"/>
        <v>42529</v>
      </c>
      <c r="J1044" s="220" t="s">
        <v>1</v>
      </c>
      <c r="K1044" s="221"/>
      <c r="L1044" s="221"/>
      <c r="M1044" s="221"/>
      <c r="N1044" s="221"/>
      <c r="O1044" s="221"/>
      <c r="P1044" s="221"/>
      <c r="Q1044" s="221"/>
      <c r="R1044" s="221"/>
      <c r="S1044" s="221"/>
      <c r="T1044" s="221"/>
      <c r="U1044" s="221"/>
      <c r="V1044" s="221"/>
      <c r="W1044" s="221"/>
      <c r="X1044" s="221"/>
      <c r="Y1044" s="221"/>
      <c r="Z1044" s="221"/>
    </row>
    <row r="1045" ht="33.75" customHeight="1">
      <c r="A1045" s="11" t="s">
        <v>1649</v>
      </c>
      <c r="B1045" s="258" t="s">
        <v>34</v>
      </c>
      <c r="C1045" s="11" t="s">
        <v>1666</v>
      </c>
      <c r="D1045" s="11"/>
      <c r="E1045" s="64">
        <v>46055.0</v>
      </c>
      <c r="F1045" s="14" t="s">
        <v>1191</v>
      </c>
      <c r="G1045" s="178">
        <v>5000.0</v>
      </c>
      <c r="H1045" s="16">
        <v>3467.0</v>
      </c>
      <c r="I1045" s="17">
        <f t="shared" si="31"/>
        <v>1533</v>
      </c>
      <c r="J1045" s="220" t="s">
        <v>1</v>
      </c>
      <c r="K1045" s="221"/>
      <c r="L1045" s="221"/>
      <c r="M1045" s="221"/>
      <c r="N1045" s="221"/>
      <c r="O1045" s="221"/>
      <c r="P1045" s="221"/>
      <c r="Q1045" s="221"/>
      <c r="R1045" s="221"/>
      <c r="S1045" s="221"/>
      <c r="T1045" s="221"/>
      <c r="U1045" s="221"/>
      <c r="V1045" s="221"/>
      <c r="W1045" s="221"/>
      <c r="X1045" s="221"/>
      <c r="Y1045" s="221"/>
      <c r="Z1045" s="221"/>
    </row>
    <row r="1046" ht="33.75" customHeight="1">
      <c r="A1046" s="11" t="s">
        <v>1667</v>
      </c>
      <c r="B1046" s="258" t="s">
        <v>34</v>
      </c>
      <c r="C1046" s="11" t="s">
        <v>1668</v>
      </c>
      <c r="D1046" s="11"/>
      <c r="E1046" s="76">
        <v>46055.0</v>
      </c>
      <c r="F1046" s="14" t="s">
        <v>1133</v>
      </c>
      <c r="G1046" s="178">
        <v>4611.0</v>
      </c>
      <c r="H1046" s="16">
        <v>1929.0</v>
      </c>
      <c r="I1046" s="17">
        <f t="shared" si="31"/>
        <v>2682</v>
      </c>
      <c r="J1046" s="132" t="s">
        <v>1</v>
      </c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</row>
    <row r="1047" ht="33.75" customHeight="1">
      <c r="A1047" s="11" t="s">
        <v>77</v>
      </c>
      <c r="B1047" s="22" t="s">
        <v>49</v>
      </c>
      <c r="C1047" s="11" t="s">
        <v>1669</v>
      </c>
      <c r="D1047" s="11"/>
      <c r="E1047" s="64">
        <v>46056.0</v>
      </c>
      <c r="F1047" s="14" t="s">
        <v>26</v>
      </c>
      <c r="G1047" s="178">
        <v>17920.0</v>
      </c>
      <c r="H1047" s="28"/>
      <c r="I1047" s="17">
        <f t="shared" si="31"/>
        <v>17920</v>
      </c>
      <c r="J1047" s="132" t="s">
        <v>1</v>
      </c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</row>
    <row r="1048" ht="33.75" customHeight="1">
      <c r="A1048" s="11" t="s">
        <v>28</v>
      </c>
      <c r="B1048" s="22" t="s">
        <v>81</v>
      </c>
      <c r="C1048" s="11" t="s">
        <v>1670</v>
      </c>
      <c r="D1048" s="11"/>
      <c r="E1048" s="64">
        <v>46056.0</v>
      </c>
      <c r="F1048" s="14" t="s">
        <v>17</v>
      </c>
      <c r="G1048" s="178">
        <v>11000.0</v>
      </c>
      <c r="H1048" s="28"/>
      <c r="I1048" s="17">
        <f t="shared" si="31"/>
        <v>11000</v>
      </c>
      <c r="J1048" s="132" t="s">
        <v>1</v>
      </c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</row>
    <row r="1049" ht="33.75" customHeight="1">
      <c r="A1049" s="11" t="s">
        <v>1671</v>
      </c>
      <c r="B1049" s="22" t="s">
        <v>85</v>
      </c>
      <c r="C1049" s="11" t="s">
        <v>1672</v>
      </c>
      <c r="D1049" s="11"/>
      <c r="E1049" s="64">
        <v>46056.0</v>
      </c>
      <c r="F1049" s="14" t="s">
        <v>1133</v>
      </c>
      <c r="G1049" s="178">
        <v>8244.0</v>
      </c>
      <c r="H1049" s="16">
        <v>8918.0</v>
      </c>
      <c r="I1049" s="17">
        <f t="shared" si="31"/>
        <v>-674</v>
      </c>
      <c r="J1049" s="132" t="s">
        <v>1</v>
      </c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</row>
    <row r="1050" ht="33.75" customHeight="1">
      <c r="A1050" s="11" t="s">
        <v>1083</v>
      </c>
      <c r="B1050" s="22" t="s">
        <v>85</v>
      </c>
      <c r="C1050" s="11" t="s">
        <v>1673</v>
      </c>
      <c r="D1050" s="11"/>
      <c r="E1050" s="64">
        <v>46056.0</v>
      </c>
      <c r="F1050" s="14" t="s">
        <v>1141</v>
      </c>
      <c r="G1050" s="178">
        <v>10000.0</v>
      </c>
      <c r="H1050" s="179">
        <v>4607.0</v>
      </c>
      <c r="I1050" s="17">
        <f t="shared" si="31"/>
        <v>5393</v>
      </c>
      <c r="J1050" s="132" t="s">
        <v>1</v>
      </c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</row>
    <row r="1051" ht="33.75" customHeight="1">
      <c r="A1051" s="11" t="s">
        <v>1674</v>
      </c>
      <c r="B1051" s="22" t="s">
        <v>85</v>
      </c>
      <c r="C1051" s="11" t="s">
        <v>1673</v>
      </c>
      <c r="D1051" s="11"/>
      <c r="E1051" s="64">
        <v>46056.0</v>
      </c>
      <c r="F1051" s="14" t="s">
        <v>1141</v>
      </c>
      <c r="G1051" s="178">
        <v>10000.0</v>
      </c>
      <c r="H1051" s="179">
        <v>6623.0</v>
      </c>
      <c r="I1051" s="17">
        <f t="shared" si="31"/>
        <v>3377</v>
      </c>
      <c r="J1051" s="132" t="s">
        <v>1</v>
      </c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</row>
    <row r="1052" ht="33.75" customHeight="1">
      <c r="A1052" s="11" t="s">
        <v>109</v>
      </c>
      <c r="B1052" s="22" t="s">
        <v>85</v>
      </c>
      <c r="C1052" s="11" t="s">
        <v>1673</v>
      </c>
      <c r="D1052" s="11"/>
      <c r="E1052" s="64">
        <v>46056.0</v>
      </c>
      <c r="F1052" s="14" t="s">
        <v>1141</v>
      </c>
      <c r="G1052" s="178">
        <v>10000.0</v>
      </c>
      <c r="H1052" s="16">
        <v>5865.0</v>
      </c>
      <c r="I1052" s="17">
        <f t="shared" si="31"/>
        <v>4135</v>
      </c>
      <c r="J1052" s="132" t="s">
        <v>1</v>
      </c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</row>
    <row r="1053" ht="33.75" customHeight="1">
      <c r="A1053" s="11" t="s">
        <v>111</v>
      </c>
      <c r="B1053" s="22" t="s">
        <v>85</v>
      </c>
      <c r="C1053" s="11" t="s">
        <v>1673</v>
      </c>
      <c r="D1053" s="11"/>
      <c r="E1053" s="64">
        <v>46056.0</v>
      </c>
      <c r="F1053" s="14" t="s">
        <v>1141</v>
      </c>
      <c r="G1053" s="178">
        <v>10000.0</v>
      </c>
      <c r="H1053" s="179">
        <v>7240.0</v>
      </c>
      <c r="I1053" s="17">
        <f t="shared" si="31"/>
        <v>2760</v>
      </c>
      <c r="J1053" s="132" t="s">
        <v>1</v>
      </c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</row>
    <row r="1054" ht="33.75" customHeight="1">
      <c r="A1054" s="11" t="s">
        <v>479</v>
      </c>
      <c r="B1054" s="22" t="s">
        <v>85</v>
      </c>
      <c r="C1054" s="11" t="s">
        <v>1673</v>
      </c>
      <c r="D1054" s="11"/>
      <c r="E1054" s="64">
        <v>46056.0</v>
      </c>
      <c r="F1054" s="14" t="s">
        <v>1141</v>
      </c>
      <c r="G1054" s="178">
        <v>10000.0</v>
      </c>
      <c r="H1054" s="179">
        <v>6623.0</v>
      </c>
      <c r="I1054" s="17">
        <f t="shared" si="31"/>
        <v>3377</v>
      </c>
      <c r="J1054" s="132" t="s">
        <v>1</v>
      </c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</row>
    <row r="1055" ht="33.75" customHeight="1">
      <c r="A1055" s="11" t="s">
        <v>1587</v>
      </c>
      <c r="B1055" s="22" t="s">
        <v>88</v>
      </c>
      <c r="C1055" s="11" t="s">
        <v>1675</v>
      </c>
      <c r="D1055" s="11"/>
      <c r="E1055" s="64">
        <v>46056.0</v>
      </c>
      <c r="F1055" s="14" t="s">
        <v>287</v>
      </c>
      <c r="G1055" s="178">
        <v>37636.0</v>
      </c>
      <c r="H1055" s="28"/>
      <c r="I1055" s="17">
        <f t="shared" si="31"/>
        <v>37636</v>
      </c>
      <c r="J1055" s="220" t="s">
        <v>1</v>
      </c>
      <c r="K1055" s="221"/>
      <c r="L1055" s="221"/>
      <c r="M1055" s="221"/>
      <c r="N1055" s="221"/>
      <c r="O1055" s="221"/>
      <c r="P1055" s="221"/>
      <c r="Q1055" s="221"/>
      <c r="R1055" s="221"/>
      <c r="S1055" s="221"/>
      <c r="T1055" s="221"/>
      <c r="U1055" s="221"/>
      <c r="V1055" s="221"/>
      <c r="W1055" s="221"/>
      <c r="X1055" s="221"/>
      <c r="Y1055" s="221"/>
      <c r="Z1055" s="221"/>
    </row>
    <row r="1056" ht="33.75" customHeight="1">
      <c r="A1056" s="11" t="s">
        <v>1676</v>
      </c>
      <c r="B1056" s="22" t="s">
        <v>85</v>
      </c>
      <c r="C1056" s="11" t="s">
        <v>1677</v>
      </c>
      <c r="D1056" s="11"/>
      <c r="E1056" s="64">
        <v>46056.0</v>
      </c>
      <c r="F1056" s="14" t="s">
        <v>1191</v>
      </c>
      <c r="G1056" s="178">
        <v>2500.0</v>
      </c>
      <c r="H1056" s="16">
        <v>3892.0</v>
      </c>
      <c r="I1056" s="17">
        <f t="shared" si="31"/>
        <v>-1392</v>
      </c>
      <c r="J1056" s="132" t="s">
        <v>1</v>
      </c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</row>
    <row r="1057" ht="33.75" customHeight="1">
      <c r="A1057" s="11" t="s">
        <v>1533</v>
      </c>
      <c r="B1057" s="22" t="s">
        <v>85</v>
      </c>
      <c r="C1057" s="11" t="s">
        <v>1678</v>
      </c>
      <c r="D1057" s="11"/>
      <c r="E1057" s="64">
        <v>46056.0</v>
      </c>
      <c r="F1057" s="14" t="s">
        <v>1191</v>
      </c>
      <c r="G1057" s="178">
        <v>2500.0</v>
      </c>
      <c r="H1057" s="16">
        <v>3963.0</v>
      </c>
      <c r="I1057" s="17">
        <f t="shared" si="31"/>
        <v>-1463</v>
      </c>
      <c r="J1057" s="132" t="s">
        <v>1</v>
      </c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</row>
    <row r="1058" ht="33.75" customHeight="1">
      <c r="A1058" s="11" t="s">
        <v>1314</v>
      </c>
      <c r="B1058" s="22" t="s">
        <v>31</v>
      </c>
      <c r="C1058" s="11" t="s">
        <v>1679</v>
      </c>
      <c r="D1058" s="11"/>
      <c r="E1058" s="64">
        <v>46056.0</v>
      </c>
      <c r="F1058" s="14" t="s">
        <v>1133</v>
      </c>
      <c r="G1058" s="178">
        <v>2000.0</v>
      </c>
      <c r="H1058" s="16">
        <v>1801.0</v>
      </c>
      <c r="I1058" s="17">
        <f t="shared" si="31"/>
        <v>199</v>
      </c>
      <c r="J1058" s="132" t="s">
        <v>1</v>
      </c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</row>
    <row r="1059" ht="33.75" customHeight="1">
      <c r="A1059" s="11" t="s">
        <v>1587</v>
      </c>
      <c r="B1059" s="22" t="s">
        <v>31</v>
      </c>
      <c r="C1059" s="11" t="s">
        <v>1680</v>
      </c>
      <c r="D1059" s="11"/>
      <c r="E1059" s="64">
        <v>46056.0</v>
      </c>
      <c r="F1059" s="14" t="s">
        <v>287</v>
      </c>
      <c r="G1059" s="259">
        <v>37636.0</v>
      </c>
      <c r="H1059" s="28"/>
      <c r="I1059" s="17">
        <f t="shared" si="31"/>
        <v>37636</v>
      </c>
      <c r="J1059" s="220" t="s">
        <v>1</v>
      </c>
      <c r="K1059" s="221"/>
      <c r="L1059" s="221"/>
      <c r="M1059" s="221"/>
      <c r="N1059" s="221"/>
      <c r="O1059" s="221"/>
      <c r="P1059" s="221"/>
      <c r="Q1059" s="221"/>
      <c r="R1059" s="221"/>
      <c r="S1059" s="221"/>
      <c r="T1059" s="221"/>
      <c r="U1059" s="221"/>
      <c r="V1059" s="221"/>
      <c r="W1059" s="221"/>
      <c r="X1059" s="221"/>
      <c r="Y1059" s="221"/>
      <c r="Z1059" s="221"/>
    </row>
    <row r="1060" ht="33.75" customHeight="1">
      <c r="A1060" s="11" t="s">
        <v>1516</v>
      </c>
      <c r="B1060" s="11" t="s">
        <v>31</v>
      </c>
      <c r="C1060" s="11" t="s">
        <v>1681</v>
      </c>
      <c r="D1060" s="11"/>
      <c r="E1060" s="64">
        <v>46056.0</v>
      </c>
      <c r="F1060" s="11" t="s">
        <v>1141</v>
      </c>
      <c r="G1060" s="11">
        <v>6140.0</v>
      </c>
      <c r="H1060" s="11"/>
      <c r="I1060" s="11">
        <f t="shared" si="31"/>
        <v>6140</v>
      </c>
      <c r="J1060" s="222" t="s">
        <v>1316</v>
      </c>
      <c r="K1060" s="223"/>
      <c r="L1060" s="223"/>
      <c r="M1060" s="223"/>
      <c r="N1060" s="223"/>
      <c r="O1060" s="223"/>
      <c r="P1060" s="223"/>
      <c r="Q1060" s="223"/>
      <c r="R1060" s="223"/>
      <c r="S1060" s="223"/>
      <c r="T1060" s="223"/>
      <c r="U1060" s="223"/>
      <c r="V1060" s="223"/>
      <c r="W1060" s="223"/>
      <c r="X1060" s="223"/>
      <c r="Y1060" s="223"/>
      <c r="Z1060" s="223"/>
    </row>
    <row r="1061" ht="33.75" customHeight="1">
      <c r="A1061" s="11" t="s">
        <v>795</v>
      </c>
      <c r="B1061" s="22" t="s">
        <v>31</v>
      </c>
      <c r="C1061" s="11" t="s">
        <v>1682</v>
      </c>
      <c r="D1061" s="11"/>
      <c r="E1061" s="64">
        <v>46056.0</v>
      </c>
      <c r="F1061" s="14" t="s">
        <v>17</v>
      </c>
      <c r="G1061" s="178">
        <v>21171.0</v>
      </c>
      <c r="H1061" s="28"/>
      <c r="I1061" s="17">
        <f t="shared" si="31"/>
        <v>21171</v>
      </c>
      <c r="J1061" s="132" t="s">
        <v>1</v>
      </c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</row>
    <row r="1062" ht="33.75" customHeight="1">
      <c r="A1062" s="11" t="s">
        <v>28</v>
      </c>
      <c r="B1062" s="22" t="s">
        <v>37</v>
      </c>
      <c r="C1062" s="11" t="s">
        <v>1657</v>
      </c>
      <c r="D1062" s="11"/>
      <c r="E1062" s="64">
        <v>46056.0</v>
      </c>
      <c r="F1062" s="14" t="s">
        <v>17</v>
      </c>
      <c r="G1062" s="260">
        <v>11000.0</v>
      </c>
      <c r="H1062" s="28"/>
      <c r="I1062" s="17">
        <f t="shared" si="31"/>
        <v>11000</v>
      </c>
      <c r="J1062" s="132" t="s">
        <v>1</v>
      </c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</row>
    <row r="1063" ht="33.75" customHeight="1">
      <c r="A1063" s="11" t="s">
        <v>1587</v>
      </c>
      <c r="B1063" s="22" t="s">
        <v>91</v>
      </c>
      <c r="C1063" s="11" t="s">
        <v>1683</v>
      </c>
      <c r="D1063" s="11"/>
      <c r="E1063" s="64">
        <v>46056.0</v>
      </c>
      <c r="F1063" s="14" t="s">
        <v>287</v>
      </c>
      <c r="G1063" s="178">
        <v>37636.0</v>
      </c>
      <c r="H1063" s="28"/>
      <c r="I1063" s="17">
        <f t="shared" si="31"/>
        <v>37636</v>
      </c>
      <c r="J1063" s="220" t="s">
        <v>1</v>
      </c>
      <c r="K1063" s="221"/>
      <c r="L1063" s="221"/>
      <c r="M1063" s="221"/>
      <c r="N1063" s="221"/>
      <c r="O1063" s="221"/>
      <c r="P1063" s="221"/>
      <c r="Q1063" s="221"/>
      <c r="R1063" s="221"/>
      <c r="S1063" s="221"/>
      <c r="T1063" s="221"/>
      <c r="U1063" s="221"/>
      <c r="V1063" s="221"/>
      <c r="W1063" s="221"/>
      <c r="X1063" s="221"/>
      <c r="Y1063" s="221"/>
      <c r="Z1063" s="221"/>
    </row>
    <row r="1064" ht="33.75" customHeight="1">
      <c r="A1064" s="11" t="s">
        <v>1587</v>
      </c>
      <c r="B1064" s="22" t="s">
        <v>125</v>
      </c>
      <c r="C1064" s="11" t="s">
        <v>1684</v>
      </c>
      <c r="D1064" s="11"/>
      <c r="E1064" s="64">
        <v>46056.0</v>
      </c>
      <c r="F1064" s="14" t="s">
        <v>287</v>
      </c>
      <c r="G1064" s="178">
        <v>37636.0</v>
      </c>
      <c r="H1064" s="28"/>
      <c r="I1064" s="17">
        <f t="shared" si="31"/>
        <v>37636</v>
      </c>
      <c r="J1064" s="220" t="s">
        <v>1</v>
      </c>
      <c r="K1064" s="221"/>
      <c r="L1064" s="221"/>
      <c r="M1064" s="221"/>
      <c r="N1064" s="221"/>
      <c r="O1064" s="221"/>
      <c r="P1064" s="221"/>
      <c r="Q1064" s="221"/>
      <c r="R1064" s="221"/>
      <c r="S1064" s="221"/>
      <c r="T1064" s="221"/>
      <c r="U1064" s="221"/>
      <c r="V1064" s="221"/>
      <c r="W1064" s="221"/>
      <c r="X1064" s="221"/>
      <c r="Y1064" s="221"/>
      <c r="Z1064" s="221"/>
    </row>
    <row r="1065" ht="33.75" customHeight="1">
      <c r="A1065" s="11" t="s">
        <v>1451</v>
      </c>
      <c r="B1065" s="22" t="s">
        <v>125</v>
      </c>
      <c r="C1065" s="11" t="s">
        <v>1685</v>
      </c>
      <c r="D1065" s="11"/>
      <c r="E1065" s="64">
        <v>46056.0</v>
      </c>
      <c r="F1065" s="14" t="s">
        <v>1686</v>
      </c>
      <c r="G1065" s="178">
        <v>2000.0</v>
      </c>
      <c r="H1065" s="16">
        <v>1210.0</v>
      </c>
      <c r="I1065" s="17">
        <v>2000.0</v>
      </c>
      <c r="J1065" s="220" t="s">
        <v>1</v>
      </c>
      <c r="K1065" s="221"/>
      <c r="L1065" s="221"/>
      <c r="M1065" s="221"/>
      <c r="N1065" s="221"/>
      <c r="O1065" s="221"/>
      <c r="P1065" s="221"/>
      <c r="Q1065" s="221"/>
      <c r="R1065" s="221"/>
      <c r="S1065" s="221"/>
      <c r="T1065" s="221"/>
      <c r="U1065" s="221"/>
      <c r="V1065" s="221"/>
      <c r="W1065" s="221"/>
      <c r="X1065" s="221"/>
      <c r="Y1065" s="221"/>
      <c r="Z1065" s="221"/>
    </row>
    <row r="1066" ht="33.75" customHeight="1">
      <c r="A1066" s="11" t="s">
        <v>1687</v>
      </c>
      <c r="B1066" s="22" t="s">
        <v>161</v>
      </c>
      <c r="C1066" s="11" t="s">
        <v>1688</v>
      </c>
      <c r="D1066" s="11"/>
      <c r="E1066" s="64">
        <v>46056.0</v>
      </c>
      <c r="F1066" s="72" t="s">
        <v>1133</v>
      </c>
      <c r="G1066" s="261">
        <v>11480.0</v>
      </c>
      <c r="H1066" s="74">
        <v>10731.0</v>
      </c>
      <c r="I1066" s="17">
        <f t="shared" ref="I1066:I1131" si="32">G1066-H1066</f>
        <v>749</v>
      </c>
      <c r="J1066" s="220" t="s">
        <v>1</v>
      </c>
      <c r="K1066" s="221"/>
      <c r="L1066" s="221"/>
      <c r="M1066" s="221"/>
      <c r="N1066" s="221"/>
      <c r="O1066" s="221"/>
      <c r="P1066" s="221"/>
      <c r="Q1066" s="221"/>
      <c r="R1066" s="221"/>
      <c r="S1066" s="221"/>
      <c r="T1066" s="221"/>
      <c r="U1066" s="221"/>
      <c r="V1066" s="221"/>
      <c r="W1066" s="221"/>
      <c r="X1066" s="221"/>
      <c r="Y1066" s="221"/>
      <c r="Z1066" s="221"/>
    </row>
    <row r="1067" ht="33.75" customHeight="1">
      <c r="A1067" s="11" t="s">
        <v>228</v>
      </c>
      <c r="B1067" s="22" t="s">
        <v>34</v>
      </c>
      <c r="C1067" s="11" t="s">
        <v>1689</v>
      </c>
      <c r="D1067" s="11"/>
      <c r="E1067" s="64">
        <v>46056.0</v>
      </c>
      <c r="F1067" s="14" t="s">
        <v>1133</v>
      </c>
      <c r="G1067" s="178">
        <v>14932.0</v>
      </c>
      <c r="H1067" s="16">
        <v>14352.0</v>
      </c>
      <c r="I1067" s="17">
        <f t="shared" si="32"/>
        <v>580</v>
      </c>
      <c r="J1067" s="220" t="s">
        <v>1</v>
      </c>
      <c r="K1067" s="221"/>
      <c r="L1067" s="221"/>
      <c r="M1067" s="221"/>
      <c r="N1067" s="221"/>
      <c r="O1067" s="221"/>
      <c r="P1067" s="221"/>
      <c r="Q1067" s="221"/>
      <c r="R1067" s="221"/>
      <c r="S1067" s="221"/>
      <c r="T1067" s="221"/>
      <c r="U1067" s="221"/>
      <c r="V1067" s="221"/>
      <c r="W1067" s="221"/>
      <c r="X1067" s="221"/>
      <c r="Y1067" s="221"/>
      <c r="Z1067" s="221"/>
    </row>
    <row r="1068" ht="33.75" customHeight="1">
      <c r="A1068" s="11" t="s">
        <v>167</v>
      </c>
      <c r="B1068" s="22" t="s">
        <v>34</v>
      </c>
      <c r="C1068" s="11" t="s">
        <v>1690</v>
      </c>
      <c r="D1068" s="11"/>
      <c r="E1068" s="64">
        <v>46056.0</v>
      </c>
      <c r="F1068" s="14" t="s">
        <v>1141</v>
      </c>
      <c r="G1068" s="178" t="s">
        <v>21</v>
      </c>
      <c r="H1068" s="16">
        <v>9299.0</v>
      </c>
      <c r="I1068" s="17">
        <f t="shared" si="32"/>
        <v>701</v>
      </c>
      <c r="J1068" s="220" t="s">
        <v>1316</v>
      </c>
      <c r="K1068" s="221"/>
      <c r="L1068" s="221"/>
      <c r="M1068" s="221"/>
      <c r="N1068" s="221"/>
      <c r="O1068" s="221"/>
      <c r="P1068" s="221"/>
      <c r="Q1068" s="221"/>
      <c r="R1068" s="221"/>
      <c r="S1068" s="221"/>
      <c r="T1068" s="221"/>
      <c r="U1068" s="221"/>
      <c r="V1068" s="221"/>
      <c r="W1068" s="221"/>
      <c r="X1068" s="221"/>
      <c r="Y1068" s="221"/>
      <c r="Z1068" s="221"/>
    </row>
    <row r="1069" ht="33.75" customHeight="1">
      <c r="A1069" s="11" t="s">
        <v>1691</v>
      </c>
      <c r="B1069" s="22" t="s">
        <v>98</v>
      </c>
      <c r="C1069" s="11" t="s">
        <v>1692</v>
      </c>
      <c r="D1069" s="11"/>
      <c r="E1069" s="76">
        <v>46056.0</v>
      </c>
      <c r="F1069" s="14" t="s">
        <v>17</v>
      </c>
      <c r="G1069" s="15" t="s">
        <v>1693</v>
      </c>
      <c r="H1069" s="28"/>
      <c r="I1069" s="17">
        <f t="shared" si="32"/>
        <v>9427</v>
      </c>
      <c r="J1069" s="220" t="s">
        <v>1</v>
      </c>
      <c r="K1069" s="221"/>
      <c r="L1069" s="221"/>
      <c r="M1069" s="221"/>
      <c r="N1069" s="221"/>
      <c r="O1069" s="221"/>
      <c r="P1069" s="221"/>
      <c r="Q1069" s="221"/>
      <c r="R1069" s="221"/>
      <c r="S1069" s="221"/>
      <c r="T1069" s="221"/>
      <c r="U1069" s="221"/>
      <c r="V1069" s="221"/>
      <c r="W1069" s="221"/>
      <c r="X1069" s="221"/>
      <c r="Y1069" s="221"/>
      <c r="Z1069" s="221"/>
    </row>
    <row r="1070" ht="33.75" customHeight="1">
      <c r="A1070" s="11" t="s">
        <v>1420</v>
      </c>
      <c r="B1070" s="22" t="s">
        <v>98</v>
      </c>
      <c r="C1070" s="11" t="s">
        <v>1694</v>
      </c>
      <c r="D1070" s="11"/>
      <c r="E1070" s="76">
        <v>46056.0</v>
      </c>
      <c r="F1070" s="14" t="s">
        <v>287</v>
      </c>
      <c r="G1070" s="15" t="s">
        <v>1695</v>
      </c>
      <c r="H1070" s="28"/>
      <c r="I1070" s="17">
        <f t="shared" si="32"/>
        <v>50720</v>
      </c>
      <c r="J1070" s="220" t="s">
        <v>1</v>
      </c>
      <c r="K1070" s="221"/>
      <c r="L1070" s="221"/>
      <c r="M1070" s="221"/>
      <c r="N1070" s="221"/>
      <c r="O1070" s="221"/>
      <c r="P1070" s="221"/>
      <c r="Q1070" s="221"/>
      <c r="R1070" s="221"/>
      <c r="S1070" s="221"/>
      <c r="T1070" s="221"/>
      <c r="U1070" s="221"/>
      <c r="V1070" s="221"/>
      <c r="W1070" s="221"/>
      <c r="X1070" s="221"/>
      <c r="Y1070" s="221"/>
      <c r="Z1070" s="221"/>
    </row>
    <row r="1071" ht="33.75" customHeight="1">
      <c r="A1071" s="11" t="s">
        <v>1583</v>
      </c>
      <c r="B1071" s="22"/>
      <c r="C1071" s="11" t="s">
        <v>1696</v>
      </c>
      <c r="D1071" s="11"/>
      <c r="E1071" s="76">
        <v>46056.0</v>
      </c>
      <c r="F1071" s="14" t="s">
        <v>1141</v>
      </c>
      <c r="G1071" s="15" t="s">
        <v>1697</v>
      </c>
      <c r="H1071" s="179">
        <v>6298.0</v>
      </c>
      <c r="I1071" s="17">
        <f t="shared" si="32"/>
        <v>1093</v>
      </c>
      <c r="J1071" s="220" t="s">
        <v>1</v>
      </c>
      <c r="K1071" s="221"/>
      <c r="L1071" s="221"/>
      <c r="M1071" s="221"/>
      <c r="N1071" s="221"/>
      <c r="O1071" s="221"/>
      <c r="P1071" s="221"/>
      <c r="Q1071" s="221"/>
      <c r="R1071" s="221"/>
      <c r="S1071" s="221"/>
      <c r="T1071" s="221"/>
      <c r="U1071" s="221"/>
      <c r="V1071" s="221"/>
      <c r="W1071" s="221"/>
      <c r="X1071" s="221"/>
      <c r="Y1071" s="221"/>
      <c r="Z1071" s="221"/>
    </row>
    <row r="1072" ht="33.75" customHeight="1">
      <c r="A1072" s="11" t="s">
        <v>1649</v>
      </c>
      <c r="B1072" s="22"/>
      <c r="C1072" s="11" t="s">
        <v>1698</v>
      </c>
      <c r="D1072" s="11"/>
      <c r="E1072" s="76">
        <v>46056.0</v>
      </c>
      <c r="F1072" s="14" t="s">
        <v>1141</v>
      </c>
      <c r="G1072" s="15" t="s">
        <v>1699</v>
      </c>
      <c r="H1072" s="16">
        <v>3992.0</v>
      </c>
      <c r="I1072" s="17">
        <f t="shared" si="32"/>
        <v>1008</v>
      </c>
      <c r="J1072" s="220" t="s">
        <v>1700</v>
      </c>
      <c r="K1072" s="221"/>
      <c r="L1072" s="221"/>
      <c r="M1072" s="221"/>
      <c r="N1072" s="221"/>
      <c r="O1072" s="221"/>
      <c r="P1072" s="221"/>
      <c r="Q1072" s="221"/>
      <c r="R1072" s="221"/>
      <c r="S1072" s="221"/>
      <c r="T1072" s="221"/>
      <c r="U1072" s="221"/>
      <c r="V1072" s="221"/>
      <c r="W1072" s="221"/>
      <c r="X1072" s="221"/>
      <c r="Y1072" s="221"/>
      <c r="Z1072" s="221"/>
    </row>
    <row r="1073" ht="33.75" customHeight="1">
      <c r="A1073" s="11" t="s">
        <v>28</v>
      </c>
      <c r="B1073" s="22" t="s">
        <v>81</v>
      </c>
      <c r="C1073" s="11" t="s">
        <v>1701</v>
      </c>
      <c r="D1073" s="11"/>
      <c r="E1073" s="64">
        <v>46057.0</v>
      </c>
      <c r="F1073" s="14" t="s">
        <v>17</v>
      </c>
      <c r="G1073" s="15" t="s">
        <v>336</v>
      </c>
      <c r="H1073" s="28"/>
      <c r="I1073" s="17">
        <f t="shared" si="32"/>
        <v>11000</v>
      </c>
      <c r="J1073" s="220" t="s">
        <v>1</v>
      </c>
      <c r="K1073" s="221"/>
      <c r="L1073" s="221"/>
      <c r="M1073" s="221"/>
      <c r="N1073" s="221"/>
      <c r="O1073" s="221"/>
      <c r="P1073" s="221"/>
      <c r="Q1073" s="221"/>
      <c r="R1073" s="221"/>
      <c r="S1073" s="221"/>
      <c r="T1073" s="221"/>
      <c r="U1073" s="221"/>
      <c r="V1073" s="221"/>
      <c r="W1073" s="221"/>
      <c r="X1073" s="221"/>
      <c r="Y1073" s="221"/>
      <c r="Z1073" s="221"/>
    </row>
    <row r="1074" ht="33.75" customHeight="1">
      <c r="A1074" s="11" t="s">
        <v>1702</v>
      </c>
      <c r="B1074" s="22" t="s">
        <v>260</v>
      </c>
      <c r="C1074" s="11" t="s">
        <v>1703</v>
      </c>
      <c r="D1074" s="11"/>
      <c r="E1074" s="64">
        <v>46057.0</v>
      </c>
      <c r="F1074" s="14" t="s">
        <v>1133</v>
      </c>
      <c r="G1074" s="15">
        <v>5000.0</v>
      </c>
      <c r="H1074" s="28">
        <v>3582.0</v>
      </c>
      <c r="I1074" s="17">
        <f t="shared" si="32"/>
        <v>1418</v>
      </c>
      <c r="J1074" s="220" t="s">
        <v>1</v>
      </c>
      <c r="K1074" s="221"/>
      <c r="L1074" s="221"/>
      <c r="M1074" s="221"/>
      <c r="N1074" s="221"/>
      <c r="O1074" s="221"/>
      <c r="P1074" s="221"/>
      <c r="Q1074" s="221"/>
      <c r="R1074" s="221"/>
      <c r="S1074" s="221"/>
      <c r="T1074" s="221"/>
      <c r="U1074" s="221"/>
      <c r="V1074" s="221"/>
      <c r="W1074" s="221"/>
      <c r="X1074" s="221"/>
      <c r="Y1074" s="221"/>
      <c r="Z1074" s="221"/>
    </row>
    <row r="1075" ht="33.75" customHeight="1">
      <c r="A1075" s="11" t="s">
        <v>1544</v>
      </c>
      <c r="B1075" s="22" t="s">
        <v>260</v>
      </c>
      <c r="C1075" s="11" t="s">
        <v>1703</v>
      </c>
      <c r="D1075" s="11"/>
      <c r="E1075" s="64">
        <v>46057.0</v>
      </c>
      <c r="F1075" s="14" t="s">
        <v>1133</v>
      </c>
      <c r="G1075" s="15">
        <v>5000.0</v>
      </c>
      <c r="H1075" s="28">
        <v>3553.0</v>
      </c>
      <c r="I1075" s="17">
        <f t="shared" si="32"/>
        <v>1447</v>
      </c>
      <c r="J1075" s="220" t="s">
        <v>1</v>
      </c>
      <c r="K1075" s="221"/>
      <c r="L1075" s="221"/>
      <c r="M1075" s="221"/>
      <c r="N1075" s="221"/>
      <c r="O1075" s="221"/>
      <c r="P1075" s="221"/>
      <c r="Q1075" s="221"/>
      <c r="R1075" s="221"/>
      <c r="S1075" s="221"/>
      <c r="T1075" s="221"/>
      <c r="U1075" s="221"/>
      <c r="V1075" s="221"/>
      <c r="W1075" s="221"/>
      <c r="X1075" s="221"/>
      <c r="Y1075" s="221"/>
      <c r="Z1075" s="221"/>
    </row>
    <row r="1076" ht="33.75" customHeight="1">
      <c r="A1076" s="11" t="s">
        <v>1704</v>
      </c>
      <c r="B1076" s="22" t="s">
        <v>260</v>
      </c>
      <c r="C1076" s="11" t="s">
        <v>1703</v>
      </c>
      <c r="D1076" s="11"/>
      <c r="E1076" s="64">
        <v>46057.0</v>
      </c>
      <c r="F1076" s="14" t="s">
        <v>1133</v>
      </c>
      <c r="G1076" s="15">
        <v>5000.0</v>
      </c>
      <c r="H1076" s="28">
        <v>3559.0</v>
      </c>
      <c r="I1076" s="17">
        <f t="shared" si="32"/>
        <v>1441</v>
      </c>
      <c r="J1076" s="220" t="s">
        <v>1</v>
      </c>
      <c r="K1076" s="221"/>
      <c r="L1076" s="221"/>
      <c r="M1076" s="221"/>
      <c r="N1076" s="221"/>
      <c r="O1076" s="221"/>
      <c r="P1076" s="221"/>
      <c r="Q1076" s="221"/>
      <c r="R1076" s="221"/>
      <c r="S1076" s="221"/>
      <c r="T1076" s="221"/>
      <c r="U1076" s="221"/>
      <c r="V1076" s="221"/>
      <c r="W1076" s="221"/>
      <c r="X1076" s="221"/>
      <c r="Y1076" s="221"/>
      <c r="Z1076" s="221"/>
    </row>
    <row r="1077" ht="33.75" customHeight="1">
      <c r="A1077" s="11" t="s">
        <v>1594</v>
      </c>
      <c r="B1077" s="22" t="s">
        <v>260</v>
      </c>
      <c r="C1077" s="11" t="s">
        <v>1703</v>
      </c>
      <c r="D1077" s="11"/>
      <c r="E1077" s="64">
        <v>46057.0</v>
      </c>
      <c r="F1077" s="14" t="s">
        <v>1133</v>
      </c>
      <c r="G1077" s="15">
        <v>5000.0</v>
      </c>
      <c r="H1077" s="28">
        <v>3805.0</v>
      </c>
      <c r="I1077" s="17">
        <f t="shared" si="32"/>
        <v>1195</v>
      </c>
      <c r="J1077" s="220" t="s">
        <v>1</v>
      </c>
      <c r="K1077" s="221"/>
      <c r="L1077" s="221"/>
      <c r="M1077" s="221"/>
      <c r="N1077" s="221"/>
      <c r="O1077" s="221"/>
      <c r="P1077" s="221"/>
      <c r="Q1077" s="221"/>
      <c r="R1077" s="221"/>
      <c r="S1077" s="221"/>
      <c r="T1077" s="221"/>
      <c r="U1077" s="221"/>
      <c r="V1077" s="221"/>
      <c r="W1077" s="221"/>
      <c r="X1077" s="221"/>
      <c r="Y1077" s="221"/>
      <c r="Z1077" s="221"/>
    </row>
    <row r="1078" ht="33.75" customHeight="1">
      <c r="A1078" s="11" t="s">
        <v>1705</v>
      </c>
      <c r="B1078" s="22" t="s">
        <v>260</v>
      </c>
      <c r="C1078" s="11" t="s">
        <v>1703</v>
      </c>
      <c r="D1078" s="11"/>
      <c r="E1078" s="64">
        <v>46057.0</v>
      </c>
      <c r="F1078" s="14" t="s">
        <v>1133</v>
      </c>
      <c r="G1078" s="15">
        <v>5000.0</v>
      </c>
      <c r="H1078" s="28">
        <v>1889.0</v>
      </c>
      <c r="I1078" s="17">
        <f t="shared" si="32"/>
        <v>3111</v>
      </c>
      <c r="J1078" s="220" t="s">
        <v>1</v>
      </c>
      <c r="K1078" s="221"/>
      <c r="L1078" s="221"/>
      <c r="M1078" s="221"/>
      <c r="N1078" s="221"/>
      <c r="O1078" s="221"/>
      <c r="P1078" s="221"/>
      <c r="Q1078" s="221"/>
      <c r="R1078" s="221"/>
      <c r="S1078" s="221"/>
      <c r="T1078" s="221"/>
      <c r="U1078" s="221"/>
      <c r="V1078" s="221"/>
      <c r="W1078" s="221"/>
      <c r="X1078" s="221"/>
      <c r="Y1078" s="221"/>
      <c r="Z1078" s="221"/>
    </row>
    <row r="1079" ht="33.75" customHeight="1">
      <c r="A1079" s="11" t="s">
        <v>1706</v>
      </c>
      <c r="B1079" s="22" t="s">
        <v>260</v>
      </c>
      <c r="C1079" s="11" t="s">
        <v>1703</v>
      </c>
      <c r="D1079" s="11"/>
      <c r="E1079" s="64">
        <v>46057.0</v>
      </c>
      <c r="F1079" s="14" t="s">
        <v>1133</v>
      </c>
      <c r="G1079" s="15" t="s">
        <v>1707</v>
      </c>
      <c r="H1079" s="28">
        <v>3320.0</v>
      </c>
      <c r="I1079" s="17">
        <f t="shared" si="32"/>
        <v>3680</v>
      </c>
      <c r="J1079" s="220" t="s">
        <v>1</v>
      </c>
      <c r="K1079" s="221"/>
      <c r="L1079" s="221"/>
      <c r="M1079" s="221"/>
      <c r="N1079" s="221"/>
      <c r="O1079" s="221"/>
      <c r="P1079" s="221"/>
      <c r="Q1079" s="221"/>
      <c r="R1079" s="221"/>
      <c r="S1079" s="221"/>
      <c r="T1079" s="221"/>
      <c r="U1079" s="221"/>
      <c r="V1079" s="221"/>
      <c r="W1079" s="221"/>
      <c r="X1079" s="221"/>
      <c r="Y1079" s="221"/>
      <c r="Z1079" s="221"/>
    </row>
    <row r="1080" ht="33.75" customHeight="1">
      <c r="A1080" s="11" t="s">
        <v>1708</v>
      </c>
      <c r="B1080" s="22" t="s">
        <v>260</v>
      </c>
      <c r="C1080" s="11" t="s">
        <v>1703</v>
      </c>
      <c r="D1080" s="11"/>
      <c r="E1080" s="64">
        <v>46057.0</v>
      </c>
      <c r="F1080" s="14" t="s">
        <v>1133</v>
      </c>
      <c r="G1080" s="15" t="s">
        <v>1707</v>
      </c>
      <c r="H1080" s="28">
        <v>2821.0</v>
      </c>
      <c r="I1080" s="17">
        <f t="shared" si="32"/>
        <v>4179</v>
      </c>
      <c r="J1080" s="220" t="s">
        <v>1</v>
      </c>
      <c r="K1080" s="221"/>
      <c r="L1080" s="221"/>
      <c r="M1080" s="221"/>
      <c r="N1080" s="221"/>
      <c r="O1080" s="221"/>
      <c r="P1080" s="221"/>
      <c r="Q1080" s="221"/>
      <c r="R1080" s="221"/>
      <c r="S1080" s="221"/>
      <c r="T1080" s="221"/>
      <c r="U1080" s="221"/>
      <c r="V1080" s="221"/>
      <c r="W1080" s="221"/>
      <c r="X1080" s="221"/>
      <c r="Y1080" s="221"/>
      <c r="Z1080" s="221"/>
    </row>
    <row r="1081" ht="33.75" customHeight="1">
      <c r="A1081" s="195" t="s">
        <v>1177</v>
      </c>
      <c r="B1081" s="262"/>
      <c r="C1081" s="195"/>
      <c r="D1081" s="195"/>
      <c r="E1081" s="197">
        <v>46057.0</v>
      </c>
      <c r="F1081" s="198" t="s">
        <v>1133</v>
      </c>
      <c r="G1081" s="263" t="s">
        <v>573</v>
      </c>
      <c r="H1081" s="200"/>
      <c r="I1081" s="201">
        <f t="shared" si="32"/>
        <v>10000</v>
      </c>
      <c r="J1081" s="202" t="s">
        <v>1051</v>
      </c>
      <c r="K1081" s="203"/>
      <c r="L1081" s="203"/>
      <c r="M1081" s="203"/>
      <c r="N1081" s="203"/>
      <c r="O1081" s="203"/>
      <c r="P1081" s="203"/>
      <c r="Q1081" s="203"/>
      <c r="R1081" s="203"/>
      <c r="S1081" s="203"/>
      <c r="T1081" s="203"/>
      <c r="U1081" s="203"/>
      <c r="V1081" s="203"/>
      <c r="W1081" s="203"/>
      <c r="X1081" s="203"/>
      <c r="Y1081" s="203"/>
      <c r="Z1081" s="203"/>
    </row>
    <row r="1082" ht="33.75" customHeight="1">
      <c r="A1082" s="195" t="s">
        <v>1271</v>
      </c>
      <c r="B1082" s="262"/>
      <c r="C1082" s="195"/>
      <c r="D1082" s="195"/>
      <c r="E1082" s="197">
        <v>46057.0</v>
      </c>
      <c r="F1082" s="198" t="s">
        <v>1133</v>
      </c>
      <c r="G1082" s="263">
        <v>4000.0</v>
      </c>
      <c r="H1082" s="200"/>
      <c r="I1082" s="201">
        <f t="shared" si="32"/>
        <v>4000</v>
      </c>
      <c r="J1082" s="202" t="s">
        <v>1051</v>
      </c>
      <c r="K1082" s="203"/>
      <c r="L1082" s="203"/>
      <c r="M1082" s="203"/>
      <c r="N1082" s="203"/>
      <c r="O1082" s="203"/>
      <c r="P1082" s="203"/>
      <c r="Q1082" s="203"/>
      <c r="R1082" s="203"/>
      <c r="S1082" s="203"/>
      <c r="T1082" s="203"/>
      <c r="U1082" s="203"/>
      <c r="V1082" s="203"/>
      <c r="W1082" s="203"/>
      <c r="X1082" s="203"/>
      <c r="Y1082" s="203"/>
      <c r="Z1082" s="203"/>
    </row>
    <row r="1083" ht="33.75" customHeight="1">
      <c r="A1083" s="195" t="s">
        <v>1550</v>
      </c>
      <c r="B1083" s="262"/>
      <c r="C1083" s="195"/>
      <c r="D1083" s="195"/>
      <c r="E1083" s="197">
        <v>46057.0</v>
      </c>
      <c r="F1083" s="198" t="s">
        <v>1133</v>
      </c>
      <c r="G1083" s="263" t="s">
        <v>1699</v>
      </c>
      <c r="H1083" s="200"/>
      <c r="I1083" s="201">
        <f t="shared" si="32"/>
        <v>5000</v>
      </c>
      <c r="J1083" s="202" t="s">
        <v>1051</v>
      </c>
      <c r="K1083" s="203"/>
      <c r="L1083" s="203"/>
      <c r="M1083" s="203"/>
      <c r="N1083" s="203"/>
      <c r="O1083" s="203"/>
      <c r="P1083" s="203"/>
      <c r="Q1083" s="203"/>
      <c r="R1083" s="203"/>
      <c r="S1083" s="203"/>
      <c r="T1083" s="203"/>
      <c r="U1083" s="203"/>
      <c r="V1083" s="203"/>
      <c r="W1083" s="203"/>
      <c r="X1083" s="203"/>
      <c r="Y1083" s="203"/>
      <c r="Z1083" s="203"/>
    </row>
    <row r="1084" ht="33.75" customHeight="1">
      <c r="A1084" s="195" t="s">
        <v>1709</v>
      </c>
      <c r="B1084" s="262"/>
      <c r="C1084" s="195"/>
      <c r="D1084" s="195"/>
      <c r="E1084" s="197">
        <v>46057.0</v>
      </c>
      <c r="F1084" s="198" t="s">
        <v>1133</v>
      </c>
      <c r="G1084" s="263" t="s">
        <v>573</v>
      </c>
      <c r="H1084" s="200"/>
      <c r="I1084" s="201">
        <f t="shared" si="32"/>
        <v>10000</v>
      </c>
      <c r="J1084" s="202" t="s">
        <v>1051</v>
      </c>
      <c r="K1084" s="203"/>
      <c r="L1084" s="203"/>
      <c r="M1084" s="203"/>
      <c r="N1084" s="203"/>
      <c r="O1084" s="203"/>
      <c r="P1084" s="203"/>
      <c r="Q1084" s="203"/>
      <c r="R1084" s="203"/>
      <c r="S1084" s="203"/>
      <c r="T1084" s="203"/>
      <c r="U1084" s="203"/>
      <c r="V1084" s="203"/>
      <c r="W1084" s="203"/>
      <c r="X1084" s="203"/>
      <c r="Y1084" s="203"/>
      <c r="Z1084" s="203"/>
    </row>
    <row r="1085" ht="33.75" customHeight="1">
      <c r="A1085" s="195" t="s">
        <v>475</v>
      </c>
      <c r="B1085" s="262"/>
      <c r="C1085" s="195"/>
      <c r="D1085" s="195"/>
      <c r="E1085" s="197">
        <v>46057.0</v>
      </c>
      <c r="F1085" s="198" t="s">
        <v>1133</v>
      </c>
      <c r="G1085" s="263" t="s">
        <v>573</v>
      </c>
      <c r="H1085" s="200"/>
      <c r="I1085" s="201">
        <f t="shared" si="32"/>
        <v>10000</v>
      </c>
      <c r="J1085" s="202" t="s">
        <v>1051</v>
      </c>
      <c r="K1085" s="203"/>
      <c r="L1085" s="203"/>
      <c r="M1085" s="203"/>
      <c r="N1085" s="203"/>
      <c r="O1085" s="203"/>
      <c r="P1085" s="203"/>
      <c r="Q1085" s="203"/>
      <c r="R1085" s="203"/>
      <c r="S1085" s="203"/>
      <c r="T1085" s="203"/>
      <c r="U1085" s="203"/>
      <c r="V1085" s="203"/>
      <c r="W1085" s="203"/>
      <c r="X1085" s="203"/>
      <c r="Y1085" s="203"/>
      <c r="Z1085" s="203"/>
    </row>
    <row r="1086" ht="33.75" customHeight="1">
      <c r="A1086" s="195" t="s">
        <v>480</v>
      </c>
      <c r="B1086" s="262"/>
      <c r="C1086" s="195"/>
      <c r="D1086" s="195"/>
      <c r="E1086" s="197">
        <v>46057.0</v>
      </c>
      <c r="F1086" s="198" t="s">
        <v>1133</v>
      </c>
      <c r="G1086" s="263" t="s">
        <v>573</v>
      </c>
      <c r="H1086" s="200"/>
      <c r="I1086" s="201">
        <f t="shared" si="32"/>
        <v>10000</v>
      </c>
      <c r="J1086" s="202" t="s">
        <v>1051</v>
      </c>
      <c r="K1086" s="203"/>
      <c r="L1086" s="203"/>
      <c r="M1086" s="203"/>
      <c r="N1086" s="203"/>
      <c r="O1086" s="203"/>
      <c r="P1086" s="203"/>
      <c r="Q1086" s="203"/>
      <c r="R1086" s="203"/>
      <c r="S1086" s="203"/>
      <c r="T1086" s="203"/>
      <c r="U1086" s="203"/>
      <c r="V1086" s="203"/>
      <c r="W1086" s="203"/>
      <c r="X1086" s="203"/>
      <c r="Y1086" s="203"/>
      <c r="Z1086" s="203"/>
    </row>
    <row r="1087" ht="33.75" customHeight="1">
      <c r="A1087" s="11" t="s">
        <v>1710</v>
      </c>
      <c r="B1087" s="22" t="s">
        <v>260</v>
      </c>
      <c r="C1087" s="11" t="s">
        <v>1703</v>
      </c>
      <c r="D1087" s="11"/>
      <c r="E1087" s="64">
        <v>46057.0</v>
      </c>
      <c r="F1087" s="14" t="s">
        <v>1133</v>
      </c>
      <c r="G1087" s="15" t="s">
        <v>1699</v>
      </c>
      <c r="H1087" s="28">
        <v>3239.0</v>
      </c>
      <c r="I1087" s="17">
        <f t="shared" si="32"/>
        <v>1761</v>
      </c>
      <c r="J1087" s="220" t="s">
        <v>1</v>
      </c>
      <c r="K1087" s="221"/>
      <c r="L1087" s="221"/>
      <c r="M1087" s="221"/>
      <c r="N1087" s="221"/>
      <c r="O1087" s="221"/>
      <c r="P1087" s="221"/>
      <c r="Q1087" s="221"/>
      <c r="R1087" s="221"/>
      <c r="S1087" s="221"/>
      <c r="T1087" s="221"/>
      <c r="U1087" s="221"/>
      <c r="V1087" s="221"/>
      <c r="W1087" s="221"/>
      <c r="X1087" s="221"/>
      <c r="Y1087" s="221"/>
      <c r="Z1087" s="221"/>
    </row>
    <row r="1088" ht="33.75" customHeight="1">
      <c r="A1088" s="11" t="s">
        <v>774</v>
      </c>
      <c r="B1088" s="22" t="s">
        <v>44</v>
      </c>
      <c r="C1088" s="11" t="s">
        <v>1711</v>
      </c>
      <c r="D1088" s="11"/>
      <c r="E1088" s="64">
        <v>46057.0</v>
      </c>
      <c r="F1088" s="14" t="s">
        <v>287</v>
      </c>
      <c r="G1088" s="15" t="s">
        <v>1712</v>
      </c>
      <c r="H1088" s="28"/>
      <c r="I1088" s="17">
        <f t="shared" si="32"/>
        <v>69596</v>
      </c>
      <c r="J1088" s="220" t="s">
        <v>1</v>
      </c>
      <c r="K1088" s="221"/>
      <c r="L1088" s="221"/>
      <c r="M1088" s="221"/>
      <c r="N1088" s="221"/>
      <c r="O1088" s="221"/>
      <c r="P1088" s="221"/>
      <c r="Q1088" s="221"/>
      <c r="R1088" s="221"/>
      <c r="S1088" s="221"/>
      <c r="T1088" s="221"/>
      <c r="U1088" s="221"/>
      <c r="V1088" s="221"/>
      <c r="W1088" s="221"/>
      <c r="X1088" s="221"/>
      <c r="Y1088" s="221"/>
      <c r="Z1088" s="221"/>
    </row>
    <row r="1089" ht="33.75" customHeight="1">
      <c r="A1089" s="11" t="s">
        <v>1713</v>
      </c>
      <c r="B1089" s="22" t="s">
        <v>85</v>
      </c>
      <c r="C1089" s="11" t="s">
        <v>1714</v>
      </c>
      <c r="D1089" s="11"/>
      <c r="E1089" s="64">
        <v>46057.0</v>
      </c>
      <c r="F1089" s="14" t="s">
        <v>1141</v>
      </c>
      <c r="G1089" s="15" t="s">
        <v>1715</v>
      </c>
      <c r="H1089" s="28">
        <v>27514.0</v>
      </c>
      <c r="I1089" s="17">
        <f t="shared" si="32"/>
        <v>2809</v>
      </c>
      <c r="J1089" s="220" t="s">
        <v>1</v>
      </c>
      <c r="K1089" s="221"/>
      <c r="L1089" s="221"/>
      <c r="M1089" s="221"/>
      <c r="N1089" s="221"/>
      <c r="O1089" s="221"/>
      <c r="P1089" s="221"/>
      <c r="Q1089" s="221"/>
      <c r="R1089" s="221"/>
      <c r="S1089" s="221"/>
      <c r="T1089" s="221"/>
      <c r="U1089" s="221"/>
      <c r="V1089" s="221"/>
      <c r="W1089" s="221"/>
      <c r="X1089" s="221"/>
      <c r="Y1089" s="221"/>
      <c r="Z1089" s="221"/>
    </row>
    <row r="1090" ht="33.75" customHeight="1">
      <c r="A1090" s="11" t="s">
        <v>1587</v>
      </c>
      <c r="B1090" s="22" t="s">
        <v>88</v>
      </c>
      <c r="C1090" s="11" t="s">
        <v>1716</v>
      </c>
      <c r="D1090" s="11"/>
      <c r="E1090" s="64">
        <v>46057.0</v>
      </c>
      <c r="F1090" s="14" t="s">
        <v>287</v>
      </c>
      <c r="G1090" s="178">
        <v>38711.0</v>
      </c>
      <c r="H1090" s="28"/>
      <c r="I1090" s="17">
        <f t="shared" si="32"/>
        <v>38711</v>
      </c>
      <c r="J1090" s="25" t="s">
        <v>1</v>
      </c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</row>
    <row r="1091" ht="33.75" customHeight="1">
      <c r="A1091" s="11" t="s">
        <v>109</v>
      </c>
      <c r="B1091" s="22" t="s">
        <v>260</v>
      </c>
      <c r="C1091" s="11" t="s">
        <v>1717</v>
      </c>
      <c r="D1091" s="11"/>
      <c r="E1091" s="64">
        <v>46057.0</v>
      </c>
      <c r="F1091" s="14" t="s">
        <v>17</v>
      </c>
      <c r="G1091" s="15" t="s">
        <v>1718</v>
      </c>
      <c r="H1091" s="28"/>
      <c r="I1091" s="17">
        <f t="shared" si="32"/>
        <v>9008</v>
      </c>
      <c r="J1091" s="220" t="s">
        <v>1</v>
      </c>
      <c r="K1091" s="221"/>
      <c r="L1091" s="221"/>
      <c r="M1091" s="221"/>
      <c r="N1091" s="221"/>
      <c r="O1091" s="221"/>
      <c r="P1091" s="221"/>
      <c r="Q1091" s="221"/>
      <c r="R1091" s="221"/>
      <c r="S1091" s="221"/>
      <c r="T1091" s="221"/>
      <c r="U1091" s="221"/>
      <c r="V1091" s="221"/>
      <c r="W1091" s="221"/>
      <c r="X1091" s="221"/>
      <c r="Y1091" s="221"/>
      <c r="Z1091" s="221"/>
    </row>
    <row r="1092" ht="33.75" customHeight="1">
      <c r="A1092" s="11" t="s">
        <v>1535</v>
      </c>
      <c r="B1092" s="22" t="s">
        <v>260</v>
      </c>
      <c r="C1092" s="11" t="s">
        <v>1719</v>
      </c>
      <c r="D1092" s="11"/>
      <c r="E1092" s="64">
        <v>46057.0</v>
      </c>
      <c r="F1092" s="14" t="s">
        <v>1191</v>
      </c>
      <c r="G1092" s="15" t="s">
        <v>1720</v>
      </c>
      <c r="H1092" s="16">
        <v>899.0</v>
      </c>
      <c r="I1092" s="17">
        <f t="shared" si="32"/>
        <v>199</v>
      </c>
      <c r="J1092" s="220" t="s">
        <v>1</v>
      </c>
      <c r="K1092" s="221"/>
      <c r="L1092" s="221"/>
      <c r="M1092" s="221"/>
      <c r="N1092" s="221"/>
      <c r="O1092" s="221"/>
      <c r="P1092" s="221"/>
      <c r="Q1092" s="221"/>
      <c r="R1092" s="221"/>
      <c r="S1092" s="221"/>
      <c r="T1092" s="221"/>
      <c r="U1092" s="221"/>
      <c r="V1092" s="221"/>
      <c r="W1092" s="221"/>
      <c r="X1092" s="221"/>
      <c r="Y1092" s="221"/>
      <c r="Z1092" s="221"/>
    </row>
    <row r="1093" ht="33.75" customHeight="1">
      <c r="A1093" s="11" t="s">
        <v>1587</v>
      </c>
      <c r="B1093" s="22" t="s">
        <v>1721</v>
      </c>
      <c r="C1093" s="11" t="s">
        <v>1722</v>
      </c>
      <c r="D1093" s="11"/>
      <c r="E1093" s="64">
        <v>46057.0</v>
      </c>
      <c r="F1093" s="14" t="s">
        <v>287</v>
      </c>
      <c r="G1093" s="178">
        <v>38710.0</v>
      </c>
      <c r="H1093" s="28"/>
      <c r="I1093" s="17">
        <f t="shared" si="32"/>
        <v>38710</v>
      </c>
      <c r="J1093" s="25" t="s">
        <v>1</v>
      </c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</row>
    <row r="1094" ht="33.75" customHeight="1">
      <c r="A1094" s="11" t="s">
        <v>28</v>
      </c>
      <c r="B1094" s="22" t="s">
        <v>37</v>
      </c>
      <c r="C1094" s="11" t="s">
        <v>1701</v>
      </c>
      <c r="D1094" s="11"/>
      <c r="E1094" s="64">
        <v>46057.0</v>
      </c>
      <c r="F1094" s="14" t="s">
        <v>17</v>
      </c>
      <c r="G1094" s="15" t="s">
        <v>336</v>
      </c>
      <c r="H1094" s="28"/>
      <c r="I1094" s="17">
        <f t="shared" si="32"/>
        <v>11000</v>
      </c>
      <c r="J1094" s="220" t="s">
        <v>1</v>
      </c>
      <c r="K1094" s="221"/>
      <c r="L1094" s="221"/>
      <c r="M1094" s="221"/>
      <c r="N1094" s="221"/>
      <c r="O1094" s="221"/>
      <c r="P1094" s="221"/>
      <c r="Q1094" s="221"/>
      <c r="R1094" s="221"/>
      <c r="S1094" s="221"/>
      <c r="T1094" s="221"/>
      <c r="U1094" s="221"/>
      <c r="V1094" s="221"/>
      <c r="W1094" s="221"/>
      <c r="X1094" s="221"/>
      <c r="Y1094" s="221"/>
      <c r="Z1094" s="221"/>
    </row>
    <row r="1095" ht="33.75" customHeight="1">
      <c r="A1095" s="11" t="s">
        <v>1587</v>
      </c>
      <c r="B1095" s="22" t="s">
        <v>530</v>
      </c>
      <c r="C1095" s="11" t="s">
        <v>1723</v>
      </c>
      <c r="D1095" s="11"/>
      <c r="E1095" s="64">
        <v>46057.0</v>
      </c>
      <c r="F1095" s="14" t="s">
        <v>287</v>
      </c>
      <c r="G1095" s="178">
        <v>40000.0</v>
      </c>
      <c r="H1095" s="28"/>
      <c r="I1095" s="17">
        <f t="shared" si="32"/>
        <v>40000</v>
      </c>
      <c r="J1095" s="25" t="s">
        <v>1</v>
      </c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</row>
    <row r="1096" ht="33.75" customHeight="1">
      <c r="A1096" s="11" t="s">
        <v>1381</v>
      </c>
      <c r="B1096" s="22" t="s">
        <v>1724</v>
      </c>
      <c r="C1096" s="11" t="s">
        <v>1725</v>
      </c>
      <c r="D1096" s="11"/>
      <c r="E1096" s="64">
        <v>46057.0</v>
      </c>
      <c r="F1096" s="14" t="s">
        <v>17</v>
      </c>
      <c r="G1096" s="15" t="s">
        <v>1726</v>
      </c>
      <c r="H1096" s="28"/>
      <c r="I1096" s="17">
        <f t="shared" si="32"/>
        <v>773</v>
      </c>
      <c r="J1096" s="25" t="s">
        <v>1</v>
      </c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</row>
    <row r="1097" ht="33.75" customHeight="1">
      <c r="A1097" s="11" t="s">
        <v>1314</v>
      </c>
      <c r="B1097" s="22" t="s">
        <v>1721</v>
      </c>
      <c r="C1097" s="11" t="s">
        <v>1727</v>
      </c>
      <c r="D1097" s="11"/>
      <c r="E1097" s="64">
        <v>46057.0</v>
      </c>
      <c r="F1097" s="14" t="s">
        <v>287</v>
      </c>
      <c r="G1097" s="15" t="s">
        <v>1728</v>
      </c>
      <c r="H1097" s="28"/>
      <c r="I1097" s="17">
        <f t="shared" si="32"/>
        <v>1000</v>
      </c>
      <c r="J1097" s="25" t="s">
        <v>1</v>
      </c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</row>
    <row r="1098" ht="33.75" customHeight="1">
      <c r="A1098" s="11" t="s">
        <v>1587</v>
      </c>
      <c r="B1098" s="22" t="s">
        <v>437</v>
      </c>
      <c r="C1098" s="11" t="s">
        <v>1729</v>
      </c>
      <c r="D1098" s="11"/>
      <c r="E1098" s="64">
        <v>46057.0</v>
      </c>
      <c r="F1098" s="14" t="s">
        <v>287</v>
      </c>
      <c r="G1098" s="178">
        <v>40000.0</v>
      </c>
      <c r="H1098" s="28"/>
      <c r="I1098" s="17">
        <f t="shared" si="32"/>
        <v>40000</v>
      </c>
      <c r="J1098" s="25" t="s">
        <v>1</v>
      </c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</row>
    <row r="1099" ht="33.75" customHeight="1">
      <c r="A1099" s="11" t="s">
        <v>1242</v>
      </c>
      <c r="B1099" s="22" t="s">
        <v>1724</v>
      </c>
      <c r="C1099" s="11" t="s">
        <v>1730</v>
      </c>
      <c r="D1099" s="11"/>
      <c r="E1099" s="64">
        <v>46057.0</v>
      </c>
      <c r="F1099" s="14" t="s">
        <v>17</v>
      </c>
      <c r="G1099" s="15" t="s">
        <v>1731</v>
      </c>
      <c r="H1099" s="28"/>
      <c r="I1099" s="17">
        <f t="shared" si="32"/>
        <v>12004</v>
      </c>
      <c r="J1099" s="25" t="s">
        <v>1</v>
      </c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</row>
    <row r="1100" ht="33.75" customHeight="1">
      <c r="A1100" s="11" t="s">
        <v>1732</v>
      </c>
      <c r="B1100" s="22" t="s">
        <v>34</v>
      </c>
      <c r="C1100" s="11" t="s">
        <v>1733</v>
      </c>
      <c r="D1100" s="11"/>
      <c r="E1100" s="64">
        <v>46057.0</v>
      </c>
      <c r="F1100" s="14" t="s">
        <v>1133</v>
      </c>
      <c r="G1100" s="15" t="s">
        <v>1728</v>
      </c>
      <c r="H1100" s="16">
        <v>873.0</v>
      </c>
      <c r="I1100" s="17">
        <f t="shared" si="32"/>
        <v>127</v>
      </c>
      <c r="J1100" s="25" t="s">
        <v>1</v>
      </c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</row>
    <row r="1101" ht="33.75" customHeight="1">
      <c r="A1101" s="11" t="s">
        <v>1334</v>
      </c>
      <c r="B1101" s="22" t="s">
        <v>34</v>
      </c>
      <c r="C1101" s="11" t="s">
        <v>1734</v>
      </c>
      <c r="D1101" s="11"/>
      <c r="E1101" s="64">
        <v>46057.0</v>
      </c>
      <c r="F1101" s="14" t="s">
        <v>1141</v>
      </c>
      <c r="G1101" s="15" t="s">
        <v>1735</v>
      </c>
      <c r="H1101" s="28"/>
      <c r="I1101" s="17">
        <f t="shared" si="32"/>
        <v>30481</v>
      </c>
      <c r="J1101" s="25" t="s">
        <v>1</v>
      </c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</row>
    <row r="1102" ht="33.75" customHeight="1">
      <c r="A1102" s="11" t="s">
        <v>167</v>
      </c>
      <c r="B1102" s="22" t="s">
        <v>34</v>
      </c>
      <c r="C1102" s="11" t="s">
        <v>1736</v>
      </c>
      <c r="D1102" s="11"/>
      <c r="E1102" s="64">
        <v>46057.0</v>
      </c>
      <c r="F1102" s="14" t="s">
        <v>1191</v>
      </c>
      <c r="G1102" s="15" t="s">
        <v>1737</v>
      </c>
      <c r="H1102" s="16">
        <v>12197.0</v>
      </c>
      <c r="I1102" s="17">
        <f t="shared" si="32"/>
        <v>45</v>
      </c>
      <c r="J1102" s="25" t="s">
        <v>1</v>
      </c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</row>
    <row r="1103" ht="33.75" customHeight="1">
      <c r="A1103" s="11" t="s">
        <v>1587</v>
      </c>
      <c r="B1103" s="22" t="s">
        <v>1011</v>
      </c>
      <c r="C1103" s="11" t="s">
        <v>1738</v>
      </c>
      <c r="D1103" s="11"/>
      <c r="E1103" s="64">
        <v>46058.0</v>
      </c>
      <c r="F1103" s="14" t="s">
        <v>287</v>
      </c>
      <c r="G1103" s="178">
        <v>40000.0</v>
      </c>
      <c r="H1103" s="28"/>
      <c r="I1103" s="17">
        <f t="shared" si="32"/>
        <v>40000</v>
      </c>
      <c r="J1103" s="25" t="s">
        <v>1</v>
      </c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</row>
    <row r="1104" ht="33.75" customHeight="1">
      <c r="A1104" s="11" t="s">
        <v>1587</v>
      </c>
      <c r="B1104" s="22" t="s">
        <v>530</v>
      </c>
      <c r="C1104" s="11" t="s">
        <v>1739</v>
      </c>
      <c r="D1104" s="11"/>
      <c r="E1104" s="64">
        <v>46058.0</v>
      </c>
      <c r="F1104" s="14" t="s">
        <v>287</v>
      </c>
      <c r="G1104" s="178">
        <v>40000.0</v>
      </c>
      <c r="H1104" s="28"/>
      <c r="I1104" s="17">
        <f t="shared" si="32"/>
        <v>40000</v>
      </c>
      <c r="J1104" s="25" t="s">
        <v>1</v>
      </c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</row>
    <row r="1105" ht="33.75" customHeight="1">
      <c r="A1105" s="11" t="s">
        <v>516</v>
      </c>
      <c r="B1105" s="22" t="s">
        <v>85</v>
      </c>
      <c r="C1105" s="11" t="s">
        <v>1740</v>
      </c>
      <c r="D1105" s="11"/>
      <c r="E1105" s="64">
        <v>46058.0</v>
      </c>
      <c r="F1105" s="14" t="s">
        <v>1133</v>
      </c>
      <c r="G1105" s="178">
        <v>12000.0</v>
      </c>
      <c r="H1105" s="16">
        <v>7058.0</v>
      </c>
      <c r="I1105" s="17">
        <f t="shared" si="32"/>
        <v>4942</v>
      </c>
      <c r="J1105" s="25" t="s">
        <v>1</v>
      </c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</row>
    <row r="1106" ht="33.75" customHeight="1">
      <c r="A1106" s="11" t="s">
        <v>1527</v>
      </c>
      <c r="B1106" s="22" t="s">
        <v>85</v>
      </c>
      <c r="C1106" s="11" t="s">
        <v>1740</v>
      </c>
      <c r="D1106" s="11"/>
      <c r="E1106" s="64">
        <v>46058.0</v>
      </c>
      <c r="F1106" s="14" t="s">
        <v>1133</v>
      </c>
      <c r="G1106" s="178">
        <v>15000.0</v>
      </c>
      <c r="H1106" s="16">
        <v>7782.0</v>
      </c>
      <c r="I1106" s="17">
        <f t="shared" si="32"/>
        <v>7218</v>
      </c>
      <c r="J1106" s="25" t="s">
        <v>1</v>
      </c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</row>
    <row r="1107" ht="33.75" customHeight="1">
      <c r="A1107" s="11" t="s">
        <v>1741</v>
      </c>
      <c r="B1107" s="22" t="s">
        <v>85</v>
      </c>
      <c r="C1107" s="11" t="s">
        <v>1740</v>
      </c>
      <c r="D1107" s="11"/>
      <c r="E1107" s="64">
        <v>46058.0</v>
      </c>
      <c r="F1107" s="14" t="s">
        <v>1133</v>
      </c>
      <c r="G1107" s="178">
        <v>10000.0</v>
      </c>
      <c r="H1107" s="16">
        <v>6296.0</v>
      </c>
      <c r="I1107" s="17">
        <f t="shared" si="32"/>
        <v>3704</v>
      </c>
      <c r="J1107" s="25" t="s">
        <v>1</v>
      </c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</row>
    <row r="1108" ht="33.75" customHeight="1">
      <c r="A1108" s="11" t="s">
        <v>1177</v>
      </c>
      <c r="B1108" s="22" t="s">
        <v>85</v>
      </c>
      <c r="C1108" s="11" t="s">
        <v>1740</v>
      </c>
      <c r="D1108" s="11"/>
      <c r="E1108" s="64">
        <v>46058.0</v>
      </c>
      <c r="F1108" s="14" t="s">
        <v>1133</v>
      </c>
      <c r="G1108" s="178">
        <v>10000.0</v>
      </c>
      <c r="H1108" s="16">
        <v>1727.0</v>
      </c>
      <c r="I1108" s="17">
        <f t="shared" si="32"/>
        <v>8273</v>
      </c>
      <c r="J1108" s="25" t="s">
        <v>1</v>
      </c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</row>
    <row r="1109" ht="33.75" customHeight="1">
      <c r="A1109" s="11" t="s">
        <v>1550</v>
      </c>
      <c r="B1109" s="22" t="s">
        <v>85</v>
      </c>
      <c r="C1109" s="11" t="s">
        <v>1740</v>
      </c>
      <c r="D1109" s="11"/>
      <c r="E1109" s="64">
        <v>46058.0</v>
      </c>
      <c r="F1109" s="14" t="s">
        <v>1133</v>
      </c>
      <c r="G1109" s="178">
        <v>5000.0</v>
      </c>
      <c r="H1109" s="16">
        <v>1139.0</v>
      </c>
      <c r="I1109" s="17">
        <f t="shared" si="32"/>
        <v>3861</v>
      </c>
      <c r="J1109" s="25" t="s">
        <v>1</v>
      </c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</row>
    <row r="1110" ht="33.75" customHeight="1">
      <c r="A1110" s="11" t="s">
        <v>475</v>
      </c>
      <c r="B1110" s="22" t="s">
        <v>85</v>
      </c>
      <c r="C1110" s="11" t="s">
        <v>1740</v>
      </c>
      <c r="D1110" s="11"/>
      <c r="E1110" s="64">
        <v>46058.0</v>
      </c>
      <c r="F1110" s="14" t="s">
        <v>1133</v>
      </c>
      <c r="G1110" s="178">
        <v>10000.0</v>
      </c>
      <c r="H1110" s="16">
        <v>5129.0</v>
      </c>
      <c r="I1110" s="17">
        <f t="shared" si="32"/>
        <v>4871</v>
      </c>
      <c r="J1110" s="25" t="s">
        <v>1</v>
      </c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</row>
    <row r="1111" ht="33.75" customHeight="1">
      <c r="A1111" s="11" t="s">
        <v>1551</v>
      </c>
      <c r="B1111" s="22" t="s">
        <v>85</v>
      </c>
      <c r="C1111" s="11" t="s">
        <v>1740</v>
      </c>
      <c r="D1111" s="11"/>
      <c r="E1111" s="64">
        <v>46058.0</v>
      </c>
      <c r="F1111" s="14" t="s">
        <v>1133</v>
      </c>
      <c r="G1111" s="178">
        <v>10000.0</v>
      </c>
      <c r="H1111" s="16">
        <v>4711.0</v>
      </c>
      <c r="I1111" s="17">
        <f t="shared" si="32"/>
        <v>5289</v>
      </c>
      <c r="J1111" s="25" t="s">
        <v>1</v>
      </c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</row>
    <row r="1112" ht="33.75" customHeight="1">
      <c r="A1112" s="11" t="s">
        <v>480</v>
      </c>
      <c r="B1112" s="22" t="s">
        <v>85</v>
      </c>
      <c r="C1112" s="11" t="s">
        <v>1740</v>
      </c>
      <c r="D1112" s="11"/>
      <c r="E1112" s="64">
        <v>46058.0</v>
      </c>
      <c r="F1112" s="14" t="s">
        <v>1133</v>
      </c>
      <c r="G1112" s="178">
        <v>10000.0</v>
      </c>
      <c r="H1112" s="16">
        <v>4017.0</v>
      </c>
      <c r="I1112" s="17">
        <f t="shared" si="32"/>
        <v>5983</v>
      </c>
      <c r="J1112" s="25" t="s">
        <v>1</v>
      </c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</row>
    <row r="1113" ht="33.75" customHeight="1">
      <c r="A1113" s="11" t="s">
        <v>1587</v>
      </c>
      <c r="B1113" s="22" t="s">
        <v>1561</v>
      </c>
      <c r="C1113" s="11" t="s">
        <v>1742</v>
      </c>
      <c r="D1113" s="11"/>
      <c r="E1113" s="64">
        <v>46058.0</v>
      </c>
      <c r="F1113" s="14" t="s">
        <v>287</v>
      </c>
      <c r="G1113" s="178">
        <v>41671.0</v>
      </c>
      <c r="H1113" s="28"/>
      <c r="I1113" s="17">
        <f t="shared" si="32"/>
        <v>41671</v>
      </c>
      <c r="J1113" s="25" t="s">
        <v>1</v>
      </c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</row>
    <row r="1114" ht="33.75" customHeight="1">
      <c r="A1114" s="11" t="s">
        <v>1691</v>
      </c>
      <c r="B1114" s="22" t="s">
        <v>34</v>
      </c>
      <c r="C1114" s="11" t="s">
        <v>1743</v>
      </c>
      <c r="D1114" s="11"/>
      <c r="E1114" s="64">
        <v>46058.0</v>
      </c>
      <c r="F1114" s="14" t="s">
        <v>1133</v>
      </c>
      <c r="G1114" s="178">
        <v>10000.0</v>
      </c>
      <c r="H1114" s="16">
        <v>9367.0</v>
      </c>
      <c r="I1114" s="17">
        <f t="shared" si="32"/>
        <v>633</v>
      </c>
      <c r="J1114" s="25" t="s">
        <v>1</v>
      </c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</row>
    <row r="1115" ht="33.75" customHeight="1">
      <c r="A1115" s="11" t="s">
        <v>1587</v>
      </c>
      <c r="B1115" s="22" t="s">
        <v>15</v>
      </c>
      <c r="C1115" s="11" t="s">
        <v>1744</v>
      </c>
      <c r="D1115" s="11"/>
      <c r="E1115" s="64">
        <v>46058.0</v>
      </c>
      <c r="F1115" s="14" t="s">
        <v>287</v>
      </c>
      <c r="G1115" s="178">
        <v>41672.0</v>
      </c>
      <c r="H1115" s="28"/>
      <c r="I1115" s="17">
        <f t="shared" si="32"/>
        <v>41672</v>
      </c>
      <c r="J1115" s="25" t="s">
        <v>1</v>
      </c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</row>
    <row r="1116" ht="33.75" customHeight="1">
      <c r="A1116" s="11" t="s">
        <v>1451</v>
      </c>
      <c r="B1116" s="22" t="s">
        <v>49</v>
      </c>
      <c r="C1116" s="11" t="s">
        <v>1745</v>
      </c>
      <c r="D1116" s="11"/>
      <c r="E1116" s="64">
        <v>46059.0</v>
      </c>
      <c r="F1116" s="14" t="s">
        <v>1141</v>
      </c>
      <c r="G1116" s="178">
        <v>1869.0</v>
      </c>
      <c r="H1116" s="28">
        <v>1609.0</v>
      </c>
      <c r="I1116" s="17">
        <f t="shared" si="32"/>
        <v>260</v>
      </c>
      <c r="J1116" s="39" t="s">
        <v>1</v>
      </c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</row>
    <row r="1117" ht="33.75" customHeight="1">
      <c r="A1117" s="11" t="s">
        <v>28</v>
      </c>
      <c r="B1117" s="22" t="s">
        <v>81</v>
      </c>
      <c r="C1117" s="11" t="s">
        <v>1746</v>
      </c>
      <c r="D1117" s="11"/>
      <c r="E1117" s="64">
        <v>46059.0</v>
      </c>
      <c r="F1117" s="14" t="s">
        <v>17</v>
      </c>
      <c r="G1117" s="178">
        <v>11000.0</v>
      </c>
      <c r="H1117" s="28"/>
      <c r="I1117" s="17">
        <f t="shared" si="32"/>
        <v>11000</v>
      </c>
      <c r="J1117" s="39" t="s">
        <v>1</v>
      </c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</row>
    <row r="1118" ht="33.75" customHeight="1">
      <c r="A1118" s="11" t="s">
        <v>109</v>
      </c>
      <c r="B1118" s="22" t="s">
        <v>81</v>
      </c>
      <c r="C1118" s="11" t="s">
        <v>1747</v>
      </c>
      <c r="D1118" s="11"/>
      <c r="E1118" s="64">
        <v>46059.0</v>
      </c>
      <c r="F1118" s="14" t="s">
        <v>1141</v>
      </c>
      <c r="G1118" s="178">
        <v>10000.0</v>
      </c>
      <c r="H1118" s="16">
        <v>3812.0</v>
      </c>
      <c r="I1118" s="17">
        <f t="shared" si="32"/>
        <v>6188</v>
      </c>
      <c r="J1118" s="39" t="s">
        <v>1</v>
      </c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</row>
    <row r="1119" ht="33.75" customHeight="1">
      <c r="A1119" s="11" t="s">
        <v>1314</v>
      </c>
      <c r="B1119" s="22" t="s">
        <v>85</v>
      </c>
      <c r="C1119" s="11" t="s">
        <v>1748</v>
      </c>
      <c r="D1119" s="11"/>
      <c r="E1119" s="64">
        <v>46059.0</v>
      </c>
      <c r="F1119" s="14" t="s">
        <v>1191</v>
      </c>
      <c r="G1119" s="178">
        <v>999.0</v>
      </c>
      <c r="H1119" s="178">
        <v>893.0</v>
      </c>
      <c r="I1119" s="17">
        <f t="shared" si="32"/>
        <v>106</v>
      </c>
      <c r="J1119" s="39" t="s">
        <v>1</v>
      </c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</row>
    <row r="1120" ht="33.75" customHeight="1">
      <c r="A1120" s="11" t="s">
        <v>1749</v>
      </c>
      <c r="B1120" s="22" t="s">
        <v>85</v>
      </c>
      <c r="C1120" s="11" t="s">
        <v>1750</v>
      </c>
      <c r="D1120" s="11"/>
      <c r="E1120" s="64">
        <v>46059.0</v>
      </c>
      <c r="F1120" s="14" t="s">
        <v>1133</v>
      </c>
      <c r="G1120" s="178">
        <v>3200.0</v>
      </c>
      <c r="H1120" s="16">
        <v>2714.0</v>
      </c>
      <c r="I1120" s="17">
        <f t="shared" si="32"/>
        <v>486</v>
      </c>
      <c r="J1120" s="39" t="s">
        <v>1</v>
      </c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</row>
    <row r="1121" ht="33.75" customHeight="1">
      <c r="A1121" s="11" t="s">
        <v>109</v>
      </c>
      <c r="B1121" s="22" t="s">
        <v>44</v>
      </c>
      <c r="C1121" s="11" t="s">
        <v>1751</v>
      </c>
      <c r="D1121" s="11"/>
      <c r="E1121" s="64">
        <v>46059.0</v>
      </c>
      <c r="F1121" s="14" t="s">
        <v>1141</v>
      </c>
      <c r="G1121" s="178">
        <v>6188.0</v>
      </c>
      <c r="H1121" s="16">
        <v>3687.0</v>
      </c>
      <c r="I1121" s="17">
        <f t="shared" si="32"/>
        <v>2501</v>
      </c>
      <c r="J1121" s="39" t="s">
        <v>1</v>
      </c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</row>
    <row r="1122" ht="33.75" customHeight="1">
      <c r="A1122" s="11" t="s">
        <v>1587</v>
      </c>
      <c r="B1122" s="22" t="s">
        <v>88</v>
      </c>
      <c r="C1122" s="11" t="s">
        <v>1752</v>
      </c>
      <c r="D1122" s="11"/>
      <c r="E1122" s="64">
        <v>46059.0</v>
      </c>
      <c r="F1122" s="14" t="s">
        <v>287</v>
      </c>
      <c r="G1122" s="178">
        <v>41652.0</v>
      </c>
      <c r="H1122" s="28"/>
      <c r="I1122" s="17">
        <f t="shared" si="32"/>
        <v>41652</v>
      </c>
      <c r="J1122" s="25" t="s">
        <v>1</v>
      </c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</row>
    <row r="1123" ht="33.75" customHeight="1">
      <c r="A1123" s="11" t="s">
        <v>1587</v>
      </c>
      <c r="B1123" s="22" t="s">
        <v>1753</v>
      </c>
      <c r="C1123" s="11" t="s">
        <v>1754</v>
      </c>
      <c r="D1123" s="11"/>
      <c r="E1123" s="64">
        <v>46059.0</v>
      </c>
      <c r="F1123" s="14" t="s">
        <v>287</v>
      </c>
      <c r="G1123" s="178">
        <v>41674.0</v>
      </c>
      <c r="H1123" s="28"/>
      <c r="I1123" s="17">
        <f t="shared" si="32"/>
        <v>41674</v>
      </c>
      <c r="J1123" s="25" t="s">
        <v>1</v>
      </c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</row>
    <row r="1124" ht="33.75" customHeight="1">
      <c r="A1124" s="11" t="s">
        <v>432</v>
      </c>
      <c r="B1124" s="22" t="s">
        <v>31</v>
      </c>
      <c r="C1124" s="11" t="s">
        <v>1755</v>
      </c>
      <c r="D1124" s="11"/>
      <c r="E1124" s="64">
        <v>46059.0</v>
      </c>
      <c r="F1124" s="14" t="s">
        <v>1191</v>
      </c>
      <c r="G1124" s="178">
        <v>12994.0</v>
      </c>
      <c r="H1124" s="16">
        <v>10269.0</v>
      </c>
      <c r="I1124" s="17">
        <f t="shared" si="32"/>
        <v>2725</v>
      </c>
      <c r="J1124" s="17" t="s">
        <v>1</v>
      </c>
      <c r="K1124" s="252"/>
      <c r="L1124" s="252"/>
      <c r="M1124" s="252"/>
      <c r="N1124" s="252"/>
      <c r="O1124" s="252"/>
      <c r="P1124" s="252"/>
      <c r="Q1124" s="252"/>
      <c r="R1124" s="252"/>
      <c r="S1124" s="252"/>
      <c r="T1124" s="252"/>
      <c r="U1124" s="252"/>
      <c r="V1124" s="252"/>
      <c r="W1124" s="252"/>
      <c r="X1124" s="252"/>
      <c r="Y1124" s="252"/>
      <c r="Z1124" s="252"/>
    </row>
    <row r="1125" ht="33.75" customHeight="1">
      <c r="A1125" s="11" t="s">
        <v>1756</v>
      </c>
      <c r="B1125" s="22" t="s">
        <v>31</v>
      </c>
      <c r="C1125" s="11" t="s">
        <v>1757</v>
      </c>
      <c r="D1125" s="11"/>
      <c r="E1125" s="64">
        <v>46059.0</v>
      </c>
      <c r="F1125" s="14" t="s">
        <v>1141</v>
      </c>
      <c r="G1125" s="178">
        <v>9594.0</v>
      </c>
      <c r="H1125" s="16">
        <v>8578.0</v>
      </c>
      <c r="I1125" s="17">
        <f t="shared" si="32"/>
        <v>1016</v>
      </c>
      <c r="J1125" s="17" t="s">
        <v>1</v>
      </c>
      <c r="K1125" s="252"/>
      <c r="L1125" s="252"/>
      <c r="M1125" s="252"/>
      <c r="N1125" s="252"/>
      <c r="O1125" s="252"/>
      <c r="P1125" s="252"/>
      <c r="Q1125" s="252"/>
      <c r="R1125" s="252"/>
      <c r="S1125" s="252"/>
      <c r="T1125" s="252"/>
      <c r="U1125" s="252"/>
      <c r="V1125" s="252"/>
      <c r="W1125" s="252"/>
      <c r="X1125" s="252"/>
      <c r="Y1125" s="252"/>
      <c r="Z1125" s="252"/>
    </row>
    <row r="1126" ht="33.75" customHeight="1">
      <c r="A1126" s="11" t="s">
        <v>882</v>
      </c>
      <c r="B1126" s="22" t="s">
        <v>31</v>
      </c>
      <c r="C1126" s="11" t="s">
        <v>1758</v>
      </c>
      <c r="D1126" s="11"/>
      <c r="E1126" s="64">
        <v>46059.0</v>
      </c>
      <c r="F1126" s="14" t="s">
        <v>1133</v>
      </c>
      <c r="G1126" s="178">
        <v>10501.0</v>
      </c>
      <c r="H1126" s="16">
        <v>8969.0</v>
      </c>
      <c r="I1126" s="17">
        <f t="shared" si="32"/>
        <v>1532</v>
      </c>
      <c r="J1126" s="17" t="s">
        <v>1</v>
      </c>
      <c r="K1126" s="252"/>
      <c r="L1126" s="252"/>
      <c r="M1126" s="252"/>
      <c r="N1126" s="252"/>
      <c r="O1126" s="252"/>
      <c r="P1126" s="252"/>
      <c r="Q1126" s="252"/>
      <c r="R1126" s="252"/>
      <c r="S1126" s="252"/>
      <c r="T1126" s="252"/>
      <c r="U1126" s="252"/>
      <c r="V1126" s="252"/>
      <c r="W1126" s="252"/>
      <c r="X1126" s="252"/>
      <c r="Y1126" s="252"/>
      <c r="Z1126" s="252"/>
    </row>
    <row r="1127" ht="33.75" customHeight="1">
      <c r="A1127" s="11" t="s">
        <v>28</v>
      </c>
      <c r="B1127" s="22" t="s">
        <v>37</v>
      </c>
      <c r="C1127" s="11" t="s">
        <v>1746</v>
      </c>
      <c r="D1127" s="11"/>
      <c r="E1127" s="64">
        <v>46059.0</v>
      </c>
      <c r="F1127" s="14" t="s">
        <v>17</v>
      </c>
      <c r="G1127" s="178">
        <v>11000.0</v>
      </c>
      <c r="H1127" s="28"/>
      <c r="I1127" s="148">
        <f t="shared" si="32"/>
        <v>11000</v>
      </c>
      <c r="J1127" s="148" t="s">
        <v>1</v>
      </c>
      <c r="K1127" s="252"/>
      <c r="L1127" s="252"/>
      <c r="M1127" s="252"/>
      <c r="N1127" s="252"/>
      <c r="O1127" s="252"/>
      <c r="P1127" s="252"/>
      <c r="Q1127" s="252"/>
      <c r="R1127" s="252"/>
      <c r="S1127" s="252"/>
      <c r="T1127" s="252"/>
      <c r="U1127" s="252"/>
      <c r="V1127" s="252"/>
      <c r="W1127" s="252"/>
      <c r="X1127" s="252"/>
      <c r="Y1127" s="252"/>
      <c r="Z1127" s="252"/>
    </row>
    <row r="1128" ht="33.75" customHeight="1">
      <c r="A1128" s="11" t="s">
        <v>1759</v>
      </c>
      <c r="B1128" s="12"/>
      <c r="C1128" s="11" t="s">
        <v>1760</v>
      </c>
      <c r="D1128" s="11"/>
      <c r="E1128" s="64">
        <v>46060.0</v>
      </c>
      <c r="F1128" s="14" t="s">
        <v>17</v>
      </c>
      <c r="G1128" s="15" t="s">
        <v>1761</v>
      </c>
      <c r="H1128" s="28"/>
      <c r="I1128" s="159">
        <f t="shared" si="32"/>
        <v>7174</v>
      </c>
      <c r="J1128" s="148" t="s">
        <v>1</v>
      </c>
      <c r="K1128" s="252"/>
      <c r="L1128" s="252"/>
      <c r="M1128" s="252"/>
      <c r="N1128" s="252"/>
      <c r="O1128" s="252"/>
      <c r="P1128" s="252"/>
      <c r="Q1128" s="252"/>
      <c r="R1128" s="252"/>
      <c r="S1128" s="252"/>
      <c r="T1128" s="252"/>
      <c r="U1128" s="252"/>
      <c r="V1128" s="252"/>
      <c r="W1128" s="252"/>
      <c r="X1128" s="252"/>
      <c r="Y1128" s="252"/>
      <c r="Z1128" s="252"/>
    </row>
    <row r="1129" ht="33.75" customHeight="1">
      <c r="A1129" s="11" t="s">
        <v>1691</v>
      </c>
      <c r="B1129" s="22" t="s">
        <v>1762</v>
      </c>
      <c r="C1129" s="11" t="s">
        <v>1763</v>
      </c>
      <c r="D1129" s="11"/>
      <c r="E1129" s="64">
        <v>46060.0</v>
      </c>
      <c r="F1129" s="14" t="s">
        <v>287</v>
      </c>
      <c r="G1129" s="15" t="s">
        <v>1764</v>
      </c>
      <c r="H1129" s="16">
        <v>11045.0</v>
      </c>
      <c r="I1129" s="17">
        <f t="shared" si="32"/>
        <v>615</v>
      </c>
      <c r="J1129" s="25" t="s">
        <v>1</v>
      </c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</row>
    <row r="1130" ht="33.75" customHeight="1">
      <c r="A1130" s="11" t="s">
        <v>1341</v>
      </c>
      <c r="B1130" s="22" t="s">
        <v>37</v>
      </c>
      <c r="C1130" s="11" t="s">
        <v>1765</v>
      </c>
      <c r="D1130" s="11"/>
      <c r="E1130" s="64">
        <v>46060.0</v>
      </c>
      <c r="F1130" s="14" t="s">
        <v>1133</v>
      </c>
      <c r="G1130" s="15" t="s">
        <v>1766</v>
      </c>
      <c r="H1130" s="16">
        <v>15423.0</v>
      </c>
      <c r="I1130" s="17">
        <f t="shared" si="32"/>
        <v>6577</v>
      </c>
      <c r="J1130" s="148" t="s">
        <v>1</v>
      </c>
      <c r="K1130" s="252"/>
      <c r="L1130" s="252"/>
      <c r="M1130" s="252"/>
      <c r="N1130" s="252"/>
      <c r="O1130" s="252"/>
      <c r="P1130" s="252"/>
      <c r="Q1130" s="252"/>
      <c r="R1130" s="252"/>
      <c r="S1130" s="252"/>
      <c r="T1130" s="252"/>
      <c r="U1130" s="252"/>
      <c r="V1130" s="252"/>
      <c r="W1130" s="252"/>
      <c r="X1130" s="252"/>
      <c r="Y1130" s="252"/>
      <c r="Z1130" s="252"/>
    </row>
    <row r="1131" ht="33.75" customHeight="1">
      <c r="A1131" s="11" t="s">
        <v>1334</v>
      </c>
      <c r="B1131" s="22" t="s">
        <v>1767</v>
      </c>
      <c r="C1131" s="11" t="s">
        <v>1768</v>
      </c>
      <c r="D1131" s="11"/>
      <c r="E1131" s="64">
        <v>46060.0</v>
      </c>
      <c r="F1131" s="14" t="s">
        <v>1141</v>
      </c>
      <c r="G1131" s="15" t="s">
        <v>1769</v>
      </c>
      <c r="H1131" s="179">
        <v>27811.0</v>
      </c>
      <c r="I1131" s="17">
        <f t="shared" si="32"/>
        <v>2106</v>
      </c>
      <c r="J1131" s="25" t="s">
        <v>1</v>
      </c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</row>
    <row r="1132" ht="33.75" customHeight="1">
      <c r="A1132" s="11" t="s">
        <v>1770</v>
      </c>
      <c r="B1132" s="22"/>
      <c r="C1132" s="11" t="s">
        <v>1771</v>
      </c>
      <c r="D1132" s="11"/>
      <c r="E1132" s="64">
        <v>46060.0</v>
      </c>
      <c r="F1132" s="14" t="s">
        <v>17</v>
      </c>
      <c r="G1132" s="15" t="s">
        <v>1772</v>
      </c>
      <c r="H1132" s="28"/>
      <c r="I1132" s="17"/>
      <c r="J1132" s="25" t="s">
        <v>1</v>
      </c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</row>
    <row r="1133" ht="33.75" customHeight="1">
      <c r="A1133" s="11" t="s">
        <v>1770</v>
      </c>
      <c r="B1133" s="22"/>
      <c r="C1133" s="11" t="s">
        <v>1773</v>
      </c>
      <c r="D1133" s="11"/>
      <c r="E1133" s="64">
        <v>46060.0</v>
      </c>
      <c r="F1133" s="14" t="s">
        <v>17</v>
      </c>
      <c r="G1133" s="15" t="s">
        <v>1772</v>
      </c>
      <c r="H1133" s="28"/>
      <c r="I1133" s="17"/>
      <c r="J1133" s="25" t="s">
        <v>1</v>
      </c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</row>
    <row r="1134" ht="33.75" customHeight="1">
      <c r="A1134" s="11" t="s">
        <v>1535</v>
      </c>
      <c r="B1134" s="22"/>
      <c r="C1134" s="11" t="s">
        <v>1774</v>
      </c>
      <c r="D1134" s="11"/>
      <c r="E1134" s="64">
        <v>46060.0</v>
      </c>
      <c r="F1134" s="14" t="s">
        <v>1191</v>
      </c>
      <c r="G1134" s="15" t="s">
        <v>1775</v>
      </c>
      <c r="H1134" s="28"/>
      <c r="I1134" s="17">
        <f t="shared" ref="I1134:I1136" si="33">G1134-H1134</f>
        <v>1144</v>
      </c>
      <c r="J1134" s="220" t="s">
        <v>1</v>
      </c>
      <c r="K1134" s="221"/>
      <c r="L1134" s="221"/>
      <c r="M1134" s="221"/>
      <c r="N1134" s="221"/>
      <c r="O1134" s="221"/>
      <c r="P1134" s="221"/>
      <c r="Q1134" s="221"/>
      <c r="R1134" s="221"/>
      <c r="S1134" s="221"/>
      <c r="T1134" s="221"/>
      <c r="U1134" s="221"/>
      <c r="V1134" s="221"/>
      <c r="W1134" s="221"/>
      <c r="X1134" s="221"/>
      <c r="Y1134" s="221"/>
      <c r="Z1134" s="221"/>
    </row>
    <row r="1135" ht="33.75" customHeight="1">
      <c r="A1135" s="11" t="s">
        <v>228</v>
      </c>
      <c r="B1135" s="22" t="s">
        <v>161</v>
      </c>
      <c r="C1135" s="11" t="s">
        <v>1776</v>
      </c>
      <c r="D1135" s="11"/>
      <c r="E1135" s="64">
        <v>46060.0</v>
      </c>
      <c r="F1135" s="14" t="s">
        <v>1133</v>
      </c>
      <c r="G1135" s="15" t="s">
        <v>1777</v>
      </c>
      <c r="H1135" s="16">
        <v>15523.0</v>
      </c>
      <c r="I1135" s="17">
        <f t="shared" si="33"/>
        <v>477</v>
      </c>
      <c r="J1135" s="25" t="s">
        <v>1</v>
      </c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</row>
    <row r="1136" ht="33.75" customHeight="1">
      <c r="A1136" s="117" t="s">
        <v>1280</v>
      </c>
      <c r="B1136" s="118" t="s">
        <v>237</v>
      </c>
      <c r="C1136" s="117" t="s">
        <v>1778</v>
      </c>
      <c r="D1136" s="117"/>
      <c r="E1136" s="119">
        <v>46060.0</v>
      </c>
      <c r="F1136" s="120" t="s">
        <v>287</v>
      </c>
      <c r="G1136" s="264">
        <v>47218.0</v>
      </c>
      <c r="H1136" s="122"/>
      <c r="I1136" s="123">
        <f t="shared" si="33"/>
        <v>47218</v>
      </c>
      <c r="J1136" s="91" t="s">
        <v>1779</v>
      </c>
      <c r="K1136" s="92"/>
      <c r="L1136" s="92"/>
      <c r="M1136" s="92"/>
      <c r="N1136" s="92"/>
      <c r="O1136" s="92"/>
      <c r="P1136" s="92"/>
      <c r="Q1136" s="92"/>
      <c r="R1136" s="92"/>
      <c r="S1136" s="92"/>
      <c r="T1136" s="92"/>
      <c r="U1136" s="92"/>
      <c r="V1136" s="92"/>
      <c r="W1136" s="92"/>
      <c r="X1136" s="92"/>
      <c r="Y1136" s="92"/>
      <c r="Z1136" s="92"/>
    </row>
    <row r="1137" ht="33.75" customHeight="1">
      <c r="A1137" s="11" t="s">
        <v>752</v>
      </c>
      <c r="B1137" s="22" t="s">
        <v>1780</v>
      </c>
      <c r="C1137" s="11" t="s">
        <v>1781</v>
      </c>
      <c r="D1137" s="11"/>
      <c r="E1137" s="64">
        <v>46060.0</v>
      </c>
      <c r="F1137" s="14" t="s">
        <v>287</v>
      </c>
      <c r="G1137" s="15" t="s">
        <v>1782</v>
      </c>
      <c r="H1137" s="28"/>
      <c r="I1137" s="17"/>
      <c r="J1137" s="25" t="s">
        <v>1</v>
      </c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</row>
    <row r="1138" ht="33.75" customHeight="1">
      <c r="A1138" s="11" t="s">
        <v>1351</v>
      </c>
      <c r="B1138" s="22" t="s">
        <v>34</v>
      </c>
      <c r="C1138" s="11" t="s">
        <v>1783</v>
      </c>
      <c r="D1138" s="11"/>
      <c r="E1138" s="64">
        <v>46060.0</v>
      </c>
      <c r="F1138" s="14" t="s">
        <v>1191</v>
      </c>
      <c r="G1138" s="178">
        <v>10000.0</v>
      </c>
      <c r="H1138" s="28"/>
      <c r="I1138" s="17">
        <f t="shared" ref="I1138:I1205" si="34">G1138-H1138</f>
        <v>10000</v>
      </c>
      <c r="J1138" s="91" t="s">
        <v>700</v>
      </c>
      <c r="K1138" s="92"/>
      <c r="L1138" s="92"/>
      <c r="M1138" s="92"/>
      <c r="N1138" s="92"/>
      <c r="O1138" s="92"/>
      <c r="P1138" s="92"/>
      <c r="Q1138" s="92"/>
      <c r="R1138" s="92"/>
      <c r="S1138" s="92"/>
      <c r="T1138" s="92"/>
      <c r="U1138" s="92"/>
      <c r="V1138" s="92"/>
      <c r="W1138" s="92"/>
      <c r="X1138" s="92"/>
      <c r="Y1138" s="92"/>
      <c r="Z1138" s="92"/>
    </row>
    <row r="1139" ht="33.75" customHeight="1">
      <c r="A1139" s="11" t="s">
        <v>1667</v>
      </c>
      <c r="B1139" s="22" t="s">
        <v>34</v>
      </c>
      <c r="C1139" s="11" t="s">
        <v>1784</v>
      </c>
      <c r="D1139" s="11"/>
      <c r="E1139" s="64">
        <v>46060.0</v>
      </c>
      <c r="F1139" s="14" t="s">
        <v>1133</v>
      </c>
      <c r="G1139" s="15">
        <v>4611.0</v>
      </c>
      <c r="H1139" s="16">
        <v>4363.0</v>
      </c>
      <c r="I1139" s="17">
        <f t="shared" si="34"/>
        <v>248</v>
      </c>
      <c r="J1139" s="220" t="s">
        <v>1</v>
      </c>
      <c r="K1139" s="221"/>
      <c r="L1139" s="221"/>
      <c r="M1139" s="221"/>
      <c r="N1139" s="221"/>
      <c r="O1139" s="221"/>
      <c r="P1139" s="221"/>
      <c r="Q1139" s="221"/>
      <c r="R1139" s="221"/>
      <c r="S1139" s="221"/>
      <c r="T1139" s="221"/>
      <c r="U1139" s="221"/>
      <c r="V1139" s="221"/>
      <c r="W1139" s="221"/>
      <c r="X1139" s="221"/>
      <c r="Y1139" s="221"/>
      <c r="Z1139" s="221"/>
    </row>
    <row r="1140" ht="33.75" customHeight="1">
      <c r="A1140" s="11" t="s">
        <v>1334</v>
      </c>
      <c r="B1140" s="22" t="s">
        <v>34</v>
      </c>
      <c r="C1140" s="11" t="s">
        <v>1785</v>
      </c>
      <c r="D1140" s="11"/>
      <c r="E1140" s="64">
        <v>46060.0</v>
      </c>
      <c r="F1140" s="14" t="s">
        <v>1141</v>
      </c>
      <c r="G1140" s="178">
        <v>38086.0</v>
      </c>
      <c r="H1140" s="179">
        <v>29063.0</v>
      </c>
      <c r="I1140" s="17">
        <f t="shared" si="34"/>
        <v>9023</v>
      </c>
      <c r="J1140" s="220" t="s">
        <v>1</v>
      </c>
      <c r="K1140" s="221"/>
      <c r="L1140" s="221"/>
      <c r="M1140" s="221"/>
      <c r="N1140" s="221"/>
      <c r="O1140" s="221"/>
      <c r="P1140" s="221"/>
      <c r="Q1140" s="221"/>
      <c r="R1140" s="221"/>
      <c r="S1140" s="221"/>
      <c r="T1140" s="221"/>
      <c r="U1140" s="221"/>
      <c r="V1140" s="221"/>
      <c r="W1140" s="221"/>
      <c r="X1140" s="221"/>
      <c r="Y1140" s="221"/>
      <c r="Z1140" s="221"/>
    </row>
    <row r="1141" ht="33.75" customHeight="1">
      <c r="A1141" s="11" t="s">
        <v>1334</v>
      </c>
      <c r="B1141" s="22" t="s">
        <v>34</v>
      </c>
      <c r="C1141" s="11" t="s">
        <v>1786</v>
      </c>
      <c r="D1141" s="11"/>
      <c r="E1141" s="64">
        <v>46060.0</v>
      </c>
      <c r="F1141" s="14" t="s">
        <v>1141</v>
      </c>
      <c r="G1141" s="178">
        <v>38086.0</v>
      </c>
      <c r="H1141" s="179">
        <v>29063.0</v>
      </c>
      <c r="I1141" s="17">
        <f t="shared" si="34"/>
        <v>9023</v>
      </c>
      <c r="J1141" s="220" t="s">
        <v>1</v>
      </c>
      <c r="K1141" s="221"/>
      <c r="L1141" s="221"/>
      <c r="M1141" s="221"/>
      <c r="N1141" s="221"/>
      <c r="O1141" s="221"/>
      <c r="P1141" s="221"/>
      <c r="Q1141" s="221"/>
      <c r="R1141" s="221"/>
      <c r="S1141" s="221"/>
      <c r="T1141" s="221"/>
      <c r="U1141" s="221"/>
      <c r="V1141" s="221"/>
      <c r="W1141" s="221"/>
      <c r="X1141" s="221"/>
      <c r="Y1141" s="221"/>
      <c r="Z1141" s="221"/>
    </row>
    <row r="1142" ht="33.75" customHeight="1">
      <c r="A1142" s="11" t="s">
        <v>1770</v>
      </c>
      <c r="B1142" s="12"/>
      <c r="C1142" s="11" t="s">
        <v>1787</v>
      </c>
      <c r="D1142" s="11"/>
      <c r="E1142" s="64">
        <v>46060.0</v>
      </c>
      <c r="F1142" s="14" t="s">
        <v>17</v>
      </c>
      <c r="G1142" s="15" t="s">
        <v>1788</v>
      </c>
      <c r="H1142" s="28"/>
      <c r="I1142" s="17">
        <f t="shared" si="34"/>
        <v>105510</v>
      </c>
      <c r="J1142" s="91" t="s">
        <v>700</v>
      </c>
      <c r="K1142" s="92"/>
      <c r="L1142" s="92"/>
      <c r="M1142" s="92"/>
      <c r="N1142" s="92"/>
      <c r="O1142" s="92"/>
      <c r="P1142" s="92"/>
      <c r="Q1142" s="92"/>
      <c r="R1142" s="92"/>
      <c r="S1142" s="92"/>
      <c r="T1142" s="92"/>
      <c r="U1142" s="92"/>
      <c r="V1142" s="92"/>
      <c r="W1142" s="92"/>
      <c r="X1142" s="92"/>
      <c r="Y1142" s="92"/>
      <c r="Z1142" s="92"/>
    </row>
    <row r="1143" ht="33.75" customHeight="1">
      <c r="A1143" s="11" t="s">
        <v>184</v>
      </c>
      <c r="B1143" s="12"/>
      <c r="C1143" s="11" t="s">
        <v>1789</v>
      </c>
      <c r="D1143" s="11"/>
      <c r="E1143" s="76">
        <v>46061.0</v>
      </c>
      <c r="F1143" s="14" t="s">
        <v>1141</v>
      </c>
      <c r="G1143" s="178">
        <v>26352.0</v>
      </c>
      <c r="H1143" s="16">
        <v>25004.0</v>
      </c>
      <c r="I1143" s="17">
        <f t="shared" si="34"/>
        <v>1348</v>
      </c>
      <c r="J1143" s="17" t="s">
        <v>1</v>
      </c>
      <c r="K1143" s="252"/>
      <c r="L1143" s="252"/>
      <c r="M1143" s="252"/>
      <c r="N1143" s="252"/>
      <c r="O1143" s="252"/>
      <c r="P1143" s="252"/>
      <c r="Q1143" s="252"/>
      <c r="R1143" s="252"/>
      <c r="S1143" s="252"/>
      <c r="T1143" s="252"/>
      <c r="U1143" s="252"/>
      <c r="V1143" s="252"/>
      <c r="W1143" s="252"/>
      <c r="X1143" s="252"/>
      <c r="Y1143" s="252"/>
      <c r="Z1143" s="252"/>
    </row>
    <row r="1144" ht="33.75" customHeight="1">
      <c r="A1144" s="11" t="s">
        <v>959</v>
      </c>
      <c r="B1144" s="22" t="s">
        <v>1790</v>
      </c>
      <c r="C1144" s="11" t="s">
        <v>1791</v>
      </c>
      <c r="D1144" s="11"/>
      <c r="E1144" s="64">
        <v>46061.0</v>
      </c>
      <c r="F1144" s="14" t="s">
        <v>17</v>
      </c>
      <c r="G1144" s="178">
        <v>31182.0</v>
      </c>
      <c r="H1144" s="28"/>
      <c r="I1144" s="17">
        <f t="shared" si="34"/>
        <v>31182</v>
      </c>
      <c r="J1144" s="91" t="s">
        <v>700</v>
      </c>
      <c r="K1144" s="92"/>
      <c r="L1144" s="92"/>
      <c r="M1144" s="92"/>
      <c r="N1144" s="92"/>
      <c r="O1144" s="92"/>
      <c r="P1144" s="92"/>
      <c r="Q1144" s="92"/>
      <c r="R1144" s="92"/>
      <c r="S1144" s="92"/>
      <c r="T1144" s="92"/>
      <c r="U1144" s="92"/>
      <c r="V1144" s="92"/>
      <c r="W1144" s="92"/>
      <c r="X1144" s="92"/>
      <c r="Y1144" s="92"/>
      <c r="Z1144" s="92"/>
    </row>
    <row r="1145" ht="33.75" customHeight="1">
      <c r="A1145" s="11" t="s">
        <v>701</v>
      </c>
      <c r="B1145" s="12" t="s">
        <v>31</v>
      </c>
      <c r="C1145" s="11" t="s">
        <v>1792</v>
      </c>
      <c r="D1145" s="11"/>
      <c r="E1145" s="76">
        <v>46061.0</v>
      </c>
      <c r="F1145" s="14" t="s">
        <v>1133</v>
      </c>
      <c r="G1145" s="233">
        <v>10500.0</v>
      </c>
      <c r="H1145" s="16">
        <v>9177.0</v>
      </c>
      <c r="I1145" s="17">
        <f t="shared" si="34"/>
        <v>1323</v>
      </c>
      <c r="J1145" s="17" t="s">
        <v>1</v>
      </c>
      <c r="K1145" s="252"/>
      <c r="L1145" s="252"/>
      <c r="M1145" s="252"/>
      <c r="N1145" s="252"/>
      <c r="O1145" s="252"/>
      <c r="P1145" s="252"/>
      <c r="Q1145" s="252"/>
      <c r="R1145" s="252"/>
      <c r="S1145" s="252"/>
      <c r="T1145" s="252"/>
      <c r="U1145" s="252"/>
      <c r="V1145" s="252"/>
      <c r="W1145" s="252"/>
      <c r="X1145" s="252"/>
      <c r="Y1145" s="252"/>
      <c r="Z1145" s="252"/>
    </row>
    <row r="1146" ht="33.75" customHeight="1">
      <c r="A1146" s="11" t="s">
        <v>674</v>
      </c>
      <c r="B1146" s="22" t="s">
        <v>31</v>
      </c>
      <c r="C1146" s="11" t="s">
        <v>1793</v>
      </c>
      <c r="D1146" s="11"/>
      <c r="E1146" s="64">
        <v>46061.0</v>
      </c>
      <c r="F1146" s="14" t="s">
        <v>17</v>
      </c>
      <c r="G1146" s="178">
        <v>10076.0</v>
      </c>
      <c r="H1146" s="28"/>
      <c r="I1146" s="17">
        <f t="shared" si="34"/>
        <v>10076</v>
      </c>
      <c r="J1146" s="91" t="s">
        <v>700</v>
      </c>
      <c r="K1146" s="92"/>
      <c r="L1146" s="92"/>
      <c r="M1146" s="92"/>
      <c r="N1146" s="92"/>
      <c r="O1146" s="92"/>
      <c r="P1146" s="92"/>
      <c r="Q1146" s="92"/>
      <c r="R1146" s="92"/>
      <c r="S1146" s="92"/>
      <c r="T1146" s="92"/>
      <c r="U1146" s="92"/>
      <c r="V1146" s="92"/>
      <c r="W1146" s="92"/>
      <c r="X1146" s="92"/>
      <c r="Y1146" s="92"/>
      <c r="Z1146" s="92"/>
    </row>
    <row r="1147" ht="33.75" customHeight="1">
      <c r="A1147" s="11" t="s">
        <v>1334</v>
      </c>
      <c r="B1147" s="22" t="s">
        <v>1794</v>
      </c>
      <c r="C1147" s="11" t="s">
        <v>1795</v>
      </c>
      <c r="D1147" s="11"/>
      <c r="E1147" s="76">
        <v>46061.0</v>
      </c>
      <c r="F1147" s="14" t="s">
        <v>1141</v>
      </c>
      <c r="G1147" s="233">
        <v>49989.0</v>
      </c>
      <c r="H1147" s="16">
        <v>41620.0</v>
      </c>
      <c r="I1147" s="17">
        <f t="shared" si="34"/>
        <v>8369</v>
      </c>
      <c r="J1147" s="17" t="s">
        <v>1</v>
      </c>
      <c r="K1147" s="252"/>
      <c r="L1147" s="252"/>
      <c r="M1147" s="252"/>
      <c r="N1147" s="252"/>
      <c r="O1147" s="252"/>
      <c r="P1147" s="252"/>
      <c r="Q1147" s="252"/>
      <c r="R1147" s="252"/>
      <c r="S1147" s="252"/>
      <c r="T1147" s="252"/>
      <c r="U1147" s="252"/>
      <c r="V1147" s="252"/>
      <c r="W1147" s="252"/>
      <c r="X1147" s="252"/>
      <c r="Y1147" s="252"/>
      <c r="Z1147" s="252"/>
    </row>
    <row r="1148" ht="33.75" customHeight="1">
      <c r="A1148" s="11" t="s">
        <v>1334</v>
      </c>
      <c r="B1148" s="22" t="s">
        <v>1794</v>
      </c>
      <c r="C1148" s="11" t="s">
        <v>1796</v>
      </c>
      <c r="D1148" s="11"/>
      <c r="E1148" s="76">
        <v>46061.0</v>
      </c>
      <c r="F1148" s="14" t="s">
        <v>1141</v>
      </c>
      <c r="G1148" s="233">
        <v>49989.0</v>
      </c>
      <c r="H1148" s="16">
        <v>41620.0</v>
      </c>
      <c r="I1148" s="17">
        <f t="shared" si="34"/>
        <v>8369</v>
      </c>
      <c r="J1148" s="17" t="s">
        <v>1</v>
      </c>
      <c r="K1148" s="252"/>
      <c r="L1148" s="252"/>
      <c r="M1148" s="252"/>
      <c r="N1148" s="252"/>
      <c r="O1148" s="252"/>
      <c r="P1148" s="252"/>
      <c r="Q1148" s="252"/>
      <c r="R1148" s="252"/>
      <c r="S1148" s="252"/>
      <c r="T1148" s="252"/>
      <c r="U1148" s="252"/>
      <c r="V1148" s="252"/>
      <c r="W1148" s="252"/>
      <c r="X1148" s="252"/>
      <c r="Y1148" s="252"/>
      <c r="Z1148" s="252"/>
    </row>
    <row r="1149" ht="33.75" customHeight="1">
      <c r="A1149" s="11" t="s">
        <v>680</v>
      </c>
      <c r="B1149" s="12" t="s">
        <v>91</v>
      </c>
      <c r="C1149" s="11" t="s">
        <v>1797</v>
      </c>
      <c r="D1149" s="11"/>
      <c r="E1149" s="76">
        <v>46061.0</v>
      </c>
      <c r="F1149" s="14" t="s">
        <v>1133</v>
      </c>
      <c r="G1149" s="233">
        <v>5920.0</v>
      </c>
      <c r="H1149" s="16">
        <v>5901.0</v>
      </c>
      <c r="I1149" s="17">
        <f t="shared" si="34"/>
        <v>19</v>
      </c>
      <c r="J1149" s="17" t="s">
        <v>1</v>
      </c>
      <c r="K1149" s="252"/>
      <c r="L1149" s="252"/>
      <c r="M1149" s="252"/>
      <c r="N1149" s="252"/>
      <c r="O1149" s="252"/>
      <c r="P1149" s="252"/>
      <c r="Q1149" s="252"/>
      <c r="R1149" s="252"/>
      <c r="S1149" s="252"/>
      <c r="T1149" s="252"/>
      <c r="U1149" s="252"/>
      <c r="V1149" s="252"/>
      <c r="W1149" s="252"/>
      <c r="X1149" s="252"/>
      <c r="Y1149" s="252"/>
      <c r="Z1149" s="252"/>
    </row>
    <row r="1150" ht="33.75" customHeight="1">
      <c r="A1150" s="11" t="s">
        <v>1798</v>
      </c>
      <c r="B1150" s="22" t="s">
        <v>161</v>
      </c>
      <c r="C1150" s="11" t="s">
        <v>1799</v>
      </c>
      <c r="D1150" s="11"/>
      <c r="E1150" s="64">
        <v>46061.0</v>
      </c>
      <c r="F1150" s="14" t="s">
        <v>1141</v>
      </c>
      <c r="G1150" s="178">
        <v>29748.0</v>
      </c>
      <c r="H1150" s="16">
        <v>26784.0</v>
      </c>
      <c r="I1150" s="17">
        <f t="shared" si="34"/>
        <v>2964</v>
      </c>
      <c r="J1150" s="17" t="s">
        <v>1</v>
      </c>
      <c r="K1150" s="252"/>
      <c r="L1150" s="252"/>
      <c r="M1150" s="252"/>
      <c r="N1150" s="252"/>
      <c r="O1150" s="252"/>
      <c r="P1150" s="252"/>
      <c r="Q1150" s="252"/>
      <c r="R1150" s="252"/>
      <c r="S1150" s="252"/>
      <c r="T1150" s="252"/>
      <c r="U1150" s="252"/>
      <c r="V1150" s="252"/>
      <c r="W1150" s="252"/>
      <c r="X1150" s="252"/>
      <c r="Y1150" s="252"/>
      <c r="Z1150" s="252"/>
    </row>
    <row r="1151" ht="33.75" customHeight="1">
      <c r="A1151" s="11" t="s">
        <v>1314</v>
      </c>
      <c r="B1151" s="22" t="s">
        <v>49</v>
      </c>
      <c r="C1151" s="11" t="s">
        <v>1800</v>
      </c>
      <c r="D1151" s="11"/>
      <c r="E1151" s="64">
        <v>46062.0</v>
      </c>
      <c r="F1151" s="14" t="s">
        <v>1191</v>
      </c>
      <c r="G1151" s="178">
        <v>2000.0</v>
      </c>
      <c r="H1151" s="16">
        <v>1700.0</v>
      </c>
      <c r="I1151" s="17">
        <f t="shared" si="34"/>
        <v>300</v>
      </c>
      <c r="J1151" s="17" t="s">
        <v>1</v>
      </c>
      <c r="K1151" s="252"/>
      <c r="L1151" s="252"/>
      <c r="M1151" s="252"/>
      <c r="N1151" s="252"/>
      <c r="O1151" s="252"/>
      <c r="P1151" s="252"/>
      <c r="Q1151" s="252"/>
      <c r="R1151" s="252"/>
      <c r="S1151" s="252"/>
      <c r="T1151" s="252"/>
      <c r="U1151" s="252"/>
      <c r="V1151" s="252"/>
      <c r="W1151" s="252"/>
      <c r="X1151" s="252"/>
      <c r="Y1151" s="252"/>
      <c r="Z1151" s="252"/>
    </row>
    <row r="1152" ht="33.75" customHeight="1">
      <c r="A1152" s="11" t="s">
        <v>1801</v>
      </c>
      <c r="B1152" s="22" t="s">
        <v>49</v>
      </c>
      <c r="C1152" s="11" t="s">
        <v>1802</v>
      </c>
      <c r="D1152" s="11"/>
      <c r="E1152" s="64">
        <v>46062.0</v>
      </c>
      <c r="F1152" s="14" t="s">
        <v>287</v>
      </c>
      <c r="G1152" s="178">
        <v>18000.0</v>
      </c>
      <c r="H1152" s="16">
        <v>14234.0</v>
      </c>
      <c r="I1152" s="17">
        <f t="shared" si="34"/>
        <v>3766</v>
      </c>
      <c r="J1152" s="25" t="s">
        <v>1</v>
      </c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</row>
    <row r="1153" ht="33.75" customHeight="1">
      <c r="A1153" s="11" t="s">
        <v>28</v>
      </c>
      <c r="B1153" s="22" t="s">
        <v>81</v>
      </c>
      <c r="C1153" s="11" t="s">
        <v>1803</v>
      </c>
      <c r="D1153" s="11"/>
      <c r="E1153" s="64">
        <v>46062.0</v>
      </c>
      <c r="F1153" s="14" t="s">
        <v>17</v>
      </c>
      <c r="G1153" s="178">
        <v>11000.0</v>
      </c>
      <c r="H1153" s="16">
        <v>9321.0</v>
      </c>
      <c r="I1153" s="17">
        <f t="shared" si="34"/>
        <v>1679</v>
      </c>
      <c r="J1153" s="91" t="s">
        <v>700</v>
      </c>
      <c r="K1153" s="92"/>
      <c r="L1153" s="92"/>
      <c r="M1153" s="92"/>
      <c r="N1153" s="92"/>
      <c r="O1153" s="92"/>
      <c r="P1153" s="92"/>
      <c r="Q1153" s="92"/>
      <c r="R1153" s="92"/>
      <c r="S1153" s="92"/>
      <c r="T1153" s="92"/>
      <c r="U1153" s="92"/>
      <c r="V1153" s="92"/>
      <c r="W1153" s="92"/>
      <c r="X1153" s="92"/>
      <c r="Y1153" s="92"/>
      <c r="Z1153" s="92"/>
    </row>
    <row r="1154" ht="33.75" customHeight="1">
      <c r="A1154" s="11" t="s">
        <v>1804</v>
      </c>
      <c r="B1154" s="22" t="s">
        <v>85</v>
      </c>
      <c r="C1154" s="11" t="s">
        <v>1805</v>
      </c>
      <c r="D1154" s="11"/>
      <c r="E1154" s="64">
        <v>46062.0</v>
      </c>
      <c r="F1154" s="14" t="s">
        <v>1133</v>
      </c>
      <c r="G1154" s="178">
        <v>5000.0</v>
      </c>
      <c r="H1154" s="16">
        <v>3823.0</v>
      </c>
      <c r="I1154" s="17">
        <f t="shared" si="34"/>
        <v>1177</v>
      </c>
      <c r="J1154" s="17" t="s">
        <v>1</v>
      </c>
      <c r="K1154" s="252"/>
      <c r="L1154" s="252"/>
      <c r="M1154" s="252"/>
      <c r="N1154" s="252"/>
      <c r="O1154" s="252"/>
      <c r="P1154" s="252"/>
      <c r="Q1154" s="252"/>
      <c r="R1154" s="252"/>
      <c r="S1154" s="252"/>
      <c r="T1154" s="252"/>
      <c r="U1154" s="252"/>
      <c r="V1154" s="252"/>
      <c r="W1154" s="252"/>
      <c r="X1154" s="252"/>
      <c r="Y1154" s="252"/>
      <c r="Z1154" s="252"/>
    </row>
    <row r="1155" ht="33.75" customHeight="1">
      <c r="A1155" s="11" t="s">
        <v>1544</v>
      </c>
      <c r="B1155" s="22" t="s">
        <v>85</v>
      </c>
      <c r="C1155" s="11" t="s">
        <v>1805</v>
      </c>
      <c r="D1155" s="11"/>
      <c r="E1155" s="64">
        <v>46062.0</v>
      </c>
      <c r="F1155" s="14" t="s">
        <v>1133</v>
      </c>
      <c r="G1155" s="178">
        <v>5000.0</v>
      </c>
      <c r="H1155" s="16">
        <v>2701.0</v>
      </c>
      <c r="I1155" s="17">
        <f t="shared" si="34"/>
        <v>2299</v>
      </c>
      <c r="J1155" s="17" t="s">
        <v>1</v>
      </c>
      <c r="K1155" s="252"/>
      <c r="L1155" s="252"/>
      <c r="M1155" s="252"/>
      <c r="N1155" s="252"/>
      <c r="O1155" s="252"/>
      <c r="P1155" s="252"/>
      <c r="Q1155" s="252"/>
      <c r="R1155" s="252"/>
      <c r="S1155" s="252"/>
      <c r="T1155" s="252"/>
      <c r="U1155" s="252"/>
      <c r="V1155" s="252"/>
      <c r="W1155" s="252"/>
      <c r="X1155" s="252"/>
      <c r="Y1155" s="252"/>
      <c r="Z1155" s="252"/>
    </row>
    <row r="1156" ht="33.75" customHeight="1">
      <c r="A1156" s="11" t="s">
        <v>1594</v>
      </c>
      <c r="B1156" s="22" t="s">
        <v>85</v>
      </c>
      <c r="C1156" s="11" t="s">
        <v>1805</v>
      </c>
      <c r="D1156" s="11"/>
      <c r="E1156" s="64">
        <v>46062.0</v>
      </c>
      <c r="F1156" s="14" t="s">
        <v>1133</v>
      </c>
      <c r="G1156" s="178">
        <v>5000.0</v>
      </c>
      <c r="H1156" s="16">
        <v>3175.0</v>
      </c>
      <c r="I1156" s="17">
        <f t="shared" si="34"/>
        <v>1825</v>
      </c>
      <c r="J1156" s="17" t="s">
        <v>1</v>
      </c>
      <c r="K1156" s="252"/>
      <c r="L1156" s="252"/>
      <c r="M1156" s="252"/>
      <c r="N1156" s="252"/>
      <c r="O1156" s="252"/>
      <c r="P1156" s="252"/>
      <c r="Q1156" s="252"/>
      <c r="R1156" s="252"/>
      <c r="S1156" s="252"/>
      <c r="T1156" s="252"/>
      <c r="U1156" s="252"/>
      <c r="V1156" s="252"/>
      <c r="W1156" s="252"/>
      <c r="X1156" s="252"/>
      <c r="Y1156" s="252"/>
      <c r="Z1156" s="252"/>
    </row>
    <row r="1157" ht="33.75" customHeight="1">
      <c r="A1157" s="11" t="s">
        <v>1741</v>
      </c>
      <c r="B1157" s="22" t="s">
        <v>85</v>
      </c>
      <c r="C1157" s="11" t="s">
        <v>1805</v>
      </c>
      <c r="D1157" s="11"/>
      <c r="E1157" s="64">
        <v>46062.0</v>
      </c>
      <c r="F1157" s="14" t="s">
        <v>1133</v>
      </c>
      <c r="G1157" s="178">
        <v>10000.0</v>
      </c>
      <c r="H1157" s="16">
        <v>6922.0</v>
      </c>
      <c r="I1157" s="17">
        <f t="shared" si="34"/>
        <v>3078</v>
      </c>
      <c r="J1157" s="17" t="s">
        <v>1</v>
      </c>
      <c r="K1157" s="252"/>
      <c r="L1157" s="252"/>
      <c r="M1157" s="252"/>
      <c r="N1157" s="252"/>
      <c r="O1157" s="252"/>
      <c r="P1157" s="252"/>
      <c r="Q1157" s="252"/>
      <c r="R1157" s="252"/>
      <c r="S1157" s="252"/>
      <c r="T1157" s="252"/>
      <c r="U1157" s="252"/>
      <c r="V1157" s="252"/>
      <c r="W1157" s="252"/>
      <c r="X1157" s="252"/>
      <c r="Y1157" s="252"/>
      <c r="Z1157" s="252"/>
    </row>
    <row r="1158" ht="33.75" customHeight="1">
      <c r="A1158" s="11" t="s">
        <v>1806</v>
      </c>
      <c r="B1158" s="22" t="s">
        <v>85</v>
      </c>
      <c r="C1158" s="11" t="s">
        <v>1805</v>
      </c>
      <c r="D1158" s="11"/>
      <c r="E1158" s="64">
        <v>46062.0</v>
      </c>
      <c r="F1158" s="14" t="s">
        <v>1133</v>
      </c>
      <c r="G1158" s="178">
        <v>10000.0</v>
      </c>
      <c r="H1158" s="16">
        <v>5971.0</v>
      </c>
      <c r="I1158" s="17">
        <f t="shared" si="34"/>
        <v>4029</v>
      </c>
      <c r="J1158" s="17" t="s">
        <v>1</v>
      </c>
      <c r="K1158" s="252"/>
      <c r="L1158" s="252"/>
      <c r="M1158" s="252"/>
      <c r="N1158" s="252"/>
      <c r="O1158" s="252"/>
      <c r="P1158" s="252"/>
      <c r="Q1158" s="252"/>
      <c r="R1158" s="252"/>
      <c r="S1158" s="252"/>
      <c r="T1158" s="252"/>
      <c r="U1158" s="252"/>
      <c r="V1158" s="252"/>
      <c r="W1158" s="252"/>
      <c r="X1158" s="252"/>
      <c r="Y1158" s="252"/>
      <c r="Z1158" s="252"/>
    </row>
    <row r="1159" ht="33.75" customHeight="1">
      <c r="A1159" s="11" t="s">
        <v>1116</v>
      </c>
      <c r="B1159" s="22" t="s">
        <v>85</v>
      </c>
      <c r="C1159" s="11" t="s">
        <v>1805</v>
      </c>
      <c r="D1159" s="11"/>
      <c r="E1159" s="64">
        <v>46062.0</v>
      </c>
      <c r="F1159" s="14" t="s">
        <v>1133</v>
      </c>
      <c r="G1159" s="178">
        <v>10000.0</v>
      </c>
      <c r="H1159" s="16">
        <v>8411.0</v>
      </c>
      <c r="I1159" s="17">
        <f t="shared" si="34"/>
        <v>1589</v>
      </c>
      <c r="J1159" s="17" t="s">
        <v>1</v>
      </c>
      <c r="K1159" s="252"/>
      <c r="L1159" s="252"/>
      <c r="M1159" s="252"/>
      <c r="N1159" s="252"/>
      <c r="O1159" s="252"/>
      <c r="P1159" s="252"/>
      <c r="Q1159" s="252"/>
      <c r="R1159" s="252"/>
      <c r="S1159" s="252"/>
      <c r="T1159" s="252"/>
      <c r="U1159" s="252"/>
      <c r="V1159" s="252"/>
      <c r="W1159" s="252"/>
      <c r="X1159" s="252"/>
      <c r="Y1159" s="252"/>
      <c r="Z1159" s="252"/>
    </row>
    <row r="1160" ht="33.75" customHeight="1">
      <c r="A1160" s="11" t="s">
        <v>693</v>
      </c>
      <c r="B1160" s="22" t="s">
        <v>85</v>
      </c>
      <c r="C1160" s="11" t="s">
        <v>1805</v>
      </c>
      <c r="D1160" s="11"/>
      <c r="E1160" s="64">
        <v>46062.0</v>
      </c>
      <c r="F1160" s="14" t="s">
        <v>1133</v>
      </c>
      <c r="G1160" s="178">
        <v>10000.0</v>
      </c>
      <c r="H1160" s="16">
        <v>9208.0</v>
      </c>
      <c r="I1160" s="17">
        <f t="shared" si="34"/>
        <v>792</v>
      </c>
      <c r="J1160" s="17" t="s">
        <v>1</v>
      </c>
      <c r="K1160" s="252"/>
      <c r="L1160" s="252"/>
      <c r="M1160" s="252"/>
      <c r="N1160" s="252"/>
      <c r="O1160" s="252"/>
      <c r="P1160" s="252"/>
      <c r="Q1160" s="252"/>
      <c r="R1160" s="252"/>
      <c r="S1160" s="252"/>
      <c r="T1160" s="252"/>
      <c r="U1160" s="252"/>
      <c r="V1160" s="252"/>
      <c r="W1160" s="252"/>
      <c r="X1160" s="252"/>
      <c r="Y1160" s="252"/>
      <c r="Z1160" s="252"/>
    </row>
    <row r="1161" ht="33.75" customHeight="1">
      <c r="A1161" s="11" t="s">
        <v>1173</v>
      </c>
      <c r="B1161" s="22" t="s">
        <v>85</v>
      </c>
      <c r="C1161" s="11" t="s">
        <v>1807</v>
      </c>
      <c r="D1161" s="11"/>
      <c r="E1161" s="64">
        <v>46062.0</v>
      </c>
      <c r="F1161" s="14" t="s">
        <v>1141</v>
      </c>
      <c r="G1161" s="178">
        <v>10000.0</v>
      </c>
      <c r="H1161" s="16">
        <v>7113.0</v>
      </c>
      <c r="I1161" s="17">
        <f t="shared" si="34"/>
        <v>2887</v>
      </c>
      <c r="J1161" s="17" t="s">
        <v>1</v>
      </c>
      <c r="K1161" s="252"/>
      <c r="L1161" s="252"/>
      <c r="M1161" s="252"/>
      <c r="N1161" s="252"/>
      <c r="O1161" s="252"/>
      <c r="P1161" s="252"/>
      <c r="Q1161" s="252"/>
      <c r="R1161" s="252"/>
      <c r="S1161" s="252"/>
      <c r="T1161" s="252"/>
      <c r="U1161" s="252"/>
      <c r="V1161" s="252"/>
      <c r="W1161" s="252"/>
      <c r="X1161" s="252"/>
      <c r="Y1161" s="252"/>
      <c r="Z1161" s="252"/>
    </row>
    <row r="1162" ht="33.75" customHeight="1">
      <c r="A1162" s="11" t="s">
        <v>1177</v>
      </c>
      <c r="B1162" s="22" t="s">
        <v>85</v>
      </c>
      <c r="C1162" s="11" t="s">
        <v>1807</v>
      </c>
      <c r="D1162" s="11"/>
      <c r="E1162" s="64">
        <v>46062.0</v>
      </c>
      <c r="F1162" s="14" t="s">
        <v>1141</v>
      </c>
      <c r="G1162" s="178">
        <v>10000.0</v>
      </c>
      <c r="H1162" s="16">
        <v>7609.0</v>
      </c>
      <c r="I1162" s="17">
        <f t="shared" si="34"/>
        <v>2391</v>
      </c>
      <c r="J1162" s="17" t="s">
        <v>1</v>
      </c>
      <c r="K1162" s="252"/>
      <c r="L1162" s="252"/>
      <c r="M1162" s="252"/>
      <c r="N1162" s="252"/>
      <c r="O1162" s="252"/>
      <c r="P1162" s="252"/>
      <c r="Q1162" s="252"/>
      <c r="R1162" s="252"/>
      <c r="S1162" s="252"/>
      <c r="T1162" s="252"/>
      <c r="U1162" s="252"/>
      <c r="V1162" s="252"/>
      <c r="W1162" s="252"/>
      <c r="X1162" s="252"/>
      <c r="Y1162" s="252"/>
      <c r="Z1162" s="252"/>
    </row>
    <row r="1163" ht="33.75" customHeight="1">
      <c r="A1163" s="11" t="s">
        <v>1808</v>
      </c>
      <c r="B1163" s="22" t="s">
        <v>85</v>
      </c>
      <c r="C1163" s="11" t="s">
        <v>1807</v>
      </c>
      <c r="D1163" s="11"/>
      <c r="E1163" s="64">
        <v>46062.0</v>
      </c>
      <c r="F1163" s="14" t="s">
        <v>1141</v>
      </c>
      <c r="G1163" s="178">
        <v>10000.0</v>
      </c>
      <c r="H1163" s="16">
        <v>7504.0</v>
      </c>
      <c r="I1163" s="17">
        <f t="shared" si="34"/>
        <v>2496</v>
      </c>
      <c r="J1163" s="17" t="s">
        <v>1</v>
      </c>
      <c r="K1163" s="252"/>
      <c r="L1163" s="252"/>
      <c r="M1163" s="252"/>
      <c r="N1163" s="252"/>
      <c r="O1163" s="252"/>
      <c r="P1163" s="252"/>
      <c r="Q1163" s="252"/>
      <c r="R1163" s="252"/>
      <c r="S1163" s="252"/>
      <c r="T1163" s="252"/>
      <c r="U1163" s="252"/>
      <c r="V1163" s="252"/>
      <c r="W1163" s="252"/>
      <c r="X1163" s="252"/>
      <c r="Y1163" s="252"/>
      <c r="Z1163" s="252"/>
    </row>
    <row r="1164" ht="33.75" customHeight="1">
      <c r="A1164" s="11" t="s">
        <v>1449</v>
      </c>
      <c r="B1164" s="22" t="s">
        <v>85</v>
      </c>
      <c r="C1164" s="11" t="s">
        <v>1807</v>
      </c>
      <c r="D1164" s="11"/>
      <c r="E1164" s="64">
        <v>46062.0</v>
      </c>
      <c r="F1164" s="14" t="s">
        <v>1141</v>
      </c>
      <c r="G1164" s="178">
        <v>10000.0</v>
      </c>
      <c r="H1164" s="16">
        <v>5535.0</v>
      </c>
      <c r="I1164" s="17">
        <f t="shared" si="34"/>
        <v>4465</v>
      </c>
      <c r="J1164" s="17" t="s">
        <v>1</v>
      </c>
      <c r="K1164" s="252"/>
      <c r="L1164" s="252"/>
      <c r="M1164" s="252"/>
      <c r="N1164" s="252"/>
      <c r="O1164" s="252"/>
      <c r="P1164" s="252"/>
      <c r="Q1164" s="252"/>
      <c r="R1164" s="252"/>
      <c r="S1164" s="252"/>
      <c r="T1164" s="252"/>
      <c r="U1164" s="252"/>
      <c r="V1164" s="252"/>
      <c r="W1164" s="252"/>
      <c r="X1164" s="252"/>
      <c r="Y1164" s="252"/>
      <c r="Z1164" s="252"/>
    </row>
    <row r="1165" ht="33.75" customHeight="1">
      <c r="A1165" s="11" t="s">
        <v>695</v>
      </c>
      <c r="B1165" s="22" t="s">
        <v>85</v>
      </c>
      <c r="C1165" s="11" t="s">
        <v>1807</v>
      </c>
      <c r="D1165" s="11"/>
      <c r="E1165" s="64">
        <v>46062.0</v>
      </c>
      <c r="F1165" s="14" t="s">
        <v>1141</v>
      </c>
      <c r="G1165" s="178">
        <v>10000.0</v>
      </c>
      <c r="H1165" s="16">
        <v>8148.0</v>
      </c>
      <c r="I1165" s="17">
        <f t="shared" si="34"/>
        <v>1852</v>
      </c>
      <c r="J1165" s="17" t="s">
        <v>1</v>
      </c>
      <c r="K1165" s="252"/>
      <c r="L1165" s="252"/>
      <c r="M1165" s="252"/>
      <c r="N1165" s="252"/>
      <c r="O1165" s="252"/>
      <c r="P1165" s="252"/>
      <c r="Q1165" s="252"/>
      <c r="R1165" s="252"/>
      <c r="S1165" s="252"/>
      <c r="T1165" s="252"/>
      <c r="U1165" s="252"/>
      <c r="V1165" s="252"/>
      <c r="W1165" s="252"/>
      <c r="X1165" s="252"/>
      <c r="Y1165" s="252"/>
      <c r="Z1165" s="252"/>
    </row>
    <row r="1166" ht="33.75" customHeight="1">
      <c r="A1166" s="11" t="s">
        <v>374</v>
      </c>
      <c r="B1166" s="22" t="s">
        <v>85</v>
      </c>
      <c r="C1166" s="11" t="s">
        <v>1807</v>
      </c>
      <c r="D1166" s="11"/>
      <c r="E1166" s="64">
        <v>46062.0</v>
      </c>
      <c r="F1166" s="14" t="s">
        <v>1141</v>
      </c>
      <c r="G1166" s="178">
        <v>10000.0</v>
      </c>
      <c r="H1166" s="179">
        <v>5093.0</v>
      </c>
      <c r="I1166" s="17">
        <f t="shared" si="34"/>
        <v>4907</v>
      </c>
      <c r="J1166" s="17" t="s">
        <v>1</v>
      </c>
      <c r="K1166" s="252"/>
      <c r="L1166" s="252"/>
      <c r="M1166" s="252"/>
      <c r="N1166" s="252"/>
      <c r="O1166" s="252"/>
      <c r="P1166" s="252"/>
      <c r="Q1166" s="252"/>
      <c r="R1166" s="252"/>
      <c r="S1166" s="252"/>
      <c r="T1166" s="252"/>
      <c r="U1166" s="252"/>
      <c r="V1166" s="252"/>
      <c r="W1166" s="252"/>
      <c r="X1166" s="252"/>
      <c r="Y1166" s="252"/>
      <c r="Z1166" s="252"/>
    </row>
    <row r="1167" ht="33.75" customHeight="1">
      <c r="A1167" s="11" t="s">
        <v>1809</v>
      </c>
      <c r="B1167" s="22" t="s">
        <v>85</v>
      </c>
      <c r="C1167" s="11" t="s">
        <v>1810</v>
      </c>
      <c r="D1167" s="11"/>
      <c r="E1167" s="64">
        <v>46062.0</v>
      </c>
      <c r="F1167" s="14" t="s">
        <v>1191</v>
      </c>
      <c r="G1167" s="178">
        <v>999.0</v>
      </c>
      <c r="H1167" s="16">
        <v>920.0</v>
      </c>
      <c r="I1167" s="17">
        <f t="shared" si="34"/>
        <v>79</v>
      </c>
      <c r="J1167" s="17" t="s">
        <v>1</v>
      </c>
      <c r="K1167" s="252"/>
      <c r="L1167" s="252"/>
      <c r="M1167" s="252"/>
      <c r="N1167" s="252"/>
      <c r="O1167" s="252"/>
      <c r="P1167" s="252"/>
      <c r="Q1167" s="252"/>
      <c r="R1167" s="252"/>
      <c r="S1167" s="252"/>
      <c r="T1167" s="252"/>
      <c r="U1167" s="252"/>
      <c r="V1167" s="252"/>
      <c r="W1167" s="252"/>
      <c r="X1167" s="252"/>
      <c r="Y1167" s="252"/>
      <c r="Z1167" s="252"/>
    </row>
    <row r="1168" ht="33.75" customHeight="1">
      <c r="A1168" s="11" t="s">
        <v>1381</v>
      </c>
      <c r="B1168" s="22" t="s">
        <v>85</v>
      </c>
      <c r="C1168" s="11" t="s">
        <v>1811</v>
      </c>
      <c r="D1168" s="11"/>
      <c r="E1168" s="64">
        <v>46062.0</v>
      </c>
      <c r="F1168" s="14" t="s">
        <v>1191</v>
      </c>
      <c r="G1168" s="178">
        <v>2680.0</v>
      </c>
      <c r="H1168" s="16">
        <v>2130.0</v>
      </c>
      <c r="I1168" s="17">
        <f t="shared" si="34"/>
        <v>550</v>
      </c>
      <c r="J1168" s="17" t="s">
        <v>1</v>
      </c>
      <c r="K1168" s="252"/>
      <c r="L1168" s="252"/>
      <c r="M1168" s="252"/>
      <c r="N1168" s="252"/>
      <c r="O1168" s="252"/>
      <c r="P1168" s="252"/>
      <c r="Q1168" s="252"/>
      <c r="R1168" s="252"/>
      <c r="S1168" s="252"/>
      <c r="T1168" s="252"/>
      <c r="U1168" s="252"/>
      <c r="V1168" s="252"/>
      <c r="W1168" s="252"/>
      <c r="X1168" s="252"/>
      <c r="Y1168" s="252"/>
      <c r="Z1168" s="252"/>
    </row>
    <row r="1169" ht="33.75" customHeight="1">
      <c r="A1169" s="11" t="s">
        <v>1587</v>
      </c>
      <c r="B1169" s="22" t="s">
        <v>88</v>
      </c>
      <c r="C1169" s="11" t="s">
        <v>1812</v>
      </c>
      <c r="D1169" s="11"/>
      <c r="E1169" s="64">
        <v>46062.0</v>
      </c>
      <c r="F1169" s="14" t="s">
        <v>287</v>
      </c>
      <c r="G1169" s="178">
        <v>42000.0</v>
      </c>
      <c r="H1169" s="28"/>
      <c r="I1169" s="17">
        <f t="shared" si="34"/>
        <v>42000</v>
      </c>
      <c r="J1169" s="25" t="s">
        <v>1</v>
      </c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</row>
    <row r="1170" ht="33.75" customHeight="1">
      <c r="A1170" s="11" t="s">
        <v>1587</v>
      </c>
      <c r="B1170" s="22" t="s">
        <v>88</v>
      </c>
      <c r="C1170" s="11" t="s">
        <v>1813</v>
      </c>
      <c r="D1170" s="11"/>
      <c r="E1170" s="64">
        <v>46062.0</v>
      </c>
      <c r="F1170" s="14" t="s">
        <v>287</v>
      </c>
      <c r="G1170" s="178">
        <v>42000.0</v>
      </c>
      <c r="H1170" s="28"/>
      <c r="I1170" s="17">
        <f t="shared" si="34"/>
        <v>42000</v>
      </c>
      <c r="J1170" s="25" t="s">
        <v>1</v>
      </c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</row>
    <row r="1171" ht="33.75" customHeight="1">
      <c r="A1171" s="11" t="s">
        <v>1587</v>
      </c>
      <c r="B1171" s="22" t="s">
        <v>31</v>
      </c>
      <c r="C1171" s="11" t="s">
        <v>1814</v>
      </c>
      <c r="D1171" s="11"/>
      <c r="E1171" s="64">
        <v>46062.0</v>
      </c>
      <c r="F1171" s="14" t="s">
        <v>287</v>
      </c>
      <c r="G1171" s="178">
        <v>48647.0</v>
      </c>
      <c r="H1171" s="28"/>
      <c r="I1171" s="17">
        <f t="shared" si="34"/>
        <v>48647</v>
      </c>
      <c r="J1171" s="25" t="s">
        <v>1</v>
      </c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</row>
    <row r="1172" ht="33.75" customHeight="1">
      <c r="A1172" s="11" t="s">
        <v>109</v>
      </c>
      <c r="B1172" s="22" t="s">
        <v>31</v>
      </c>
      <c r="C1172" s="11" t="s">
        <v>1751</v>
      </c>
      <c r="D1172" s="11"/>
      <c r="E1172" s="64">
        <v>46062.0</v>
      </c>
      <c r="F1172" s="14" t="s">
        <v>1141</v>
      </c>
      <c r="G1172" s="233">
        <v>9018.0</v>
      </c>
      <c r="H1172" s="16">
        <v>7345.0</v>
      </c>
      <c r="I1172" s="17">
        <f t="shared" si="34"/>
        <v>1673</v>
      </c>
      <c r="J1172" s="17" t="s">
        <v>1</v>
      </c>
      <c r="K1172" s="252"/>
      <c r="L1172" s="252"/>
      <c r="M1172" s="252"/>
      <c r="N1172" s="252"/>
      <c r="O1172" s="252"/>
      <c r="P1172" s="252"/>
      <c r="Q1172" s="252"/>
      <c r="R1172" s="252"/>
      <c r="S1172" s="252"/>
      <c r="T1172" s="252"/>
      <c r="U1172" s="252"/>
      <c r="V1172" s="252"/>
      <c r="W1172" s="252"/>
      <c r="X1172" s="252"/>
      <c r="Y1172" s="252"/>
      <c r="Z1172" s="252"/>
    </row>
    <row r="1173" ht="33.75" customHeight="1">
      <c r="A1173" s="11" t="s">
        <v>28</v>
      </c>
      <c r="B1173" s="22" t="s">
        <v>37</v>
      </c>
      <c r="C1173" s="11" t="s">
        <v>1803</v>
      </c>
      <c r="D1173" s="11"/>
      <c r="E1173" s="64">
        <v>46062.0</v>
      </c>
      <c r="F1173" s="14" t="s">
        <v>17</v>
      </c>
      <c r="G1173" s="178">
        <v>11000.0</v>
      </c>
      <c r="H1173" s="28"/>
      <c r="I1173" s="17">
        <f t="shared" si="34"/>
        <v>11000</v>
      </c>
      <c r="J1173" s="17" t="s">
        <v>1</v>
      </c>
      <c r="K1173" s="252"/>
      <c r="L1173" s="252"/>
      <c r="M1173" s="252"/>
      <c r="N1173" s="252"/>
      <c r="O1173" s="252"/>
      <c r="P1173" s="252"/>
      <c r="Q1173" s="252"/>
      <c r="R1173" s="252"/>
      <c r="S1173" s="252"/>
      <c r="T1173" s="252"/>
      <c r="U1173" s="252"/>
      <c r="V1173" s="252"/>
      <c r="W1173" s="252"/>
      <c r="X1173" s="252"/>
      <c r="Y1173" s="252"/>
      <c r="Z1173" s="252"/>
    </row>
    <row r="1174" ht="33.75" customHeight="1">
      <c r="A1174" s="11" t="s">
        <v>1815</v>
      </c>
      <c r="B1174" s="22" t="s">
        <v>37</v>
      </c>
      <c r="C1174" s="11" t="s">
        <v>1816</v>
      </c>
      <c r="D1174" s="11"/>
      <c r="E1174" s="64">
        <v>46062.0</v>
      </c>
      <c r="F1174" s="14" t="s">
        <v>1141</v>
      </c>
      <c r="G1174" s="178">
        <v>6734.0</v>
      </c>
      <c r="H1174" s="39">
        <v>6048.0</v>
      </c>
      <c r="I1174" s="17">
        <f t="shared" si="34"/>
        <v>686</v>
      </c>
      <c r="J1174" s="17" t="s">
        <v>1</v>
      </c>
      <c r="K1174" s="252"/>
      <c r="L1174" s="252"/>
      <c r="M1174" s="252"/>
      <c r="N1174" s="252"/>
      <c r="O1174" s="252"/>
      <c r="P1174" s="252"/>
      <c r="Q1174" s="252"/>
      <c r="R1174" s="252"/>
      <c r="S1174" s="252"/>
      <c r="T1174" s="252"/>
      <c r="U1174" s="252"/>
      <c r="V1174" s="252"/>
      <c r="W1174" s="252"/>
      <c r="X1174" s="252"/>
      <c r="Y1174" s="252"/>
      <c r="Z1174" s="252"/>
    </row>
    <row r="1175" ht="33.75" customHeight="1">
      <c r="A1175" s="11" t="s">
        <v>1587</v>
      </c>
      <c r="B1175" s="22" t="s">
        <v>91</v>
      </c>
      <c r="C1175" s="11" t="s">
        <v>1817</v>
      </c>
      <c r="D1175" s="11"/>
      <c r="E1175" s="64">
        <v>46062.0</v>
      </c>
      <c r="F1175" s="265" t="s">
        <v>287</v>
      </c>
      <c r="G1175" s="178">
        <v>48647.0</v>
      </c>
      <c r="H1175" s="28"/>
      <c r="I1175" s="17">
        <f t="shared" si="34"/>
        <v>48647</v>
      </c>
      <c r="J1175" s="25" t="s">
        <v>1</v>
      </c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</row>
    <row r="1176" ht="33.75" customHeight="1">
      <c r="A1176" s="11" t="s">
        <v>1587</v>
      </c>
      <c r="B1176" s="22" t="s">
        <v>125</v>
      </c>
      <c r="C1176" s="11" t="s">
        <v>1818</v>
      </c>
      <c r="D1176" s="11"/>
      <c r="E1176" s="64">
        <v>46062.0</v>
      </c>
      <c r="F1176" s="14" t="s">
        <v>287</v>
      </c>
      <c r="G1176" s="178">
        <v>48652.0</v>
      </c>
      <c r="H1176" s="28"/>
      <c r="I1176" s="17">
        <f t="shared" si="34"/>
        <v>48652</v>
      </c>
      <c r="J1176" s="25" t="s">
        <v>1</v>
      </c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</row>
    <row r="1177" ht="33.75" customHeight="1">
      <c r="A1177" s="11" t="s">
        <v>77</v>
      </c>
      <c r="B1177" s="22" t="s">
        <v>1819</v>
      </c>
      <c r="C1177" s="11" t="s">
        <v>1820</v>
      </c>
      <c r="D1177" s="11"/>
      <c r="E1177" s="64">
        <v>46062.0</v>
      </c>
      <c r="F1177" s="14" t="s">
        <v>17</v>
      </c>
      <c r="G1177" s="178">
        <v>6947.0</v>
      </c>
      <c r="H1177" s="28"/>
      <c r="I1177" s="17">
        <f t="shared" si="34"/>
        <v>6947</v>
      </c>
      <c r="J1177" s="17" t="s">
        <v>1</v>
      </c>
      <c r="K1177" s="252"/>
      <c r="L1177" s="252"/>
      <c r="M1177" s="252"/>
      <c r="N1177" s="252"/>
      <c r="O1177" s="252"/>
      <c r="P1177" s="252"/>
      <c r="Q1177" s="252"/>
      <c r="R1177" s="252"/>
      <c r="S1177" s="252"/>
      <c r="T1177" s="252"/>
      <c r="U1177" s="252"/>
      <c r="V1177" s="252"/>
      <c r="W1177" s="252"/>
      <c r="X1177" s="252"/>
      <c r="Y1177" s="252"/>
      <c r="Z1177" s="252"/>
    </row>
    <row r="1178" ht="33.75" customHeight="1">
      <c r="A1178" s="11" t="s">
        <v>1649</v>
      </c>
      <c r="B1178" s="22" t="s">
        <v>181</v>
      </c>
      <c r="C1178" s="11" t="s">
        <v>1821</v>
      </c>
      <c r="D1178" s="11"/>
      <c r="E1178" s="64">
        <v>46062.0</v>
      </c>
      <c r="F1178" s="14" t="s">
        <v>1133</v>
      </c>
      <c r="G1178" s="178">
        <v>5709.0</v>
      </c>
      <c r="H1178" s="16">
        <v>4014.0</v>
      </c>
      <c r="I1178" s="17">
        <f t="shared" si="34"/>
        <v>1695</v>
      </c>
      <c r="J1178" s="17" t="s">
        <v>1</v>
      </c>
      <c r="K1178" s="252"/>
      <c r="L1178" s="252"/>
      <c r="M1178" s="252"/>
      <c r="N1178" s="252"/>
      <c r="O1178" s="252"/>
      <c r="P1178" s="252"/>
      <c r="Q1178" s="252"/>
      <c r="R1178" s="252"/>
      <c r="S1178" s="252"/>
      <c r="T1178" s="252"/>
      <c r="U1178" s="252"/>
      <c r="V1178" s="252"/>
      <c r="W1178" s="252"/>
      <c r="X1178" s="252"/>
      <c r="Y1178" s="252"/>
      <c r="Z1178" s="252"/>
    </row>
    <row r="1179" ht="33.75" customHeight="1">
      <c r="A1179" s="11" t="s">
        <v>1822</v>
      </c>
      <c r="B1179" s="22" t="s">
        <v>619</v>
      </c>
      <c r="C1179" s="11" t="s">
        <v>1823</v>
      </c>
      <c r="D1179" s="11"/>
      <c r="E1179" s="64">
        <v>46062.0</v>
      </c>
      <c r="F1179" s="14" t="s">
        <v>1191</v>
      </c>
      <c r="G1179" s="178">
        <v>6864.0</v>
      </c>
      <c r="H1179" s="16">
        <v>6254.0</v>
      </c>
      <c r="I1179" s="17">
        <f t="shared" si="34"/>
        <v>610</v>
      </c>
      <c r="J1179" s="17" t="s">
        <v>1</v>
      </c>
      <c r="K1179" s="252"/>
      <c r="L1179" s="252"/>
      <c r="M1179" s="252"/>
      <c r="N1179" s="252"/>
      <c r="O1179" s="252"/>
      <c r="P1179" s="252"/>
      <c r="Q1179" s="252"/>
      <c r="R1179" s="252"/>
      <c r="S1179" s="252"/>
      <c r="T1179" s="252"/>
      <c r="U1179" s="252"/>
      <c r="V1179" s="252"/>
      <c r="W1179" s="252"/>
      <c r="X1179" s="252"/>
      <c r="Y1179" s="252"/>
      <c r="Z1179" s="252"/>
    </row>
    <row r="1180" ht="33.75" customHeight="1">
      <c r="A1180" s="11" t="s">
        <v>1442</v>
      </c>
      <c r="B1180" s="22" t="s">
        <v>1824</v>
      </c>
      <c r="C1180" s="24" t="s">
        <v>1825</v>
      </c>
      <c r="D1180" s="24"/>
      <c r="E1180" s="64">
        <v>46062.0</v>
      </c>
      <c r="F1180" s="14" t="s">
        <v>17</v>
      </c>
      <c r="G1180" s="178">
        <v>11840.0</v>
      </c>
      <c r="H1180" s="28"/>
      <c r="I1180" s="17">
        <f t="shared" si="34"/>
        <v>11840</v>
      </c>
      <c r="J1180" s="91" t="s">
        <v>700</v>
      </c>
      <c r="K1180" s="92"/>
      <c r="L1180" s="92"/>
      <c r="M1180" s="92"/>
      <c r="N1180" s="92"/>
      <c r="O1180" s="92"/>
      <c r="P1180" s="92"/>
      <c r="Q1180" s="92"/>
      <c r="R1180" s="92"/>
      <c r="S1180" s="92"/>
      <c r="T1180" s="92"/>
      <c r="U1180" s="92"/>
      <c r="V1180" s="92"/>
      <c r="W1180" s="92"/>
      <c r="X1180" s="92"/>
      <c r="Y1180" s="92"/>
      <c r="Z1180" s="92"/>
    </row>
    <row r="1181" ht="33.75" customHeight="1">
      <c r="A1181" s="11" t="s">
        <v>1587</v>
      </c>
      <c r="B1181" s="22" t="s">
        <v>98</v>
      </c>
      <c r="C1181" s="11" t="s">
        <v>1826</v>
      </c>
      <c r="D1181" s="11"/>
      <c r="E1181" s="64">
        <v>46062.0</v>
      </c>
      <c r="F1181" s="14" t="s">
        <v>287</v>
      </c>
      <c r="G1181" s="178">
        <v>50000.0</v>
      </c>
      <c r="H1181" s="28"/>
      <c r="I1181" s="17">
        <f t="shared" si="34"/>
        <v>50000</v>
      </c>
      <c r="J1181" s="25" t="s">
        <v>1</v>
      </c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</row>
    <row r="1182" ht="33.75" customHeight="1">
      <c r="A1182" s="11" t="s">
        <v>1587</v>
      </c>
      <c r="B1182" s="22" t="s">
        <v>98</v>
      </c>
      <c r="C1182" s="11" t="s">
        <v>1827</v>
      </c>
      <c r="D1182" s="11"/>
      <c r="E1182" s="64">
        <v>46062.0</v>
      </c>
      <c r="F1182" s="14" t="s">
        <v>287</v>
      </c>
      <c r="G1182" s="178">
        <v>50000.0</v>
      </c>
      <c r="H1182" s="28"/>
      <c r="I1182" s="17">
        <f t="shared" si="34"/>
        <v>50000</v>
      </c>
      <c r="J1182" s="25" t="s">
        <v>1</v>
      </c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</row>
    <row r="1183" ht="33.75" customHeight="1">
      <c r="A1183" s="11" t="s">
        <v>1828</v>
      </c>
      <c r="B1183" s="22" t="s">
        <v>1829</v>
      </c>
      <c r="C1183" s="11" t="s">
        <v>1830</v>
      </c>
      <c r="D1183" s="11"/>
      <c r="E1183" s="64">
        <v>46062.0</v>
      </c>
      <c r="F1183" s="14" t="s">
        <v>1141</v>
      </c>
      <c r="G1183" s="178">
        <v>838.0</v>
      </c>
      <c r="H1183" s="16">
        <v>820.0</v>
      </c>
      <c r="I1183" s="17">
        <f t="shared" si="34"/>
        <v>18</v>
      </c>
      <c r="J1183" s="17" t="s">
        <v>1</v>
      </c>
      <c r="K1183" s="252"/>
      <c r="L1183" s="252"/>
      <c r="M1183" s="252"/>
      <c r="N1183" s="252"/>
      <c r="O1183" s="252"/>
      <c r="P1183" s="252"/>
      <c r="Q1183" s="252"/>
      <c r="R1183" s="252"/>
      <c r="S1183" s="252"/>
      <c r="T1183" s="252"/>
      <c r="U1183" s="252"/>
      <c r="V1183" s="252"/>
      <c r="W1183" s="252"/>
      <c r="X1183" s="252"/>
      <c r="Y1183" s="252"/>
      <c r="Z1183" s="252"/>
    </row>
    <row r="1184" ht="33.75" customHeight="1">
      <c r="A1184" s="11" t="s">
        <v>1831</v>
      </c>
      <c r="B1184" s="12"/>
      <c r="C1184" s="11" t="s">
        <v>1832</v>
      </c>
      <c r="D1184" s="11"/>
      <c r="E1184" s="64">
        <v>46062.0</v>
      </c>
      <c r="F1184" s="23"/>
      <c r="G1184" s="178">
        <v>9133.0</v>
      </c>
      <c r="H1184" s="28"/>
      <c r="I1184" s="48">
        <f t="shared" si="34"/>
        <v>9133</v>
      </c>
      <c r="J1184" s="91" t="s">
        <v>700</v>
      </c>
      <c r="K1184" s="92"/>
      <c r="L1184" s="92"/>
      <c r="M1184" s="92"/>
      <c r="N1184" s="92"/>
      <c r="O1184" s="92"/>
      <c r="P1184" s="92"/>
      <c r="Q1184" s="92"/>
      <c r="R1184" s="92"/>
      <c r="S1184" s="92"/>
      <c r="T1184" s="92"/>
      <c r="U1184" s="92"/>
      <c r="V1184" s="92"/>
      <c r="W1184" s="92"/>
      <c r="X1184" s="92"/>
      <c r="Y1184" s="92"/>
      <c r="Z1184" s="92"/>
    </row>
    <row r="1185" ht="33.75" customHeight="1">
      <c r="A1185" s="11" t="s">
        <v>1314</v>
      </c>
      <c r="B1185" s="22" t="s">
        <v>1011</v>
      </c>
      <c r="C1185" s="11" t="s">
        <v>1833</v>
      </c>
      <c r="D1185" s="11"/>
      <c r="E1185" s="64">
        <v>46063.0</v>
      </c>
      <c r="F1185" s="14" t="s">
        <v>1191</v>
      </c>
      <c r="G1185" s="15" t="s">
        <v>1437</v>
      </c>
      <c r="H1185" s="16">
        <v>1674.0</v>
      </c>
      <c r="I1185" s="17">
        <f t="shared" si="34"/>
        <v>325</v>
      </c>
      <c r="J1185" s="25" t="s">
        <v>1</v>
      </c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</row>
    <row r="1186" ht="33.75" customHeight="1">
      <c r="A1186" s="11" t="s">
        <v>28</v>
      </c>
      <c r="B1186" s="22" t="s">
        <v>81</v>
      </c>
      <c r="C1186" s="11" t="s">
        <v>1834</v>
      </c>
      <c r="D1186" s="11"/>
      <c r="E1186" s="64">
        <v>46063.0</v>
      </c>
      <c r="F1186" s="14" t="s">
        <v>17</v>
      </c>
      <c r="G1186" s="178">
        <v>11000.0</v>
      </c>
      <c r="H1186" s="28"/>
      <c r="I1186" s="17">
        <f t="shared" si="34"/>
        <v>11000</v>
      </c>
      <c r="J1186" s="91" t="s">
        <v>700</v>
      </c>
      <c r="K1186" s="92"/>
      <c r="L1186" s="92"/>
      <c r="M1186" s="92"/>
      <c r="N1186" s="92"/>
      <c r="O1186" s="92"/>
      <c r="P1186" s="92"/>
      <c r="Q1186" s="92"/>
      <c r="R1186" s="92"/>
      <c r="S1186" s="92"/>
      <c r="T1186" s="92"/>
      <c r="U1186" s="92"/>
      <c r="V1186" s="92"/>
      <c r="W1186" s="92"/>
      <c r="X1186" s="92"/>
      <c r="Y1186" s="92"/>
      <c r="Z1186" s="92"/>
    </row>
    <row r="1187" ht="33.75" customHeight="1">
      <c r="A1187" s="11" t="s">
        <v>109</v>
      </c>
      <c r="B1187" s="22" t="s">
        <v>1835</v>
      </c>
      <c r="C1187" s="11" t="s">
        <v>1836</v>
      </c>
      <c r="D1187" s="11"/>
      <c r="E1187" s="64">
        <v>46063.0</v>
      </c>
      <c r="F1187" s="14" t="s">
        <v>287</v>
      </c>
      <c r="G1187" s="178">
        <v>8606.0</v>
      </c>
      <c r="H1187" s="266"/>
      <c r="I1187" s="148">
        <f t="shared" si="34"/>
        <v>8606</v>
      </c>
      <c r="J1187" s="25" t="s">
        <v>1</v>
      </c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</row>
    <row r="1188" ht="33.75" customHeight="1">
      <c r="A1188" s="11" t="s">
        <v>1272</v>
      </c>
      <c r="B1188" s="22" t="s">
        <v>85</v>
      </c>
      <c r="C1188" s="11" t="s">
        <v>1837</v>
      </c>
      <c r="D1188" s="11"/>
      <c r="E1188" s="64">
        <v>46063.0</v>
      </c>
      <c r="F1188" s="14" t="s">
        <v>1133</v>
      </c>
      <c r="G1188" s="71">
        <v>10000.0</v>
      </c>
      <c r="H1188" s="152">
        <v>7570.0</v>
      </c>
      <c r="I1188" s="153">
        <f t="shared" si="34"/>
        <v>2430</v>
      </c>
      <c r="J1188" s="11" t="s">
        <v>1</v>
      </c>
      <c r="K1188" s="35"/>
      <c r="L1188" s="35"/>
      <c r="M1188" s="35"/>
      <c r="N1188" s="35"/>
      <c r="O1188" s="35"/>
      <c r="P1188" s="35"/>
      <c r="Q1188" s="35"/>
      <c r="R1188" s="35"/>
      <c r="S1188" s="35"/>
      <c r="T1188" s="35"/>
      <c r="U1188" s="35"/>
      <c r="V1188" s="35"/>
      <c r="W1188" s="35"/>
      <c r="X1188" s="35"/>
      <c r="Y1188" s="35"/>
      <c r="Z1188" s="35"/>
    </row>
    <row r="1189" ht="33.75" customHeight="1">
      <c r="A1189" s="11" t="s">
        <v>516</v>
      </c>
      <c r="B1189" s="22" t="s">
        <v>85</v>
      </c>
      <c r="C1189" s="11" t="s">
        <v>1837</v>
      </c>
      <c r="D1189" s="11"/>
      <c r="E1189" s="64">
        <v>46063.0</v>
      </c>
      <c r="F1189" s="14" t="s">
        <v>1133</v>
      </c>
      <c r="G1189" s="256">
        <v>15000.0</v>
      </c>
      <c r="H1189" s="152">
        <v>10678.0</v>
      </c>
      <c r="I1189" s="153">
        <f t="shared" si="34"/>
        <v>4322</v>
      </c>
      <c r="J1189" s="11" t="s">
        <v>1</v>
      </c>
      <c r="K1189" s="35"/>
      <c r="L1189" s="35"/>
      <c r="M1189" s="35"/>
      <c r="N1189" s="35"/>
      <c r="O1189" s="35"/>
      <c r="P1189" s="35"/>
      <c r="Q1189" s="35"/>
      <c r="R1189" s="35"/>
      <c r="S1189" s="35"/>
      <c r="T1189" s="35"/>
      <c r="U1189" s="35"/>
      <c r="V1189" s="35"/>
      <c r="W1189" s="35"/>
      <c r="X1189" s="35"/>
      <c r="Y1189" s="35"/>
      <c r="Z1189" s="35"/>
    </row>
    <row r="1190" ht="33.75" customHeight="1">
      <c r="A1190" s="11" t="s">
        <v>1527</v>
      </c>
      <c r="B1190" s="22" t="s">
        <v>85</v>
      </c>
      <c r="C1190" s="11" t="s">
        <v>1837</v>
      </c>
      <c r="D1190" s="11"/>
      <c r="E1190" s="64">
        <v>46063.0</v>
      </c>
      <c r="F1190" s="14" t="s">
        <v>1133</v>
      </c>
      <c r="G1190" s="256">
        <v>10000.0</v>
      </c>
      <c r="H1190" s="152">
        <v>7925.0</v>
      </c>
      <c r="I1190" s="153">
        <f t="shared" si="34"/>
        <v>2075</v>
      </c>
      <c r="J1190" s="11" t="s">
        <v>1</v>
      </c>
      <c r="K1190" s="35"/>
      <c r="L1190" s="35"/>
      <c r="M1190" s="35"/>
      <c r="N1190" s="35"/>
      <c r="O1190" s="35"/>
      <c r="P1190" s="35"/>
      <c r="Q1190" s="35"/>
      <c r="R1190" s="35"/>
      <c r="S1190" s="35"/>
      <c r="T1190" s="35"/>
      <c r="U1190" s="35"/>
      <c r="V1190" s="35"/>
      <c r="W1190" s="35"/>
      <c r="X1190" s="35"/>
      <c r="Y1190" s="35"/>
      <c r="Z1190" s="35"/>
    </row>
    <row r="1191" ht="33.75" customHeight="1">
      <c r="A1191" s="11" t="s">
        <v>1838</v>
      </c>
      <c r="B1191" s="22" t="s">
        <v>85</v>
      </c>
      <c r="C1191" s="11" t="s">
        <v>1837</v>
      </c>
      <c r="D1191" s="11"/>
      <c r="E1191" s="64">
        <v>46063.0</v>
      </c>
      <c r="F1191" s="14" t="s">
        <v>1133</v>
      </c>
      <c r="G1191" s="256">
        <v>5000.0</v>
      </c>
      <c r="H1191" s="152">
        <v>2417.0</v>
      </c>
      <c r="I1191" s="153">
        <f t="shared" si="34"/>
        <v>2583</v>
      </c>
      <c r="J1191" s="11" t="s">
        <v>1</v>
      </c>
      <c r="K1191" s="35"/>
      <c r="L1191" s="35"/>
      <c r="M1191" s="35"/>
      <c r="N1191" s="35"/>
      <c r="O1191" s="35"/>
      <c r="P1191" s="35"/>
      <c r="Q1191" s="35"/>
      <c r="R1191" s="35"/>
      <c r="S1191" s="35"/>
      <c r="T1191" s="35"/>
      <c r="U1191" s="35"/>
      <c r="V1191" s="35"/>
      <c r="W1191" s="35"/>
      <c r="X1191" s="35"/>
      <c r="Y1191" s="35"/>
      <c r="Z1191" s="35"/>
    </row>
    <row r="1192" ht="33.75" customHeight="1">
      <c r="A1192" s="11" t="s">
        <v>1839</v>
      </c>
      <c r="B1192" s="22" t="s">
        <v>85</v>
      </c>
      <c r="C1192" s="11" t="s">
        <v>1837</v>
      </c>
      <c r="D1192" s="11"/>
      <c r="E1192" s="64">
        <v>46063.0</v>
      </c>
      <c r="F1192" s="14" t="s">
        <v>1133</v>
      </c>
      <c r="G1192" s="256">
        <v>5000.0</v>
      </c>
      <c r="H1192" s="152">
        <v>2787.0</v>
      </c>
      <c r="I1192" s="153">
        <f t="shared" si="34"/>
        <v>2213</v>
      </c>
      <c r="J1192" s="11" t="s">
        <v>1</v>
      </c>
      <c r="K1192" s="35"/>
      <c r="L1192" s="35"/>
      <c r="M1192" s="35"/>
      <c r="N1192" s="35"/>
      <c r="O1192" s="35"/>
      <c r="P1192" s="35"/>
      <c r="Q1192" s="35"/>
      <c r="R1192" s="35"/>
      <c r="S1192" s="35"/>
      <c r="T1192" s="35"/>
      <c r="U1192" s="35"/>
      <c r="V1192" s="35"/>
      <c r="W1192" s="35"/>
      <c r="X1192" s="35"/>
      <c r="Y1192" s="35"/>
      <c r="Z1192" s="35"/>
    </row>
    <row r="1193" ht="33.75" customHeight="1">
      <c r="A1193" s="11" t="s">
        <v>1840</v>
      </c>
      <c r="B1193" s="11" t="s">
        <v>85</v>
      </c>
      <c r="C1193" s="11" t="s">
        <v>1841</v>
      </c>
      <c r="D1193" s="11"/>
      <c r="E1193" s="64">
        <v>46063.0</v>
      </c>
      <c r="F1193" s="11" t="s">
        <v>1141</v>
      </c>
      <c r="G1193" s="66">
        <v>5000.0</v>
      </c>
      <c r="H1193" s="152">
        <v>2948.0</v>
      </c>
      <c r="I1193" s="152">
        <f t="shared" si="34"/>
        <v>2052</v>
      </c>
      <c r="J1193" s="11" t="s">
        <v>1</v>
      </c>
      <c r="K1193" s="35"/>
      <c r="L1193" s="35"/>
      <c r="M1193" s="35"/>
      <c r="N1193" s="35"/>
      <c r="O1193" s="35"/>
      <c r="P1193" s="35"/>
      <c r="Q1193" s="35"/>
      <c r="R1193" s="35"/>
      <c r="S1193" s="35"/>
      <c r="T1193" s="35"/>
      <c r="U1193" s="35"/>
      <c r="V1193" s="35"/>
      <c r="W1193" s="35"/>
      <c r="X1193" s="35"/>
      <c r="Y1193" s="35"/>
      <c r="Z1193" s="35"/>
    </row>
    <row r="1194" ht="33.75" customHeight="1">
      <c r="A1194" s="11" t="s">
        <v>1842</v>
      </c>
      <c r="B1194" s="11" t="s">
        <v>85</v>
      </c>
      <c r="C1194" s="11" t="s">
        <v>1841</v>
      </c>
      <c r="D1194" s="11"/>
      <c r="E1194" s="64">
        <v>46063.0</v>
      </c>
      <c r="F1194" s="11" t="s">
        <v>1141</v>
      </c>
      <c r="G1194" s="11">
        <v>5000.0</v>
      </c>
      <c r="H1194" s="267">
        <v>2525.0</v>
      </c>
      <c r="I1194" s="267">
        <f t="shared" si="34"/>
        <v>2475</v>
      </c>
      <c r="J1194" s="11" t="s">
        <v>1</v>
      </c>
      <c r="K1194" s="35"/>
      <c r="L1194" s="35"/>
      <c r="M1194" s="35"/>
      <c r="N1194" s="35"/>
      <c r="O1194" s="35"/>
      <c r="P1194" s="35"/>
      <c r="Q1194" s="35"/>
      <c r="R1194" s="35"/>
      <c r="S1194" s="35"/>
      <c r="T1194" s="35"/>
      <c r="U1194" s="35"/>
      <c r="V1194" s="35"/>
      <c r="W1194" s="35"/>
      <c r="X1194" s="35"/>
      <c r="Y1194" s="35"/>
      <c r="Z1194" s="35"/>
    </row>
    <row r="1195" ht="33.75" customHeight="1">
      <c r="A1195" s="11" t="s">
        <v>1594</v>
      </c>
      <c r="B1195" s="11" t="s">
        <v>85</v>
      </c>
      <c r="C1195" s="11" t="s">
        <v>1841</v>
      </c>
      <c r="D1195" s="11"/>
      <c r="E1195" s="64">
        <v>46063.0</v>
      </c>
      <c r="F1195" s="11" t="s">
        <v>1141</v>
      </c>
      <c r="G1195" s="11">
        <v>5000.0</v>
      </c>
      <c r="H1195" s="11">
        <v>3293.0</v>
      </c>
      <c r="I1195" s="11">
        <f t="shared" si="34"/>
        <v>1707</v>
      </c>
      <c r="J1195" s="11" t="s">
        <v>1</v>
      </c>
      <c r="K1195" s="35"/>
      <c r="L1195" s="35"/>
      <c r="M1195" s="35"/>
      <c r="N1195" s="35"/>
      <c r="O1195" s="35"/>
      <c r="P1195" s="35"/>
      <c r="Q1195" s="35"/>
      <c r="R1195" s="35"/>
      <c r="S1195" s="35"/>
      <c r="T1195" s="35"/>
      <c r="U1195" s="35"/>
      <c r="V1195" s="35"/>
      <c r="W1195" s="35"/>
      <c r="X1195" s="35"/>
      <c r="Y1195" s="35"/>
      <c r="Z1195" s="35"/>
    </row>
    <row r="1196" ht="33.75" customHeight="1">
      <c r="A1196" s="11" t="s">
        <v>1843</v>
      </c>
      <c r="B1196" s="11" t="s">
        <v>85</v>
      </c>
      <c r="C1196" s="11" t="s">
        <v>1841</v>
      </c>
      <c r="D1196" s="11"/>
      <c r="E1196" s="64">
        <v>46063.0</v>
      </c>
      <c r="F1196" s="11" t="s">
        <v>1141</v>
      </c>
      <c r="G1196" s="11">
        <v>5000.0</v>
      </c>
      <c r="H1196" s="11">
        <v>3053.0</v>
      </c>
      <c r="I1196" s="11">
        <f t="shared" si="34"/>
        <v>1947</v>
      </c>
      <c r="J1196" s="11" t="s">
        <v>1</v>
      </c>
      <c r="K1196" s="35"/>
      <c r="L1196" s="35"/>
      <c r="M1196" s="35"/>
      <c r="N1196" s="35"/>
      <c r="O1196" s="35"/>
      <c r="P1196" s="35"/>
      <c r="Q1196" s="35"/>
      <c r="R1196" s="35"/>
      <c r="S1196" s="35"/>
      <c r="T1196" s="35"/>
      <c r="U1196" s="35"/>
      <c r="V1196" s="35"/>
      <c r="W1196" s="35"/>
      <c r="X1196" s="35"/>
      <c r="Y1196" s="35"/>
      <c r="Z1196" s="35"/>
    </row>
    <row r="1197" ht="33.75" customHeight="1">
      <c r="A1197" s="11" t="s">
        <v>1706</v>
      </c>
      <c r="B1197" s="11" t="s">
        <v>85</v>
      </c>
      <c r="C1197" s="11" t="s">
        <v>1841</v>
      </c>
      <c r="D1197" s="11"/>
      <c r="E1197" s="64">
        <v>46063.0</v>
      </c>
      <c r="F1197" s="11" t="s">
        <v>1141</v>
      </c>
      <c r="G1197" s="11">
        <v>7000.0</v>
      </c>
      <c r="H1197" s="11">
        <v>3933.0</v>
      </c>
      <c r="I1197" s="11">
        <f t="shared" si="34"/>
        <v>3067</v>
      </c>
      <c r="J1197" s="11" t="s">
        <v>1</v>
      </c>
      <c r="K1197" s="35"/>
      <c r="L1197" s="35"/>
      <c r="M1197" s="35"/>
      <c r="N1197" s="35"/>
      <c r="O1197" s="35"/>
      <c r="P1197" s="35"/>
      <c r="Q1197" s="35"/>
      <c r="R1197" s="35"/>
      <c r="S1197" s="35"/>
      <c r="T1197" s="35"/>
      <c r="U1197" s="35"/>
      <c r="V1197" s="35"/>
      <c r="W1197" s="35"/>
      <c r="X1197" s="35"/>
      <c r="Y1197" s="35"/>
      <c r="Z1197" s="35"/>
    </row>
    <row r="1198" ht="33.75" customHeight="1">
      <c r="A1198" s="11" t="s">
        <v>1708</v>
      </c>
      <c r="B1198" s="11" t="s">
        <v>85</v>
      </c>
      <c r="C1198" s="11" t="s">
        <v>1841</v>
      </c>
      <c r="D1198" s="11"/>
      <c r="E1198" s="64">
        <v>46063.0</v>
      </c>
      <c r="F1198" s="11" t="s">
        <v>1141</v>
      </c>
      <c r="G1198" s="11">
        <v>5000.0</v>
      </c>
      <c r="H1198" s="74">
        <v>2409.0</v>
      </c>
      <c r="I1198" s="74">
        <f t="shared" si="34"/>
        <v>2591</v>
      </c>
      <c r="J1198" s="11" t="s">
        <v>1</v>
      </c>
      <c r="K1198" s="35"/>
      <c r="L1198" s="35"/>
      <c r="M1198" s="35"/>
      <c r="N1198" s="35"/>
      <c r="O1198" s="35"/>
      <c r="P1198" s="35"/>
      <c r="Q1198" s="35"/>
      <c r="R1198" s="35"/>
      <c r="S1198" s="35"/>
      <c r="T1198" s="35"/>
      <c r="U1198" s="35"/>
      <c r="V1198" s="35"/>
      <c r="W1198" s="35"/>
      <c r="X1198" s="35"/>
      <c r="Y1198" s="35"/>
      <c r="Z1198" s="35"/>
    </row>
    <row r="1199" ht="33.75" customHeight="1">
      <c r="A1199" s="11" t="s">
        <v>111</v>
      </c>
      <c r="B1199" s="11" t="s">
        <v>85</v>
      </c>
      <c r="C1199" s="11" t="s">
        <v>1841</v>
      </c>
      <c r="D1199" s="11"/>
      <c r="E1199" s="64">
        <v>46063.0</v>
      </c>
      <c r="F1199" s="11" t="s">
        <v>1141</v>
      </c>
      <c r="G1199" s="11">
        <v>10000.0</v>
      </c>
      <c r="H1199" s="74">
        <v>7552.0</v>
      </c>
      <c r="I1199" s="74">
        <f t="shared" si="34"/>
        <v>2448</v>
      </c>
      <c r="J1199" s="11" t="s">
        <v>1</v>
      </c>
      <c r="K1199" s="35"/>
      <c r="L1199" s="35"/>
      <c r="M1199" s="35"/>
      <c r="N1199" s="35"/>
      <c r="O1199" s="35"/>
      <c r="P1199" s="35"/>
      <c r="Q1199" s="35"/>
      <c r="R1199" s="35"/>
      <c r="S1199" s="35"/>
      <c r="T1199" s="35"/>
      <c r="U1199" s="35"/>
      <c r="V1199" s="35"/>
      <c r="W1199" s="35"/>
      <c r="X1199" s="35"/>
      <c r="Y1199" s="35"/>
      <c r="Z1199" s="35"/>
    </row>
    <row r="1200" ht="33.75" customHeight="1">
      <c r="A1200" s="11" t="s">
        <v>1535</v>
      </c>
      <c r="B1200" s="22" t="s">
        <v>88</v>
      </c>
      <c r="C1200" s="11" t="s">
        <v>1844</v>
      </c>
      <c r="D1200" s="11"/>
      <c r="E1200" s="64">
        <v>46063.0</v>
      </c>
      <c r="F1200" s="14" t="s">
        <v>1191</v>
      </c>
      <c r="G1200" s="15" t="s">
        <v>1845</v>
      </c>
      <c r="H1200" s="16">
        <v>1027.0</v>
      </c>
      <c r="I1200" s="17">
        <f t="shared" si="34"/>
        <v>125</v>
      </c>
      <c r="J1200" s="135" t="s">
        <v>1</v>
      </c>
      <c r="K1200" s="35"/>
      <c r="L1200" s="35"/>
      <c r="M1200" s="35"/>
      <c r="N1200" s="35"/>
      <c r="O1200" s="35"/>
      <c r="P1200" s="35"/>
      <c r="Q1200" s="35"/>
      <c r="R1200" s="35"/>
      <c r="S1200" s="35"/>
      <c r="T1200" s="35"/>
      <c r="U1200" s="35"/>
      <c r="V1200" s="35"/>
      <c r="W1200" s="35"/>
      <c r="X1200" s="35"/>
      <c r="Y1200" s="35"/>
      <c r="Z1200" s="35"/>
    </row>
    <row r="1201" ht="33.75" customHeight="1">
      <c r="A1201" s="11" t="s">
        <v>1587</v>
      </c>
      <c r="B1201" s="22" t="s">
        <v>88</v>
      </c>
      <c r="C1201" s="11" t="s">
        <v>1846</v>
      </c>
      <c r="D1201" s="11"/>
      <c r="E1201" s="64">
        <v>46063.0</v>
      </c>
      <c r="F1201" s="14" t="s">
        <v>287</v>
      </c>
      <c r="G1201" s="178">
        <v>49000.0</v>
      </c>
      <c r="H1201" s="16">
        <v>38271.0</v>
      </c>
      <c r="I1201" s="17">
        <f t="shared" si="34"/>
        <v>10729</v>
      </c>
      <c r="J1201" s="25" t="s">
        <v>1</v>
      </c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</row>
    <row r="1202" ht="33.75" customHeight="1">
      <c r="A1202" s="11" t="s">
        <v>1587</v>
      </c>
      <c r="B1202" s="22" t="s">
        <v>31</v>
      </c>
      <c r="C1202" s="11" t="s">
        <v>1847</v>
      </c>
      <c r="D1202" s="11"/>
      <c r="E1202" s="64">
        <v>46063.0</v>
      </c>
      <c r="F1202" s="14" t="s">
        <v>287</v>
      </c>
      <c r="G1202" s="178">
        <v>49000.0</v>
      </c>
      <c r="H1202" s="16">
        <v>35511.0</v>
      </c>
      <c r="I1202" s="17">
        <f t="shared" si="34"/>
        <v>13489</v>
      </c>
      <c r="J1202" s="25" t="s">
        <v>1</v>
      </c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</row>
    <row r="1203" ht="33.75" customHeight="1">
      <c r="A1203" s="11" t="s">
        <v>1687</v>
      </c>
      <c r="B1203" s="22" t="s">
        <v>31</v>
      </c>
      <c r="C1203" s="11" t="s">
        <v>1848</v>
      </c>
      <c r="D1203" s="11"/>
      <c r="E1203" s="64">
        <v>46063.0</v>
      </c>
      <c r="F1203" s="14" t="s">
        <v>1191</v>
      </c>
      <c r="G1203" s="15" t="s">
        <v>1849</v>
      </c>
      <c r="H1203" s="16">
        <v>10701.0</v>
      </c>
      <c r="I1203" s="17">
        <f t="shared" si="34"/>
        <v>513</v>
      </c>
      <c r="J1203" s="135" t="s">
        <v>1</v>
      </c>
      <c r="K1203" s="35"/>
      <c r="L1203" s="35"/>
      <c r="M1203" s="35"/>
      <c r="N1203" s="35"/>
      <c r="O1203" s="35"/>
      <c r="P1203" s="35"/>
      <c r="Q1203" s="35"/>
      <c r="R1203" s="35"/>
      <c r="S1203" s="35"/>
      <c r="T1203" s="35"/>
      <c r="U1203" s="35"/>
      <c r="V1203" s="35"/>
      <c r="W1203" s="35"/>
      <c r="X1203" s="35"/>
      <c r="Y1203" s="35"/>
      <c r="Z1203" s="35"/>
    </row>
    <row r="1204" ht="33.75" customHeight="1">
      <c r="A1204" s="11" t="s">
        <v>28</v>
      </c>
      <c r="B1204" s="22" t="s">
        <v>37</v>
      </c>
      <c r="C1204" s="11" t="s">
        <v>1834</v>
      </c>
      <c r="D1204" s="11"/>
      <c r="E1204" s="64">
        <v>46063.0</v>
      </c>
      <c r="F1204" s="14" t="s">
        <v>17</v>
      </c>
      <c r="G1204" s="15" t="s">
        <v>336</v>
      </c>
      <c r="H1204" s="16">
        <v>10931.0</v>
      </c>
      <c r="I1204" s="17">
        <f t="shared" si="34"/>
        <v>69</v>
      </c>
      <c r="J1204" s="39" t="s">
        <v>1</v>
      </c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</row>
    <row r="1205" ht="33.75" customHeight="1">
      <c r="A1205" s="11" t="s">
        <v>1516</v>
      </c>
      <c r="B1205" s="22" t="s">
        <v>37</v>
      </c>
      <c r="C1205" s="11" t="s">
        <v>1823</v>
      </c>
      <c r="D1205" s="11"/>
      <c r="E1205" s="64">
        <v>46063.0</v>
      </c>
      <c r="F1205" s="14" t="s">
        <v>1141</v>
      </c>
      <c r="G1205" s="15" t="s">
        <v>1850</v>
      </c>
      <c r="H1205" s="16">
        <v>4779.0</v>
      </c>
      <c r="I1205" s="17">
        <f t="shared" si="34"/>
        <v>694</v>
      </c>
      <c r="J1205" s="39" t="s">
        <v>1</v>
      </c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</row>
    <row r="1206" ht="33.75" customHeight="1">
      <c r="A1206" s="11" t="s">
        <v>109</v>
      </c>
      <c r="B1206" s="22" t="s">
        <v>578</v>
      </c>
      <c r="C1206" s="11" t="s">
        <v>1836</v>
      </c>
      <c r="D1206" s="11"/>
      <c r="E1206" s="64">
        <v>46063.0</v>
      </c>
      <c r="F1206" s="14" t="s">
        <v>287</v>
      </c>
      <c r="G1206" s="15" t="s">
        <v>1851</v>
      </c>
      <c r="H1206" s="16">
        <v>5666.0</v>
      </c>
      <c r="I1206" s="17"/>
      <c r="J1206" s="25" t="s">
        <v>1</v>
      </c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</row>
    <row r="1207" ht="33.75" customHeight="1">
      <c r="A1207" s="11" t="s">
        <v>1587</v>
      </c>
      <c r="B1207" s="20" t="s">
        <v>91</v>
      </c>
      <c r="C1207" s="11" t="s">
        <v>1852</v>
      </c>
      <c r="D1207" s="11"/>
      <c r="E1207" s="64">
        <v>46063.0</v>
      </c>
      <c r="F1207" s="14" t="s">
        <v>287</v>
      </c>
      <c r="G1207" s="178">
        <v>49000.0</v>
      </c>
      <c r="H1207" s="16">
        <v>36464.0</v>
      </c>
      <c r="I1207" s="17">
        <f t="shared" ref="I1207:I1211" si="35">G1207-H1207</f>
        <v>12536</v>
      </c>
      <c r="J1207" s="25" t="s">
        <v>1</v>
      </c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</row>
    <row r="1208" ht="33.75" customHeight="1">
      <c r="A1208" s="11" t="s">
        <v>1587</v>
      </c>
      <c r="B1208" s="22" t="s">
        <v>1853</v>
      </c>
      <c r="C1208" s="11" t="s">
        <v>1854</v>
      </c>
      <c r="D1208" s="11"/>
      <c r="E1208" s="64">
        <v>46063.0</v>
      </c>
      <c r="F1208" s="14" t="s">
        <v>287</v>
      </c>
      <c r="G1208" s="178">
        <v>49000.0</v>
      </c>
      <c r="H1208" s="16">
        <v>37896.0</v>
      </c>
      <c r="I1208" s="17">
        <f t="shared" si="35"/>
        <v>11104</v>
      </c>
      <c r="J1208" s="25" t="s">
        <v>1</v>
      </c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</row>
    <row r="1209" ht="33.75" customHeight="1">
      <c r="A1209" s="11" t="s">
        <v>1587</v>
      </c>
      <c r="B1209" s="22" t="s">
        <v>34</v>
      </c>
      <c r="C1209" s="11" t="s">
        <v>1855</v>
      </c>
      <c r="D1209" s="11"/>
      <c r="E1209" s="64">
        <v>46063.0</v>
      </c>
      <c r="F1209" s="14" t="s">
        <v>287</v>
      </c>
      <c r="G1209" s="178">
        <v>49000.0</v>
      </c>
      <c r="H1209" s="16">
        <v>38761.0</v>
      </c>
      <c r="I1209" s="17">
        <f t="shared" si="35"/>
        <v>10239</v>
      </c>
      <c r="J1209" s="25" t="s">
        <v>1</v>
      </c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</row>
    <row r="1210" ht="33.75" customHeight="1">
      <c r="A1210" s="11" t="s">
        <v>167</v>
      </c>
      <c r="B1210" s="22" t="s">
        <v>34</v>
      </c>
      <c r="C1210" s="11" t="s">
        <v>1856</v>
      </c>
      <c r="D1210" s="11"/>
      <c r="E1210" s="64">
        <v>46063.0</v>
      </c>
      <c r="F1210" s="14" t="s">
        <v>1133</v>
      </c>
      <c r="G1210" s="15" t="s">
        <v>1857</v>
      </c>
      <c r="H1210" s="16">
        <v>14058.0</v>
      </c>
      <c r="I1210" s="17">
        <f t="shared" si="35"/>
        <v>978</v>
      </c>
      <c r="J1210" s="25" t="s">
        <v>1</v>
      </c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</row>
    <row r="1211" ht="33.75" customHeight="1">
      <c r="A1211" s="11" t="s">
        <v>216</v>
      </c>
      <c r="B1211" s="22" t="s">
        <v>34</v>
      </c>
      <c r="C1211" s="11" t="s">
        <v>1858</v>
      </c>
      <c r="D1211" s="11"/>
      <c r="E1211" s="64">
        <v>46063.0</v>
      </c>
      <c r="F1211" s="14" t="s">
        <v>1191</v>
      </c>
      <c r="G1211" s="27"/>
      <c r="H1211" s="16">
        <v>34340.0</v>
      </c>
      <c r="I1211" s="17">
        <f t="shared" si="35"/>
        <v>-34340</v>
      </c>
      <c r="J1211" s="25" t="s">
        <v>1274</v>
      </c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</row>
    <row r="1212" ht="33.75" customHeight="1">
      <c r="A1212" s="11" t="s">
        <v>1451</v>
      </c>
      <c r="B1212" s="22" t="s">
        <v>1011</v>
      </c>
      <c r="C1212" s="11" t="s">
        <v>1859</v>
      </c>
      <c r="D1212" s="11"/>
      <c r="E1212" s="64">
        <v>46064.0</v>
      </c>
      <c r="F1212" s="14" t="s">
        <v>1141</v>
      </c>
      <c r="G1212" s="27" t="s">
        <v>1860</v>
      </c>
      <c r="H1212" s="16">
        <v>1921.0</v>
      </c>
      <c r="I1212" s="17"/>
      <c r="J1212" s="25" t="s">
        <v>1</v>
      </c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</row>
    <row r="1213" ht="33.75" customHeight="1">
      <c r="A1213" s="11" t="s">
        <v>28</v>
      </c>
      <c r="B1213" s="22" t="s">
        <v>81</v>
      </c>
      <c r="C1213" s="11" t="s">
        <v>1861</v>
      </c>
      <c r="D1213" s="11"/>
      <c r="E1213" s="64">
        <v>46064.0</v>
      </c>
      <c r="F1213" s="14" t="s">
        <v>17</v>
      </c>
      <c r="G1213" s="15" t="s">
        <v>336</v>
      </c>
      <c r="H1213" s="16">
        <v>8424.0</v>
      </c>
      <c r="I1213" s="17">
        <f t="shared" ref="I1213:I1247" si="36">G1213-H1213</f>
        <v>2576</v>
      </c>
      <c r="J1213" s="25" t="s">
        <v>1</v>
      </c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</row>
    <row r="1214" ht="33.75" customHeight="1">
      <c r="A1214" s="11" t="s">
        <v>1842</v>
      </c>
      <c r="B1214" s="22" t="s">
        <v>85</v>
      </c>
      <c r="C1214" s="11" t="s">
        <v>1862</v>
      </c>
      <c r="D1214" s="11"/>
      <c r="E1214" s="64">
        <v>46064.0</v>
      </c>
      <c r="F1214" s="14" t="s">
        <v>1133</v>
      </c>
      <c r="G1214" s="15">
        <v>5000.0</v>
      </c>
      <c r="H1214" s="16">
        <v>2517.0</v>
      </c>
      <c r="I1214" s="17">
        <f t="shared" si="36"/>
        <v>2483</v>
      </c>
      <c r="J1214" s="25" t="s">
        <v>1</v>
      </c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</row>
    <row r="1215" ht="33.75" customHeight="1">
      <c r="A1215" s="11" t="s">
        <v>1545</v>
      </c>
      <c r="B1215" s="22" t="s">
        <v>85</v>
      </c>
      <c r="C1215" s="11" t="s">
        <v>1862</v>
      </c>
      <c r="D1215" s="11"/>
      <c r="E1215" s="64">
        <v>46064.0</v>
      </c>
      <c r="F1215" s="14" t="s">
        <v>1133</v>
      </c>
      <c r="G1215" s="15">
        <v>5000.0</v>
      </c>
      <c r="H1215" s="16">
        <v>4344.0</v>
      </c>
      <c r="I1215" s="17">
        <f t="shared" si="36"/>
        <v>656</v>
      </c>
      <c r="J1215" s="25" t="s">
        <v>1</v>
      </c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</row>
    <row r="1216" ht="33.75" customHeight="1">
      <c r="A1216" s="11" t="s">
        <v>1594</v>
      </c>
      <c r="B1216" s="22" t="s">
        <v>85</v>
      </c>
      <c r="C1216" s="11" t="s">
        <v>1862</v>
      </c>
      <c r="D1216" s="11"/>
      <c r="E1216" s="64">
        <v>46064.0</v>
      </c>
      <c r="F1216" s="14" t="s">
        <v>1133</v>
      </c>
      <c r="G1216" s="15">
        <v>5000.0</v>
      </c>
      <c r="H1216" s="16">
        <v>2841.0</v>
      </c>
      <c r="I1216" s="17">
        <f t="shared" si="36"/>
        <v>2159</v>
      </c>
      <c r="J1216" s="25" t="s">
        <v>1</v>
      </c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</row>
    <row r="1217" ht="33.75" customHeight="1">
      <c r="A1217" s="11" t="s">
        <v>1863</v>
      </c>
      <c r="B1217" s="22" t="s">
        <v>85</v>
      </c>
      <c r="C1217" s="11" t="s">
        <v>1862</v>
      </c>
      <c r="D1217" s="11"/>
      <c r="E1217" s="64">
        <v>46064.0</v>
      </c>
      <c r="F1217" s="14" t="s">
        <v>1133</v>
      </c>
      <c r="G1217" s="15">
        <v>5000.0</v>
      </c>
      <c r="H1217" s="16">
        <v>3270.0</v>
      </c>
      <c r="I1217" s="17">
        <f t="shared" si="36"/>
        <v>1730</v>
      </c>
      <c r="J1217" s="25" t="s">
        <v>1</v>
      </c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</row>
    <row r="1218" ht="33.75" customHeight="1">
      <c r="A1218" s="11" t="s">
        <v>374</v>
      </c>
      <c r="B1218" s="22" t="s">
        <v>85</v>
      </c>
      <c r="C1218" s="11" t="s">
        <v>1862</v>
      </c>
      <c r="D1218" s="11"/>
      <c r="E1218" s="64">
        <v>46064.0</v>
      </c>
      <c r="F1218" s="14" t="s">
        <v>1133</v>
      </c>
      <c r="G1218" s="15">
        <v>5000.0</v>
      </c>
      <c r="H1218" s="16">
        <v>4441.0</v>
      </c>
      <c r="I1218" s="17">
        <f t="shared" si="36"/>
        <v>559</v>
      </c>
      <c r="J1218" s="25" t="s">
        <v>1</v>
      </c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</row>
    <row r="1219" ht="33.75" customHeight="1">
      <c r="A1219" s="11" t="s">
        <v>1864</v>
      </c>
      <c r="B1219" s="22" t="s">
        <v>85</v>
      </c>
      <c r="C1219" s="11" t="s">
        <v>1862</v>
      </c>
      <c r="D1219" s="11"/>
      <c r="E1219" s="64">
        <v>46064.0</v>
      </c>
      <c r="F1219" s="14" t="s">
        <v>1133</v>
      </c>
      <c r="G1219" s="15">
        <v>10000.0</v>
      </c>
      <c r="H1219" s="16">
        <v>6948.0</v>
      </c>
      <c r="I1219" s="17">
        <f t="shared" si="36"/>
        <v>3052</v>
      </c>
      <c r="J1219" s="25" t="s">
        <v>1</v>
      </c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</row>
    <row r="1220" ht="33.75" customHeight="1">
      <c r="A1220" s="11" t="s">
        <v>1865</v>
      </c>
      <c r="B1220" s="22" t="s">
        <v>44</v>
      </c>
      <c r="C1220" s="11" t="s">
        <v>1866</v>
      </c>
      <c r="D1220" s="11"/>
      <c r="E1220" s="64">
        <v>46064.0</v>
      </c>
      <c r="F1220" s="14" t="s">
        <v>287</v>
      </c>
      <c r="G1220" s="15" t="s">
        <v>1867</v>
      </c>
      <c r="H1220" s="16">
        <v>53624.0</v>
      </c>
      <c r="I1220" s="17">
        <f t="shared" si="36"/>
        <v>23796</v>
      </c>
      <c r="J1220" s="220" t="s">
        <v>1</v>
      </c>
      <c r="K1220" s="221"/>
      <c r="L1220" s="221"/>
      <c r="M1220" s="221"/>
      <c r="N1220" s="221"/>
      <c r="O1220" s="221"/>
      <c r="P1220" s="221"/>
      <c r="Q1220" s="221"/>
      <c r="R1220" s="221"/>
      <c r="S1220" s="221"/>
      <c r="T1220" s="221"/>
      <c r="U1220" s="221"/>
      <c r="V1220" s="221"/>
      <c r="W1220" s="221"/>
      <c r="X1220" s="221"/>
      <c r="Y1220" s="221"/>
      <c r="Z1220" s="221"/>
    </row>
    <row r="1221" ht="33.75" customHeight="1">
      <c r="A1221" s="11" t="s">
        <v>1587</v>
      </c>
      <c r="B1221" s="22" t="s">
        <v>1868</v>
      </c>
      <c r="C1221" s="11" t="s">
        <v>1869</v>
      </c>
      <c r="D1221" s="11"/>
      <c r="E1221" s="64">
        <v>46064.0</v>
      </c>
      <c r="F1221" s="14" t="s">
        <v>287</v>
      </c>
      <c r="G1221" s="178">
        <v>55677.0</v>
      </c>
      <c r="H1221" s="16">
        <v>36886.0</v>
      </c>
      <c r="I1221" s="17">
        <f t="shared" si="36"/>
        <v>18791</v>
      </c>
      <c r="J1221" s="25" t="s">
        <v>1</v>
      </c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</row>
    <row r="1222" ht="33.75" customHeight="1">
      <c r="A1222" s="11" t="s">
        <v>216</v>
      </c>
      <c r="B1222" s="22" t="s">
        <v>31</v>
      </c>
      <c r="C1222" s="11" t="s">
        <v>1870</v>
      </c>
      <c r="D1222" s="11"/>
      <c r="E1222" s="64">
        <v>46064.0</v>
      </c>
      <c r="F1222" s="14" t="s">
        <v>17</v>
      </c>
      <c r="G1222" s="15" t="s">
        <v>1871</v>
      </c>
      <c r="H1222" s="16">
        <v>40019.0</v>
      </c>
      <c r="I1222" s="17">
        <f t="shared" si="36"/>
        <v>5843</v>
      </c>
      <c r="J1222" s="25" t="s">
        <v>1</v>
      </c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</row>
    <row r="1223" ht="33.75" customHeight="1">
      <c r="A1223" s="11" t="s">
        <v>1587</v>
      </c>
      <c r="B1223" s="22" t="s">
        <v>31</v>
      </c>
      <c r="C1223" s="11" t="s">
        <v>1872</v>
      </c>
      <c r="D1223" s="11"/>
      <c r="E1223" s="64">
        <v>46064.0</v>
      </c>
      <c r="F1223" s="14" t="s">
        <v>287</v>
      </c>
      <c r="G1223" s="178">
        <v>55680.0</v>
      </c>
      <c r="H1223" s="16">
        <v>37022.0</v>
      </c>
      <c r="I1223" s="17">
        <f t="shared" si="36"/>
        <v>18658</v>
      </c>
      <c r="J1223" s="25" t="s">
        <v>1</v>
      </c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</row>
    <row r="1224" ht="33.75" customHeight="1">
      <c r="A1224" s="11" t="s">
        <v>1687</v>
      </c>
      <c r="B1224" s="22" t="s">
        <v>37</v>
      </c>
      <c r="C1224" s="11" t="s">
        <v>1873</v>
      </c>
      <c r="D1224" s="11"/>
      <c r="E1224" s="64">
        <v>46064.0</v>
      </c>
      <c r="F1224" s="14" t="s">
        <v>1133</v>
      </c>
      <c r="G1224" s="15" t="s">
        <v>336</v>
      </c>
      <c r="H1224" s="16">
        <v>10503.0</v>
      </c>
      <c r="I1224" s="17">
        <f t="shared" si="36"/>
        <v>497</v>
      </c>
      <c r="J1224" s="25" t="s">
        <v>1</v>
      </c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</row>
    <row r="1225" ht="33.75" customHeight="1">
      <c r="A1225" s="11" t="s">
        <v>28</v>
      </c>
      <c r="B1225" s="22" t="s">
        <v>37</v>
      </c>
      <c r="C1225" s="11" t="s">
        <v>1861</v>
      </c>
      <c r="D1225" s="11"/>
      <c r="E1225" s="64">
        <v>46064.0</v>
      </c>
      <c r="F1225" s="14" t="s">
        <v>17</v>
      </c>
      <c r="G1225" s="15" t="s">
        <v>336</v>
      </c>
      <c r="H1225" s="16">
        <v>9214.0</v>
      </c>
      <c r="I1225" s="17">
        <f t="shared" si="36"/>
        <v>1786</v>
      </c>
      <c r="J1225" s="25" t="s">
        <v>1</v>
      </c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</row>
    <row r="1226" ht="33.75" customHeight="1">
      <c r="A1226" s="11" t="s">
        <v>1587</v>
      </c>
      <c r="B1226" s="22" t="s">
        <v>91</v>
      </c>
      <c r="C1226" s="11" t="s">
        <v>1874</v>
      </c>
      <c r="D1226" s="11"/>
      <c r="E1226" s="64">
        <v>46064.0</v>
      </c>
      <c r="F1226" s="14" t="s">
        <v>287</v>
      </c>
      <c r="G1226" s="178">
        <v>55679.0</v>
      </c>
      <c r="H1226" s="16">
        <v>44788.0</v>
      </c>
      <c r="I1226" s="17">
        <f t="shared" si="36"/>
        <v>10891</v>
      </c>
      <c r="J1226" s="25" t="s">
        <v>1</v>
      </c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</row>
    <row r="1227" ht="33.75" customHeight="1">
      <c r="A1227" s="11" t="s">
        <v>774</v>
      </c>
      <c r="B1227" s="22" t="s">
        <v>1767</v>
      </c>
      <c r="C1227" s="11" t="s">
        <v>1875</v>
      </c>
      <c r="D1227" s="11"/>
      <c r="E1227" s="64">
        <v>46064.0</v>
      </c>
      <c r="F1227" s="14" t="s">
        <v>1141</v>
      </c>
      <c r="G1227" s="15">
        <v>50000.0</v>
      </c>
      <c r="H1227" s="28">
        <v>35220.0</v>
      </c>
      <c r="I1227" s="17">
        <f t="shared" si="36"/>
        <v>14780</v>
      </c>
      <c r="J1227" s="25" t="s">
        <v>1</v>
      </c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</row>
    <row r="1228" ht="33.75" customHeight="1">
      <c r="A1228" s="11" t="s">
        <v>774</v>
      </c>
      <c r="B1228" s="22" t="s">
        <v>1767</v>
      </c>
      <c r="C1228" s="11" t="s">
        <v>1876</v>
      </c>
      <c r="D1228" s="11"/>
      <c r="E1228" s="64">
        <v>46064.0</v>
      </c>
      <c r="F1228" s="14" t="s">
        <v>1141</v>
      </c>
      <c r="G1228" s="15">
        <v>50000.0</v>
      </c>
      <c r="H1228" s="28">
        <v>35220.0</v>
      </c>
      <c r="I1228" s="17">
        <f t="shared" si="36"/>
        <v>14780</v>
      </c>
      <c r="J1228" s="25" t="s">
        <v>1</v>
      </c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</row>
    <row r="1229" ht="33.75" customHeight="1">
      <c r="A1229" s="11" t="s">
        <v>774</v>
      </c>
      <c r="B1229" s="22" t="s">
        <v>1767</v>
      </c>
      <c r="C1229" s="11" t="s">
        <v>1877</v>
      </c>
      <c r="D1229" s="11"/>
      <c r="E1229" s="64">
        <v>46064.0</v>
      </c>
      <c r="F1229" s="14" t="s">
        <v>1141</v>
      </c>
      <c r="G1229" s="15">
        <v>50000.0</v>
      </c>
      <c r="H1229" s="28">
        <v>35220.0</v>
      </c>
      <c r="I1229" s="17">
        <f t="shared" si="36"/>
        <v>14780</v>
      </c>
      <c r="J1229" s="25" t="s">
        <v>1</v>
      </c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</row>
    <row r="1230" ht="33.75" customHeight="1">
      <c r="A1230" s="11" t="s">
        <v>432</v>
      </c>
      <c r="B1230" s="22" t="s">
        <v>1878</v>
      </c>
      <c r="C1230" s="11" t="s">
        <v>1879</v>
      </c>
      <c r="D1230" s="11"/>
      <c r="E1230" s="64">
        <v>46064.0</v>
      </c>
      <c r="F1230" s="14" t="s">
        <v>17</v>
      </c>
      <c r="G1230" s="15" t="s">
        <v>21</v>
      </c>
      <c r="H1230" s="16">
        <v>10323.0</v>
      </c>
      <c r="I1230" s="17">
        <f t="shared" si="36"/>
        <v>-323</v>
      </c>
      <c r="J1230" s="25" t="s">
        <v>1</v>
      </c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</row>
    <row r="1231" ht="33.75" customHeight="1">
      <c r="A1231" s="11" t="s">
        <v>959</v>
      </c>
      <c r="B1231" s="22" t="s">
        <v>125</v>
      </c>
      <c r="C1231" s="11" t="s">
        <v>1880</v>
      </c>
      <c r="D1231" s="11"/>
      <c r="E1231" s="64">
        <v>46064.0</v>
      </c>
      <c r="F1231" s="14" t="s">
        <v>1133</v>
      </c>
      <c r="G1231" s="15" t="s">
        <v>513</v>
      </c>
      <c r="H1231" s="16">
        <v>24994.0</v>
      </c>
      <c r="I1231" s="17">
        <f t="shared" si="36"/>
        <v>5006</v>
      </c>
      <c r="J1231" s="25" t="s">
        <v>1</v>
      </c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</row>
    <row r="1232" ht="33.75" customHeight="1">
      <c r="A1232" s="11" t="s">
        <v>884</v>
      </c>
      <c r="B1232" s="22" t="s">
        <v>530</v>
      </c>
      <c r="C1232" s="11" t="s">
        <v>1881</v>
      </c>
      <c r="D1232" s="11"/>
      <c r="E1232" s="64">
        <v>46064.0</v>
      </c>
      <c r="F1232" s="14" t="s">
        <v>1141</v>
      </c>
      <c r="G1232" s="15" t="s">
        <v>1882</v>
      </c>
      <c r="H1232" s="16">
        <v>39931.0</v>
      </c>
      <c r="I1232" s="17">
        <f t="shared" si="36"/>
        <v>5503</v>
      </c>
      <c r="J1232" s="25" t="s">
        <v>1</v>
      </c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</row>
    <row r="1233" ht="33.75" customHeight="1">
      <c r="A1233" s="11" t="s">
        <v>1883</v>
      </c>
      <c r="B1233" s="22" t="s">
        <v>530</v>
      </c>
      <c r="C1233" s="11" t="s">
        <v>1884</v>
      </c>
      <c r="D1233" s="11"/>
      <c r="E1233" s="64">
        <v>46064.0</v>
      </c>
      <c r="F1233" s="14" t="s">
        <v>17</v>
      </c>
      <c r="G1233" s="15" t="s">
        <v>1885</v>
      </c>
      <c r="H1233" s="16">
        <v>11942.0</v>
      </c>
      <c r="I1233" s="17">
        <f t="shared" si="36"/>
        <v>951</v>
      </c>
      <c r="J1233" s="25" t="s">
        <v>1</v>
      </c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</row>
    <row r="1234" ht="33.75" customHeight="1">
      <c r="A1234" s="11" t="s">
        <v>1587</v>
      </c>
      <c r="B1234" s="22" t="s">
        <v>237</v>
      </c>
      <c r="C1234" s="11" t="s">
        <v>1886</v>
      </c>
      <c r="D1234" s="11"/>
      <c r="E1234" s="64">
        <v>46064.0</v>
      </c>
      <c r="F1234" s="14" t="s">
        <v>287</v>
      </c>
      <c r="G1234" s="178">
        <v>55679.0</v>
      </c>
      <c r="H1234" s="16">
        <v>37836.0</v>
      </c>
      <c r="I1234" s="17">
        <f t="shared" si="36"/>
        <v>17843</v>
      </c>
      <c r="J1234" s="25" t="s">
        <v>1</v>
      </c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</row>
    <row r="1235" ht="33.75" customHeight="1">
      <c r="A1235" s="11" t="s">
        <v>1587</v>
      </c>
      <c r="B1235" s="22" t="s">
        <v>34</v>
      </c>
      <c r="C1235" s="11" t="s">
        <v>1887</v>
      </c>
      <c r="D1235" s="11"/>
      <c r="E1235" s="64">
        <v>46064.0</v>
      </c>
      <c r="F1235" s="14" t="s">
        <v>287</v>
      </c>
      <c r="G1235" s="178">
        <v>55679.0</v>
      </c>
      <c r="H1235" s="16">
        <v>44413.0</v>
      </c>
      <c r="I1235" s="17">
        <f t="shared" si="36"/>
        <v>11266</v>
      </c>
      <c r="J1235" s="25" t="s">
        <v>1</v>
      </c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</row>
    <row r="1236" ht="33.75" customHeight="1">
      <c r="A1236" s="161" t="s">
        <v>1888</v>
      </c>
      <c r="B1236" s="162"/>
      <c r="C1236" s="161" t="s">
        <v>1889</v>
      </c>
      <c r="D1236" s="161"/>
      <c r="E1236" s="163">
        <v>46064.0</v>
      </c>
      <c r="F1236" s="164" t="s">
        <v>1133</v>
      </c>
      <c r="G1236" s="268" t="s">
        <v>573</v>
      </c>
      <c r="H1236" s="166"/>
      <c r="I1236" s="167">
        <f t="shared" si="36"/>
        <v>10000</v>
      </c>
      <c r="J1236" s="269" t="s">
        <v>1890</v>
      </c>
      <c r="K1236" s="270"/>
      <c r="L1236" s="270"/>
      <c r="M1236" s="270"/>
      <c r="N1236" s="270"/>
      <c r="O1236" s="270"/>
      <c r="P1236" s="270"/>
      <c r="Q1236" s="270"/>
      <c r="R1236" s="270"/>
      <c r="S1236" s="270"/>
      <c r="T1236" s="270"/>
      <c r="U1236" s="270"/>
      <c r="V1236" s="270"/>
      <c r="W1236" s="270"/>
      <c r="X1236" s="270"/>
      <c r="Y1236" s="270"/>
      <c r="Z1236" s="270"/>
    </row>
    <row r="1237" ht="33.75" customHeight="1">
      <c r="A1237" s="11" t="s">
        <v>167</v>
      </c>
      <c r="B1237" s="22" t="s">
        <v>34</v>
      </c>
      <c r="C1237" s="11" t="s">
        <v>1891</v>
      </c>
      <c r="D1237" s="11"/>
      <c r="E1237" s="64">
        <v>46064.0</v>
      </c>
      <c r="F1237" s="14" t="s">
        <v>1141</v>
      </c>
      <c r="G1237" s="15" t="s">
        <v>1892</v>
      </c>
      <c r="H1237" s="16">
        <v>8412.0</v>
      </c>
      <c r="I1237" s="17">
        <f t="shared" si="36"/>
        <v>643</v>
      </c>
      <c r="J1237" s="91" t="s">
        <v>1139</v>
      </c>
      <c r="K1237" s="92"/>
      <c r="L1237" s="92"/>
      <c r="M1237" s="92"/>
      <c r="N1237" s="92"/>
      <c r="O1237" s="92"/>
      <c r="P1237" s="92"/>
      <c r="Q1237" s="92"/>
      <c r="R1237" s="92"/>
      <c r="S1237" s="92"/>
      <c r="T1237" s="92"/>
      <c r="U1237" s="92"/>
      <c r="V1237" s="92"/>
      <c r="W1237" s="92"/>
      <c r="X1237" s="92"/>
      <c r="Y1237" s="92"/>
      <c r="Z1237" s="92"/>
    </row>
    <row r="1238" ht="33.75" customHeight="1">
      <c r="A1238" s="11" t="s">
        <v>1535</v>
      </c>
      <c r="B1238" s="22" t="s">
        <v>49</v>
      </c>
      <c r="C1238" s="11" t="s">
        <v>1893</v>
      </c>
      <c r="D1238" s="11"/>
      <c r="E1238" s="64">
        <v>46065.0</v>
      </c>
      <c r="F1238" s="14" t="s">
        <v>17</v>
      </c>
      <c r="G1238" s="15" t="s">
        <v>1894</v>
      </c>
      <c r="H1238" s="16">
        <v>823.0</v>
      </c>
      <c r="I1238" s="17">
        <f t="shared" si="36"/>
        <v>296</v>
      </c>
      <c r="J1238" s="25" t="s">
        <v>1</v>
      </c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</row>
    <row r="1239" ht="33.75" customHeight="1">
      <c r="A1239" s="11" t="s">
        <v>28</v>
      </c>
      <c r="B1239" s="22" t="s">
        <v>1895</v>
      </c>
      <c r="C1239" s="11" t="s">
        <v>1896</v>
      </c>
      <c r="D1239" s="11"/>
      <c r="E1239" s="64">
        <v>46065.0</v>
      </c>
      <c r="F1239" s="14" t="s">
        <v>17</v>
      </c>
      <c r="G1239" s="15" t="s">
        <v>336</v>
      </c>
      <c r="H1239" s="16">
        <v>9342.0</v>
      </c>
      <c r="I1239" s="17">
        <f t="shared" si="36"/>
        <v>1658</v>
      </c>
      <c r="J1239" s="25" t="s">
        <v>1</v>
      </c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</row>
    <row r="1240" ht="33.75" customHeight="1">
      <c r="A1240" s="11" t="s">
        <v>1897</v>
      </c>
      <c r="B1240" s="22" t="s">
        <v>1898</v>
      </c>
      <c r="C1240" s="11" t="s">
        <v>1899</v>
      </c>
      <c r="D1240" s="11"/>
      <c r="E1240" s="64">
        <v>46065.0</v>
      </c>
      <c r="F1240" s="14" t="s">
        <v>17</v>
      </c>
      <c r="G1240" s="15" t="s">
        <v>1900</v>
      </c>
      <c r="H1240" s="16">
        <v>1122.0</v>
      </c>
      <c r="I1240" s="17">
        <f t="shared" si="36"/>
        <v>158</v>
      </c>
      <c r="J1240" s="25" t="s">
        <v>1</v>
      </c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</row>
    <row r="1241" ht="33.75" customHeight="1">
      <c r="A1241" s="11" t="s">
        <v>1901</v>
      </c>
      <c r="B1241" s="22" t="s">
        <v>1902</v>
      </c>
      <c r="C1241" s="11" t="s">
        <v>1903</v>
      </c>
      <c r="D1241" s="11"/>
      <c r="E1241" s="64">
        <v>46065.0</v>
      </c>
      <c r="F1241" s="14" t="s">
        <v>17</v>
      </c>
      <c r="G1241" s="178">
        <v>5000.0</v>
      </c>
      <c r="H1241" s="16">
        <v>3423.0</v>
      </c>
      <c r="I1241" s="17">
        <f t="shared" si="36"/>
        <v>1577</v>
      </c>
      <c r="J1241" s="25" t="s">
        <v>1</v>
      </c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</row>
    <row r="1242" ht="33.75" customHeight="1">
      <c r="A1242" s="11" t="s">
        <v>1594</v>
      </c>
      <c r="B1242" s="22" t="s">
        <v>1902</v>
      </c>
      <c r="C1242" s="11" t="s">
        <v>1903</v>
      </c>
      <c r="D1242" s="11"/>
      <c r="E1242" s="64">
        <v>46065.0</v>
      </c>
      <c r="F1242" s="14" t="s">
        <v>17</v>
      </c>
      <c r="G1242" s="178">
        <v>5000.0</v>
      </c>
      <c r="H1242" s="16">
        <v>4552.0</v>
      </c>
      <c r="I1242" s="17">
        <f t="shared" si="36"/>
        <v>448</v>
      </c>
      <c r="J1242" s="25" t="s">
        <v>1</v>
      </c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</row>
    <row r="1243" ht="33.75" customHeight="1">
      <c r="A1243" s="11" t="s">
        <v>1904</v>
      </c>
      <c r="B1243" s="22" t="s">
        <v>1902</v>
      </c>
      <c r="C1243" s="11" t="s">
        <v>1903</v>
      </c>
      <c r="D1243" s="11"/>
      <c r="E1243" s="64">
        <v>46065.0</v>
      </c>
      <c r="F1243" s="14" t="s">
        <v>17</v>
      </c>
      <c r="G1243" s="178">
        <v>10000.0</v>
      </c>
      <c r="H1243" s="16">
        <v>9375.0</v>
      </c>
      <c r="I1243" s="17">
        <f t="shared" si="36"/>
        <v>625</v>
      </c>
      <c r="J1243" s="25" t="s">
        <v>1</v>
      </c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</row>
    <row r="1244" ht="33.75" customHeight="1">
      <c r="A1244" s="11" t="s">
        <v>1905</v>
      </c>
      <c r="B1244" s="22" t="s">
        <v>1902</v>
      </c>
      <c r="C1244" s="11" t="s">
        <v>1903</v>
      </c>
      <c r="D1244" s="11"/>
      <c r="E1244" s="64">
        <v>46065.0</v>
      </c>
      <c r="F1244" s="14" t="s">
        <v>17</v>
      </c>
      <c r="G1244" s="178">
        <v>10000.0</v>
      </c>
      <c r="H1244" s="16">
        <v>7432.0</v>
      </c>
      <c r="I1244" s="17">
        <f t="shared" si="36"/>
        <v>2568</v>
      </c>
      <c r="J1244" s="25" t="s">
        <v>1</v>
      </c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</row>
    <row r="1245" ht="33.75" customHeight="1">
      <c r="A1245" s="11" t="s">
        <v>1906</v>
      </c>
      <c r="B1245" s="22" t="s">
        <v>1902</v>
      </c>
      <c r="C1245" s="11" t="s">
        <v>1903</v>
      </c>
      <c r="D1245" s="11"/>
      <c r="E1245" s="64">
        <v>46065.0</v>
      </c>
      <c r="F1245" s="14" t="s">
        <v>17</v>
      </c>
      <c r="G1245" s="178">
        <v>5000.0</v>
      </c>
      <c r="H1245" s="16">
        <v>4592.0</v>
      </c>
      <c r="I1245" s="17">
        <f t="shared" si="36"/>
        <v>408</v>
      </c>
      <c r="J1245" s="25" t="s">
        <v>1</v>
      </c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</row>
    <row r="1246" ht="33.75" customHeight="1">
      <c r="A1246" s="11" t="s">
        <v>1907</v>
      </c>
      <c r="B1246" s="22" t="s">
        <v>1902</v>
      </c>
      <c r="C1246" s="11" t="s">
        <v>1903</v>
      </c>
      <c r="D1246" s="11"/>
      <c r="E1246" s="64">
        <v>46065.0</v>
      </c>
      <c r="F1246" s="14" t="s">
        <v>17</v>
      </c>
      <c r="G1246" s="178">
        <v>10000.0</v>
      </c>
      <c r="H1246" s="16">
        <v>9212.0</v>
      </c>
      <c r="I1246" s="17">
        <f t="shared" si="36"/>
        <v>788</v>
      </c>
      <c r="J1246" s="25" t="s">
        <v>1</v>
      </c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</row>
    <row r="1247" ht="33.75" customHeight="1">
      <c r="A1247" s="11" t="s">
        <v>475</v>
      </c>
      <c r="B1247" s="22" t="s">
        <v>1902</v>
      </c>
      <c r="C1247" s="11" t="s">
        <v>1903</v>
      </c>
      <c r="D1247" s="11"/>
      <c r="E1247" s="64">
        <v>46065.0</v>
      </c>
      <c r="F1247" s="14" t="s">
        <v>17</v>
      </c>
      <c r="G1247" s="178">
        <v>10000.0</v>
      </c>
      <c r="H1247" s="16">
        <v>6231.0</v>
      </c>
      <c r="I1247" s="17">
        <f t="shared" si="36"/>
        <v>3769</v>
      </c>
      <c r="J1247" s="25" t="s">
        <v>1</v>
      </c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</row>
    <row r="1248" ht="33.75" customHeight="1">
      <c r="A1248" s="11" t="s">
        <v>1908</v>
      </c>
      <c r="B1248" s="22" t="s">
        <v>1909</v>
      </c>
      <c r="C1248" s="11" t="s">
        <v>1910</v>
      </c>
      <c r="D1248" s="11"/>
      <c r="E1248" s="64">
        <v>46065.0</v>
      </c>
      <c r="F1248" s="14" t="s">
        <v>17</v>
      </c>
      <c r="G1248" s="178">
        <v>15003.0</v>
      </c>
      <c r="H1248" s="16">
        <v>9119.0</v>
      </c>
      <c r="I1248" s="17"/>
      <c r="J1248" s="25" t="s">
        <v>1</v>
      </c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</row>
    <row r="1249" ht="33.75" customHeight="1">
      <c r="A1249" s="11" t="s">
        <v>210</v>
      </c>
      <c r="B1249" s="22" t="s">
        <v>1911</v>
      </c>
      <c r="C1249" s="11" t="s">
        <v>1912</v>
      </c>
      <c r="D1249" s="11"/>
      <c r="E1249" s="64">
        <v>46065.0</v>
      </c>
      <c r="F1249" s="14" t="s">
        <v>17</v>
      </c>
      <c r="G1249" s="178">
        <v>10329.0</v>
      </c>
      <c r="H1249" s="16">
        <v>8321.0</v>
      </c>
      <c r="I1249" s="17">
        <f t="shared" ref="I1249:I1269" si="37">G1249-H1249</f>
        <v>2008</v>
      </c>
      <c r="J1249" s="25" t="s">
        <v>1</v>
      </c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</row>
    <row r="1250" ht="33.75" customHeight="1">
      <c r="A1250" s="11" t="s">
        <v>1587</v>
      </c>
      <c r="B1250" s="22" t="s">
        <v>293</v>
      </c>
      <c r="C1250" s="11" t="s">
        <v>1913</v>
      </c>
      <c r="D1250" s="11"/>
      <c r="E1250" s="64">
        <v>46065.0</v>
      </c>
      <c r="F1250" s="14" t="s">
        <v>287</v>
      </c>
      <c r="G1250" s="178">
        <v>41552.0</v>
      </c>
      <c r="H1250" s="16">
        <v>32705.0</v>
      </c>
      <c r="I1250" s="17">
        <f t="shared" si="37"/>
        <v>8847</v>
      </c>
      <c r="J1250" s="25" t="s">
        <v>1</v>
      </c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</row>
    <row r="1251" ht="33.75" customHeight="1">
      <c r="A1251" s="11" t="s">
        <v>1587</v>
      </c>
      <c r="B1251" s="22" t="s">
        <v>584</v>
      </c>
      <c r="C1251" s="11" t="s">
        <v>1914</v>
      </c>
      <c r="D1251" s="11"/>
      <c r="E1251" s="64">
        <v>46065.0</v>
      </c>
      <c r="F1251" s="14" t="s">
        <v>287</v>
      </c>
      <c r="G1251" s="178">
        <v>54331.0</v>
      </c>
      <c r="H1251" s="16">
        <v>27662.0</v>
      </c>
      <c r="I1251" s="17">
        <f t="shared" si="37"/>
        <v>26669</v>
      </c>
      <c r="J1251" s="25" t="s">
        <v>1</v>
      </c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</row>
    <row r="1252" ht="33.75" customHeight="1">
      <c r="A1252" s="11" t="s">
        <v>28</v>
      </c>
      <c r="B1252" s="22" t="s">
        <v>37</v>
      </c>
      <c r="C1252" s="11" t="s">
        <v>1896</v>
      </c>
      <c r="D1252" s="11"/>
      <c r="E1252" s="64">
        <v>46065.0</v>
      </c>
      <c r="F1252" s="14" t="s">
        <v>17</v>
      </c>
      <c r="G1252" s="178">
        <v>11000.0</v>
      </c>
      <c r="H1252" s="16">
        <v>9212.0</v>
      </c>
      <c r="I1252" s="17">
        <f t="shared" si="37"/>
        <v>1788</v>
      </c>
      <c r="J1252" s="25" t="s">
        <v>1</v>
      </c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</row>
    <row r="1253" ht="33.75" customHeight="1">
      <c r="A1253" s="11" t="s">
        <v>1587</v>
      </c>
      <c r="B1253" s="22" t="s">
        <v>125</v>
      </c>
      <c r="C1253" s="11" t="s">
        <v>1915</v>
      </c>
      <c r="D1253" s="11"/>
      <c r="E1253" s="64">
        <v>46065.0</v>
      </c>
      <c r="F1253" s="14" t="s">
        <v>287</v>
      </c>
      <c r="G1253" s="178">
        <v>54334.0</v>
      </c>
      <c r="H1253" s="16">
        <v>34897.0</v>
      </c>
      <c r="I1253" s="17">
        <f t="shared" si="37"/>
        <v>19437</v>
      </c>
      <c r="J1253" s="25" t="s">
        <v>1</v>
      </c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</row>
    <row r="1254" ht="33.75" customHeight="1">
      <c r="A1254" s="11" t="s">
        <v>489</v>
      </c>
      <c r="B1254" s="22" t="s">
        <v>1916</v>
      </c>
      <c r="C1254" s="11" t="s">
        <v>1917</v>
      </c>
      <c r="D1254" s="11"/>
      <c r="E1254" s="64">
        <v>46065.0</v>
      </c>
      <c r="F1254" s="14" t="s">
        <v>17</v>
      </c>
      <c r="G1254" s="178">
        <v>10000.0</v>
      </c>
      <c r="H1254" s="16">
        <v>8643.0</v>
      </c>
      <c r="I1254" s="17">
        <f t="shared" si="37"/>
        <v>1357</v>
      </c>
      <c r="J1254" s="25" t="s">
        <v>1</v>
      </c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</row>
    <row r="1255" ht="33.75" customHeight="1">
      <c r="A1255" s="11" t="s">
        <v>1587</v>
      </c>
      <c r="B1255" s="22" t="s">
        <v>62</v>
      </c>
      <c r="C1255" s="11" t="s">
        <v>1918</v>
      </c>
      <c r="D1255" s="11"/>
      <c r="E1255" s="64">
        <v>46065.0</v>
      </c>
      <c r="F1255" s="14" t="s">
        <v>287</v>
      </c>
      <c r="G1255" s="178">
        <v>12777.0</v>
      </c>
      <c r="H1255" s="16">
        <v>10566.0</v>
      </c>
      <c r="I1255" s="17">
        <f t="shared" si="37"/>
        <v>2211</v>
      </c>
      <c r="J1255" s="25" t="s">
        <v>1</v>
      </c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</row>
    <row r="1256" ht="33.75" customHeight="1">
      <c r="A1256" s="11" t="s">
        <v>1587</v>
      </c>
      <c r="B1256" s="22" t="s">
        <v>237</v>
      </c>
      <c r="C1256" s="11" t="s">
        <v>1919</v>
      </c>
      <c r="D1256" s="11"/>
      <c r="E1256" s="64">
        <v>46065.0</v>
      </c>
      <c r="F1256" s="14" t="s">
        <v>287</v>
      </c>
      <c r="G1256" s="178">
        <v>54400.0</v>
      </c>
      <c r="H1256" s="16">
        <v>33488.0</v>
      </c>
      <c r="I1256" s="17">
        <f t="shared" si="37"/>
        <v>20912</v>
      </c>
      <c r="J1256" s="25" t="s">
        <v>1</v>
      </c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</row>
    <row r="1257" ht="33.75" customHeight="1">
      <c r="A1257" s="11" t="s">
        <v>489</v>
      </c>
      <c r="B1257" s="22" t="s">
        <v>323</v>
      </c>
      <c r="C1257" s="11" t="s">
        <v>1917</v>
      </c>
      <c r="D1257" s="11"/>
      <c r="E1257" s="64">
        <v>46065.0</v>
      </c>
      <c r="F1257" s="14" t="s">
        <v>1141</v>
      </c>
      <c r="G1257" s="178">
        <v>10000.0</v>
      </c>
      <c r="H1257" s="16">
        <v>9665.0</v>
      </c>
      <c r="I1257" s="17">
        <f t="shared" si="37"/>
        <v>335</v>
      </c>
      <c r="J1257" s="17" t="s">
        <v>1</v>
      </c>
      <c r="K1257" s="252"/>
      <c r="L1257" s="252"/>
      <c r="M1257" s="252"/>
      <c r="N1257" s="252"/>
      <c r="O1257" s="252"/>
      <c r="P1257" s="252"/>
      <c r="Q1257" s="252"/>
      <c r="R1257" s="252"/>
      <c r="S1257" s="252"/>
      <c r="T1257" s="252"/>
      <c r="U1257" s="252"/>
      <c r="V1257" s="252"/>
      <c r="W1257" s="252"/>
      <c r="X1257" s="252"/>
      <c r="Y1257" s="252"/>
      <c r="Z1257" s="252"/>
    </row>
    <row r="1258" ht="33.75" customHeight="1">
      <c r="A1258" s="11" t="s">
        <v>1587</v>
      </c>
      <c r="B1258" s="22" t="s">
        <v>34</v>
      </c>
      <c r="C1258" s="11" t="s">
        <v>1920</v>
      </c>
      <c r="D1258" s="11"/>
      <c r="E1258" s="64">
        <v>46065.0</v>
      </c>
      <c r="F1258" s="14" t="s">
        <v>287</v>
      </c>
      <c r="G1258" s="178">
        <v>54400.0</v>
      </c>
      <c r="H1258" s="16">
        <v>41603.0</v>
      </c>
      <c r="I1258" s="17">
        <f t="shared" si="37"/>
        <v>12797</v>
      </c>
      <c r="J1258" s="25" t="s">
        <v>1</v>
      </c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</row>
    <row r="1259" ht="33.75" customHeight="1">
      <c r="A1259" s="11" t="s">
        <v>1687</v>
      </c>
      <c r="B1259" s="22" t="s">
        <v>34</v>
      </c>
      <c r="C1259" s="11" t="s">
        <v>1921</v>
      </c>
      <c r="D1259" s="11"/>
      <c r="E1259" s="64">
        <v>46065.0</v>
      </c>
      <c r="F1259" s="14" t="s">
        <v>287</v>
      </c>
      <c r="G1259" s="178">
        <v>11269.0</v>
      </c>
      <c r="H1259" s="16">
        <v>11008.0</v>
      </c>
      <c r="I1259" s="17">
        <f t="shared" si="37"/>
        <v>261</v>
      </c>
      <c r="J1259" s="25" t="s">
        <v>1</v>
      </c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</row>
    <row r="1260" ht="33.75" customHeight="1">
      <c r="A1260" s="11" t="s">
        <v>785</v>
      </c>
      <c r="B1260" s="22" t="s">
        <v>34</v>
      </c>
      <c r="C1260" s="11" t="s">
        <v>1922</v>
      </c>
      <c r="D1260" s="11"/>
      <c r="E1260" s="64">
        <v>46065.0</v>
      </c>
      <c r="F1260" s="14" t="s">
        <v>1133</v>
      </c>
      <c r="G1260" s="178">
        <v>15000.0</v>
      </c>
      <c r="H1260" s="28">
        <v>14256.0</v>
      </c>
      <c r="I1260" s="17">
        <f t="shared" si="37"/>
        <v>744</v>
      </c>
      <c r="J1260" s="25" t="s">
        <v>1</v>
      </c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</row>
    <row r="1261" ht="33.75" customHeight="1">
      <c r="A1261" s="11" t="s">
        <v>539</v>
      </c>
      <c r="B1261" s="22" t="s">
        <v>34</v>
      </c>
      <c r="C1261" s="11" t="s">
        <v>1923</v>
      </c>
      <c r="D1261" s="11"/>
      <c r="E1261" s="64">
        <v>46065.0</v>
      </c>
      <c r="F1261" s="14" t="s">
        <v>1141</v>
      </c>
      <c r="G1261" s="178">
        <v>15000.0</v>
      </c>
      <c r="H1261" s="28">
        <v>14275.0</v>
      </c>
      <c r="I1261" s="17">
        <f t="shared" si="37"/>
        <v>725</v>
      </c>
      <c r="J1261" s="25" t="s">
        <v>1</v>
      </c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</row>
    <row r="1262" ht="33.75" customHeight="1">
      <c r="A1262" s="11" t="s">
        <v>1888</v>
      </c>
      <c r="B1262" s="22"/>
      <c r="C1262" s="11" t="s">
        <v>1889</v>
      </c>
      <c r="D1262" s="11"/>
      <c r="E1262" s="64">
        <v>46065.0</v>
      </c>
      <c r="F1262" s="14" t="s">
        <v>1133</v>
      </c>
      <c r="G1262" s="15" t="s">
        <v>573</v>
      </c>
      <c r="H1262" s="16">
        <v>9595.0</v>
      </c>
      <c r="I1262" s="17">
        <f t="shared" si="37"/>
        <v>405</v>
      </c>
      <c r="J1262" s="25" t="s">
        <v>1</v>
      </c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</row>
    <row r="1263" ht="33.75" customHeight="1">
      <c r="A1263" s="11" t="s">
        <v>115</v>
      </c>
      <c r="B1263" s="22" t="s">
        <v>1924</v>
      </c>
      <c r="C1263" s="11" t="s">
        <v>1925</v>
      </c>
      <c r="D1263" s="11"/>
      <c r="E1263" s="76">
        <v>46065.0</v>
      </c>
      <c r="F1263" s="14" t="s">
        <v>17</v>
      </c>
      <c r="G1263" s="15" t="s">
        <v>1926</v>
      </c>
      <c r="H1263" s="16">
        <v>51505.0</v>
      </c>
      <c r="I1263" s="17">
        <f t="shared" si="37"/>
        <v>20214</v>
      </c>
      <c r="J1263" s="25" t="s">
        <v>1</v>
      </c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</row>
    <row r="1264" ht="33.75" customHeight="1">
      <c r="A1264" s="11" t="s">
        <v>115</v>
      </c>
      <c r="B1264" s="22" t="s">
        <v>1924</v>
      </c>
      <c r="C1264" s="11" t="s">
        <v>1927</v>
      </c>
      <c r="D1264" s="11"/>
      <c r="E1264" s="76">
        <v>46065.0</v>
      </c>
      <c r="F1264" s="14" t="s">
        <v>17</v>
      </c>
      <c r="G1264" s="15" t="s">
        <v>1926</v>
      </c>
      <c r="H1264" s="16">
        <v>33167.0</v>
      </c>
      <c r="I1264" s="17">
        <f t="shared" si="37"/>
        <v>38552</v>
      </c>
      <c r="J1264" s="25" t="s">
        <v>1</v>
      </c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</row>
    <row r="1265" ht="33.75" customHeight="1">
      <c r="A1265" s="11" t="s">
        <v>115</v>
      </c>
      <c r="B1265" s="22" t="s">
        <v>1924</v>
      </c>
      <c r="C1265" s="11" t="s">
        <v>1928</v>
      </c>
      <c r="D1265" s="11"/>
      <c r="E1265" s="76">
        <v>46065.0</v>
      </c>
      <c r="F1265" s="14" t="s">
        <v>17</v>
      </c>
      <c r="G1265" s="15" t="s">
        <v>1926</v>
      </c>
      <c r="H1265" s="16">
        <v>35628.0</v>
      </c>
      <c r="I1265" s="17">
        <f t="shared" si="37"/>
        <v>36091</v>
      </c>
      <c r="J1265" s="25" t="s">
        <v>1</v>
      </c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</row>
    <row r="1266" ht="33.75" customHeight="1">
      <c r="A1266" s="11" t="s">
        <v>115</v>
      </c>
      <c r="B1266" s="22" t="s">
        <v>1924</v>
      </c>
      <c r="C1266" s="11" t="s">
        <v>1929</v>
      </c>
      <c r="D1266" s="11"/>
      <c r="E1266" s="76">
        <v>46065.0</v>
      </c>
      <c r="F1266" s="14" t="s">
        <v>17</v>
      </c>
      <c r="G1266" s="15" t="s">
        <v>1926</v>
      </c>
      <c r="H1266" s="16">
        <v>35124.0</v>
      </c>
      <c r="I1266" s="17">
        <f t="shared" si="37"/>
        <v>36595</v>
      </c>
      <c r="J1266" s="25" t="s">
        <v>1</v>
      </c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</row>
    <row r="1267" ht="33.75" customHeight="1">
      <c r="A1267" s="11" t="s">
        <v>115</v>
      </c>
      <c r="B1267" s="22" t="s">
        <v>1924</v>
      </c>
      <c r="C1267" s="11" t="s">
        <v>1930</v>
      </c>
      <c r="D1267" s="11"/>
      <c r="E1267" s="76">
        <v>46065.0</v>
      </c>
      <c r="F1267" s="14" t="s">
        <v>17</v>
      </c>
      <c r="G1267" s="15" t="s">
        <v>1926</v>
      </c>
      <c r="H1267" s="16">
        <v>35394.0</v>
      </c>
      <c r="I1267" s="17">
        <f t="shared" si="37"/>
        <v>36325</v>
      </c>
      <c r="J1267" s="25" t="s">
        <v>1</v>
      </c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</row>
    <row r="1268" ht="33.75" customHeight="1">
      <c r="A1268" s="11" t="s">
        <v>115</v>
      </c>
      <c r="B1268" s="22" t="s">
        <v>1924</v>
      </c>
      <c r="C1268" s="11" t="s">
        <v>1931</v>
      </c>
      <c r="D1268" s="11"/>
      <c r="E1268" s="76">
        <v>46065.0</v>
      </c>
      <c r="F1268" s="14" t="s">
        <v>17</v>
      </c>
      <c r="G1268" s="15" t="s">
        <v>1926</v>
      </c>
      <c r="H1268" s="16">
        <v>35394.0</v>
      </c>
      <c r="I1268" s="17">
        <f t="shared" si="37"/>
        <v>36325</v>
      </c>
      <c r="J1268" s="25" t="s">
        <v>1</v>
      </c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</row>
    <row r="1269" ht="33.75" customHeight="1">
      <c r="A1269" s="11" t="s">
        <v>1314</v>
      </c>
      <c r="B1269" s="22" t="s">
        <v>1011</v>
      </c>
      <c r="C1269" s="11" t="s">
        <v>1932</v>
      </c>
      <c r="D1269" s="11"/>
      <c r="E1269" s="64">
        <v>46066.0</v>
      </c>
      <c r="F1269" s="14" t="s">
        <v>17</v>
      </c>
      <c r="G1269" s="15" t="s">
        <v>1933</v>
      </c>
      <c r="H1269" s="16">
        <v>1427.0</v>
      </c>
      <c r="I1269" s="17">
        <f t="shared" si="37"/>
        <v>417</v>
      </c>
      <c r="J1269" s="25" t="s">
        <v>1</v>
      </c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</row>
    <row r="1270" ht="33.75" customHeight="1">
      <c r="A1270" s="11" t="s">
        <v>1451</v>
      </c>
      <c r="B1270" s="22" t="s">
        <v>1934</v>
      </c>
      <c r="C1270" s="11" t="s">
        <v>1935</v>
      </c>
      <c r="D1270" s="11"/>
      <c r="E1270" s="64">
        <v>46066.0</v>
      </c>
      <c r="F1270" s="14" t="s">
        <v>17</v>
      </c>
      <c r="G1270" s="15" t="s">
        <v>1936</v>
      </c>
      <c r="H1270" s="16">
        <v>632.0</v>
      </c>
      <c r="I1270" s="17"/>
      <c r="J1270" s="25" t="s">
        <v>1</v>
      </c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</row>
    <row r="1271" ht="33.75" customHeight="1">
      <c r="A1271" s="11" t="s">
        <v>28</v>
      </c>
      <c r="B1271" s="22" t="s">
        <v>81</v>
      </c>
      <c r="C1271" s="11" t="s">
        <v>1937</v>
      </c>
      <c r="D1271" s="11"/>
      <c r="E1271" s="64">
        <v>46066.0</v>
      </c>
      <c r="F1271" s="14" t="s">
        <v>17</v>
      </c>
      <c r="G1271" s="15" t="s">
        <v>336</v>
      </c>
      <c r="H1271" s="16">
        <v>9654.0</v>
      </c>
      <c r="I1271" s="17">
        <f t="shared" ref="I1271:I1288" si="38">G1271-H1271</f>
        <v>1346</v>
      </c>
      <c r="J1271" s="25" t="s">
        <v>1</v>
      </c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</row>
    <row r="1272" ht="33.75" customHeight="1">
      <c r="A1272" s="11" t="s">
        <v>1938</v>
      </c>
      <c r="B1272" s="22" t="s">
        <v>81</v>
      </c>
      <c r="C1272" s="11" t="s">
        <v>1937</v>
      </c>
      <c r="D1272" s="11"/>
      <c r="E1272" s="64">
        <v>46066.0</v>
      </c>
      <c r="F1272" s="14" t="s">
        <v>17</v>
      </c>
      <c r="G1272" s="15" t="s">
        <v>1939</v>
      </c>
      <c r="H1272" s="16">
        <v>944.0</v>
      </c>
      <c r="I1272" s="17">
        <f t="shared" si="38"/>
        <v>808</v>
      </c>
      <c r="J1272" s="25" t="s">
        <v>1</v>
      </c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</row>
    <row r="1273" ht="33.75" customHeight="1">
      <c r="A1273" s="11" t="s">
        <v>1940</v>
      </c>
      <c r="B1273" s="22" t="s">
        <v>1941</v>
      </c>
      <c r="C1273" s="11" t="s">
        <v>1942</v>
      </c>
      <c r="D1273" s="11"/>
      <c r="E1273" s="64">
        <v>46066.0</v>
      </c>
      <c r="F1273" s="14" t="s">
        <v>17</v>
      </c>
      <c r="G1273" s="15" t="s">
        <v>21</v>
      </c>
      <c r="H1273" s="16">
        <v>7922.0</v>
      </c>
      <c r="I1273" s="17">
        <f t="shared" si="38"/>
        <v>2078</v>
      </c>
      <c r="J1273" s="25" t="s">
        <v>1</v>
      </c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</row>
    <row r="1274" ht="33.75" customHeight="1">
      <c r="A1274" s="11" t="s">
        <v>1943</v>
      </c>
      <c r="B1274" s="22" t="s">
        <v>1941</v>
      </c>
      <c r="C1274" s="11" t="s">
        <v>1942</v>
      </c>
      <c r="D1274" s="11"/>
      <c r="E1274" s="64">
        <v>46066.0</v>
      </c>
      <c r="F1274" s="14" t="s">
        <v>17</v>
      </c>
      <c r="G1274" s="15" t="s">
        <v>208</v>
      </c>
      <c r="H1274" s="16">
        <v>3564.0</v>
      </c>
      <c r="I1274" s="17">
        <f t="shared" si="38"/>
        <v>1436</v>
      </c>
      <c r="J1274" s="25" t="s">
        <v>1</v>
      </c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</row>
    <row r="1275" ht="33.75" customHeight="1">
      <c r="A1275" s="11" t="s">
        <v>1944</v>
      </c>
      <c r="B1275" s="22" t="s">
        <v>1941</v>
      </c>
      <c r="C1275" s="11" t="s">
        <v>1942</v>
      </c>
      <c r="D1275" s="11"/>
      <c r="E1275" s="64">
        <v>46066.0</v>
      </c>
      <c r="F1275" s="14" t="s">
        <v>17</v>
      </c>
      <c r="G1275" s="15" t="s">
        <v>208</v>
      </c>
      <c r="H1275" s="16">
        <v>4019.0</v>
      </c>
      <c r="I1275" s="17">
        <f t="shared" si="38"/>
        <v>981</v>
      </c>
      <c r="J1275" s="25" t="s">
        <v>1</v>
      </c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</row>
    <row r="1276" ht="33.75" customHeight="1">
      <c r="A1276" s="11" t="s">
        <v>1838</v>
      </c>
      <c r="B1276" s="22" t="s">
        <v>1941</v>
      </c>
      <c r="C1276" s="11" t="s">
        <v>1942</v>
      </c>
      <c r="D1276" s="11"/>
      <c r="E1276" s="64">
        <v>46066.0</v>
      </c>
      <c r="F1276" s="14" t="s">
        <v>17</v>
      </c>
      <c r="G1276" s="15" t="s">
        <v>208</v>
      </c>
      <c r="H1276" s="16">
        <v>2455.0</v>
      </c>
      <c r="I1276" s="17">
        <f t="shared" si="38"/>
        <v>2545</v>
      </c>
      <c r="J1276" s="25" t="s">
        <v>1</v>
      </c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</row>
    <row r="1277" ht="33.75" customHeight="1">
      <c r="A1277" s="11" t="s">
        <v>1839</v>
      </c>
      <c r="B1277" s="22" t="s">
        <v>1941</v>
      </c>
      <c r="C1277" s="11" t="s">
        <v>1942</v>
      </c>
      <c r="D1277" s="11"/>
      <c r="E1277" s="64">
        <v>46066.0</v>
      </c>
      <c r="F1277" s="14" t="s">
        <v>17</v>
      </c>
      <c r="G1277" s="15" t="s">
        <v>208</v>
      </c>
      <c r="H1277" s="16">
        <v>4923.0</v>
      </c>
      <c r="I1277" s="17">
        <f t="shared" si="38"/>
        <v>77</v>
      </c>
      <c r="J1277" s="25" t="s">
        <v>1</v>
      </c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</row>
    <row r="1278" ht="33.75" customHeight="1">
      <c r="A1278" s="11" t="s">
        <v>1710</v>
      </c>
      <c r="B1278" s="22" t="s">
        <v>1941</v>
      </c>
      <c r="C1278" s="11" t="s">
        <v>1942</v>
      </c>
      <c r="D1278" s="11"/>
      <c r="E1278" s="64">
        <v>46066.0</v>
      </c>
      <c r="F1278" s="14" t="s">
        <v>17</v>
      </c>
      <c r="G1278" s="15" t="s">
        <v>208</v>
      </c>
      <c r="H1278" s="16">
        <v>3491.0</v>
      </c>
      <c r="I1278" s="17">
        <f t="shared" si="38"/>
        <v>1509</v>
      </c>
      <c r="J1278" s="25" t="s">
        <v>1</v>
      </c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</row>
    <row r="1279" ht="33.75" customHeight="1">
      <c r="A1279" s="11" t="s">
        <v>1741</v>
      </c>
      <c r="B1279" s="22" t="s">
        <v>1941</v>
      </c>
      <c r="C1279" s="11" t="s">
        <v>1942</v>
      </c>
      <c r="D1279" s="11"/>
      <c r="E1279" s="64">
        <v>46066.0</v>
      </c>
      <c r="F1279" s="14" t="s">
        <v>17</v>
      </c>
      <c r="G1279" s="15" t="s">
        <v>21</v>
      </c>
      <c r="H1279" s="16">
        <v>8293.0</v>
      </c>
      <c r="I1279" s="17">
        <f t="shared" si="38"/>
        <v>1707</v>
      </c>
      <c r="J1279" s="25" t="s">
        <v>1</v>
      </c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</row>
    <row r="1280" ht="33.75" customHeight="1">
      <c r="A1280" s="11" t="s">
        <v>693</v>
      </c>
      <c r="B1280" s="22" t="s">
        <v>1941</v>
      </c>
      <c r="C1280" s="11" t="s">
        <v>1942</v>
      </c>
      <c r="D1280" s="11"/>
      <c r="E1280" s="64">
        <v>46066.0</v>
      </c>
      <c r="F1280" s="14" t="s">
        <v>17</v>
      </c>
      <c r="G1280" s="15" t="s">
        <v>21</v>
      </c>
      <c r="H1280" s="16">
        <v>9164.0</v>
      </c>
      <c r="I1280" s="17">
        <f t="shared" si="38"/>
        <v>836</v>
      </c>
      <c r="J1280" s="25" t="s">
        <v>1</v>
      </c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</row>
    <row r="1281" ht="33.75" customHeight="1">
      <c r="A1281" s="11" t="s">
        <v>695</v>
      </c>
      <c r="B1281" s="22" t="s">
        <v>1941</v>
      </c>
      <c r="C1281" s="11" t="s">
        <v>1942</v>
      </c>
      <c r="D1281" s="11"/>
      <c r="E1281" s="64">
        <v>46066.0</v>
      </c>
      <c r="F1281" s="14" t="s">
        <v>17</v>
      </c>
      <c r="G1281" s="15" t="s">
        <v>21</v>
      </c>
      <c r="H1281" s="16">
        <v>7431.0</v>
      </c>
      <c r="I1281" s="17">
        <f t="shared" si="38"/>
        <v>2569</v>
      </c>
      <c r="J1281" s="25" t="s">
        <v>1</v>
      </c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</row>
    <row r="1282" ht="33.75" customHeight="1">
      <c r="A1282" s="11" t="s">
        <v>1840</v>
      </c>
      <c r="B1282" s="22" t="s">
        <v>1941</v>
      </c>
      <c r="C1282" s="11" t="s">
        <v>1942</v>
      </c>
      <c r="D1282" s="11"/>
      <c r="E1282" s="64">
        <v>46066.0</v>
      </c>
      <c r="F1282" s="14" t="s">
        <v>17</v>
      </c>
      <c r="G1282" s="15" t="s">
        <v>208</v>
      </c>
      <c r="H1282" s="16">
        <v>2913.0</v>
      </c>
      <c r="I1282" s="17">
        <f t="shared" si="38"/>
        <v>2087</v>
      </c>
      <c r="J1282" s="25" t="s">
        <v>1</v>
      </c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</row>
    <row r="1283" ht="33.75" customHeight="1">
      <c r="A1283" s="11" t="s">
        <v>210</v>
      </c>
      <c r="B1283" s="22" t="s">
        <v>85</v>
      </c>
      <c r="C1283" s="11" t="s">
        <v>1945</v>
      </c>
      <c r="D1283" s="11"/>
      <c r="E1283" s="64">
        <v>46066.0</v>
      </c>
      <c r="F1283" s="14" t="s">
        <v>17</v>
      </c>
      <c r="G1283" s="15" t="s">
        <v>1946</v>
      </c>
      <c r="H1283" s="16">
        <v>6032.0</v>
      </c>
      <c r="I1283" s="17">
        <f t="shared" si="38"/>
        <v>3745</v>
      </c>
      <c r="J1283" s="25" t="s">
        <v>1</v>
      </c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</row>
    <row r="1284" ht="33.75" customHeight="1">
      <c r="A1284" s="11" t="s">
        <v>1587</v>
      </c>
      <c r="B1284" s="22" t="s">
        <v>49</v>
      </c>
      <c r="C1284" s="11" t="s">
        <v>1947</v>
      </c>
      <c r="D1284" s="11"/>
      <c r="E1284" s="64">
        <v>46066.0</v>
      </c>
      <c r="F1284" s="14" t="s">
        <v>287</v>
      </c>
      <c r="G1284" s="178">
        <v>50001.0</v>
      </c>
      <c r="H1284" s="16">
        <v>46056.0</v>
      </c>
      <c r="I1284" s="17">
        <f t="shared" si="38"/>
        <v>3945</v>
      </c>
      <c r="J1284" s="220" t="s">
        <v>1</v>
      </c>
      <c r="K1284" s="221"/>
      <c r="L1284" s="221"/>
      <c r="M1284" s="221"/>
      <c r="N1284" s="221"/>
      <c r="O1284" s="221"/>
      <c r="P1284" s="221"/>
      <c r="Q1284" s="221"/>
      <c r="R1284" s="221"/>
      <c r="S1284" s="221"/>
      <c r="T1284" s="221"/>
      <c r="U1284" s="221"/>
      <c r="V1284" s="221"/>
      <c r="W1284" s="221"/>
      <c r="X1284" s="221"/>
      <c r="Y1284" s="221"/>
      <c r="Z1284" s="221"/>
    </row>
    <row r="1285" ht="33.75" customHeight="1">
      <c r="A1285" s="11" t="s">
        <v>1587</v>
      </c>
      <c r="B1285" s="22" t="s">
        <v>85</v>
      </c>
      <c r="C1285" s="11" t="s">
        <v>1948</v>
      </c>
      <c r="D1285" s="11"/>
      <c r="E1285" s="64">
        <v>46066.0</v>
      </c>
      <c r="F1285" s="14" t="s">
        <v>287</v>
      </c>
      <c r="G1285" s="178">
        <v>49998.0</v>
      </c>
      <c r="H1285" s="16">
        <v>38658.0</v>
      </c>
      <c r="I1285" s="17">
        <f t="shared" si="38"/>
        <v>11340</v>
      </c>
      <c r="J1285" s="220" t="s">
        <v>1</v>
      </c>
      <c r="K1285" s="221"/>
      <c r="L1285" s="221"/>
      <c r="M1285" s="221"/>
      <c r="N1285" s="221"/>
      <c r="O1285" s="221"/>
      <c r="P1285" s="221"/>
      <c r="Q1285" s="221"/>
      <c r="R1285" s="221"/>
      <c r="S1285" s="221"/>
      <c r="T1285" s="221"/>
      <c r="U1285" s="221"/>
      <c r="V1285" s="221"/>
      <c r="W1285" s="221"/>
      <c r="X1285" s="221"/>
      <c r="Y1285" s="221"/>
      <c r="Z1285" s="221"/>
    </row>
    <row r="1286" ht="33.75" customHeight="1">
      <c r="A1286" s="11" t="s">
        <v>1587</v>
      </c>
      <c r="B1286" s="22" t="s">
        <v>88</v>
      </c>
      <c r="C1286" s="11" t="s">
        <v>1949</v>
      </c>
      <c r="D1286" s="11"/>
      <c r="E1286" s="64">
        <v>46066.0</v>
      </c>
      <c r="F1286" s="14" t="s">
        <v>287</v>
      </c>
      <c r="G1286" s="178">
        <v>50000.0</v>
      </c>
      <c r="H1286" s="16">
        <v>31623.0</v>
      </c>
      <c r="I1286" s="17">
        <f t="shared" si="38"/>
        <v>18377</v>
      </c>
      <c r="J1286" s="220" t="s">
        <v>1</v>
      </c>
      <c r="K1286" s="221"/>
      <c r="L1286" s="221"/>
      <c r="M1286" s="221"/>
      <c r="N1286" s="221"/>
      <c r="O1286" s="221"/>
      <c r="P1286" s="221"/>
      <c r="Q1286" s="221"/>
      <c r="R1286" s="221"/>
      <c r="S1286" s="221"/>
      <c r="T1286" s="221"/>
      <c r="U1286" s="221"/>
      <c r="V1286" s="221"/>
      <c r="W1286" s="221"/>
      <c r="X1286" s="221"/>
      <c r="Y1286" s="221"/>
      <c r="Z1286" s="221"/>
    </row>
    <row r="1287" ht="33.75" customHeight="1">
      <c r="A1287" s="11" t="s">
        <v>1950</v>
      </c>
      <c r="B1287" s="22" t="s">
        <v>1951</v>
      </c>
      <c r="C1287" s="11" t="s">
        <v>1952</v>
      </c>
      <c r="D1287" s="11"/>
      <c r="E1287" s="64">
        <v>46066.0</v>
      </c>
      <c r="F1287" s="14" t="s">
        <v>17</v>
      </c>
      <c r="G1287" s="15" t="s">
        <v>1953</v>
      </c>
      <c r="H1287" s="16">
        <v>25466.0</v>
      </c>
      <c r="I1287" s="17">
        <f t="shared" si="38"/>
        <v>1831</v>
      </c>
      <c r="J1287" s="25" t="s">
        <v>1</v>
      </c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</row>
    <row r="1288" ht="33.75" customHeight="1">
      <c r="A1288" s="11" t="s">
        <v>489</v>
      </c>
      <c r="B1288" s="22" t="s">
        <v>1954</v>
      </c>
      <c r="C1288" s="11" t="s">
        <v>1955</v>
      </c>
      <c r="D1288" s="11"/>
      <c r="E1288" s="64">
        <v>46066.0</v>
      </c>
      <c r="F1288" s="14" t="s">
        <v>17</v>
      </c>
      <c r="G1288" s="15" t="s">
        <v>110</v>
      </c>
      <c r="H1288" s="16">
        <v>18739.0</v>
      </c>
      <c r="I1288" s="17">
        <f t="shared" si="38"/>
        <v>1261</v>
      </c>
      <c r="J1288" s="25" t="s">
        <v>1</v>
      </c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</row>
    <row r="1289" ht="33.75" customHeight="1">
      <c r="A1289" s="11" t="s">
        <v>1496</v>
      </c>
      <c r="B1289" s="22" t="s">
        <v>1956</v>
      </c>
      <c r="C1289" s="11" t="s">
        <v>1957</v>
      </c>
      <c r="D1289" s="11"/>
      <c r="E1289" s="64">
        <v>46066.0</v>
      </c>
      <c r="F1289" s="14" t="s">
        <v>17</v>
      </c>
      <c r="G1289" s="15" t="s">
        <v>1958</v>
      </c>
      <c r="H1289" s="16">
        <v>7569.0</v>
      </c>
      <c r="I1289" s="17"/>
      <c r="J1289" s="25" t="s">
        <v>1</v>
      </c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</row>
    <row r="1290" ht="33.75" customHeight="1">
      <c r="A1290" s="11" t="s">
        <v>1516</v>
      </c>
      <c r="B1290" s="22" t="s">
        <v>1959</v>
      </c>
      <c r="C1290" s="11" t="s">
        <v>1960</v>
      </c>
      <c r="D1290" s="11"/>
      <c r="E1290" s="64">
        <v>46066.0</v>
      </c>
      <c r="F1290" s="14" t="s">
        <v>99</v>
      </c>
      <c r="G1290" s="15" t="s">
        <v>1961</v>
      </c>
      <c r="H1290" s="16">
        <v>6127.0</v>
      </c>
      <c r="I1290" s="17">
        <f t="shared" ref="I1290:I1302" si="39">G1290-H1290</f>
        <v>578</v>
      </c>
      <c r="J1290" s="222" t="s">
        <v>1962</v>
      </c>
      <c r="K1290" s="223"/>
      <c r="L1290" s="223"/>
      <c r="M1290" s="223"/>
      <c r="N1290" s="223"/>
      <c r="O1290" s="223"/>
      <c r="P1290" s="223"/>
      <c r="Q1290" s="223"/>
      <c r="R1290" s="223"/>
      <c r="S1290" s="223"/>
      <c r="T1290" s="223"/>
      <c r="U1290" s="223"/>
      <c r="V1290" s="223"/>
      <c r="W1290" s="223"/>
      <c r="X1290" s="223"/>
      <c r="Y1290" s="223"/>
      <c r="Z1290" s="223"/>
    </row>
    <row r="1291" ht="33.75" customHeight="1">
      <c r="A1291" s="11" t="s">
        <v>1352</v>
      </c>
      <c r="B1291" s="22" t="s">
        <v>15</v>
      </c>
      <c r="C1291" s="11" t="s">
        <v>1963</v>
      </c>
      <c r="D1291" s="11"/>
      <c r="E1291" s="64">
        <v>46066.0</v>
      </c>
      <c r="F1291" s="14" t="s">
        <v>17</v>
      </c>
      <c r="G1291" s="15" t="s">
        <v>1964</v>
      </c>
      <c r="H1291" s="16">
        <v>8532.0</v>
      </c>
      <c r="I1291" s="17">
        <f t="shared" si="39"/>
        <v>1772</v>
      </c>
      <c r="J1291" s="25" t="s">
        <v>1</v>
      </c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</row>
    <row r="1292" ht="33.75" customHeight="1">
      <c r="A1292" s="11" t="s">
        <v>686</v>
      </c>
      <c r="B1292" s="22" t="s">
        <v>1965</v>
      </c>
      <c r="C1292" s="11" t="s">
        <v>1966</v>
      </c>
      <c r="D1292" s="11"/>
      <c r="E1292" s="64">
        <v>46067.0</v>
      </c>
      <c r="F1292" s="14" t="s">
        <v>17</v>
      </c>
      <c r="G1292" s="178">
        <v>21304.0</v>
      </c>
      <c r="H1292" s="16">
        <v>18585.0</v>
      </c>
      <c r="I1292" s="17">
        <f t="shared" si="39"/>
        <v>2719</v>
      </c>
      <c r="J1292" s="25" t="s">
        <v>1</v>
      </c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</row>
    <row r="1293" ht="33.75" customHeight="1">
      <c r="A1293" s="105" t="s">
        <v>1865</v>
      </c>
      <c r="B1293" s="271" t="s">
        <v>4</v>
      </c>
      <c r="C1293" s="105" t="s">
        <v>1967</v>
      </c>
      <c r="D1293" s="105"/>
      <c r="E1293" s="272">
        <v>46067.0</v>
      </c>
      <c r="F1293" s="110" t="s">
        <v>287</v>
      </c>
      <c r="G1293" s="273">
        <v>24533.0</v>
      </c>
      <c r="H1293" s="112"/>
      <c r="I1293" s="113">
        <f t="shared" si="39"/>
        <v>24533</v>
      </c>
      <c r="J1293" s="274" t="s">
        <v>1968</v>
      </c>
      <c r="K1293" s="275"/>
      <c r="L1293" s="275"/>
      <c r="M1293" s="275"/>
      <c r="N1293" s="275"/>
      <c r="O1293" s="275"/>
      <c r="P1293" s="275"/>
      <c r="Q1293" s="275"/>
      <c r="R1293" s="275"/>
      <c r="S1293" s="275"/>
      <c r="T1293" s="275"/>
      <c r="U1293" s="275"/>
      <c r="V1293" s="275"/>
      <c r="W1293" s="275"/>
      <c r="X1293" s="275"/>
      <c r="Y1293" s="275"/>
      <c r="Z1293" s="275"/>
    </row>
    <row r="1294" ht="33.75" customHeight="1">
      <c r="A1294" s="11" t="s">
        <v>1587</v>
      </c>
      <c r="B1294" s="22" t="s">
        <v>49</v>
      </c>
      <c r="C1294" s="11" t="s">
        <v>1969</v>
      </c>
      <c r="D1294" s="11"/>
      <c r="E1294" s="64">
        <v>46067.0</v>
      </c>
      <c r="F1294" s="14" t="s">
        <v>287</v>
      </c>
      <c r="G1294" s="178">
        <v>62500.0</v>
      </c>
      <c r="H1294" s="16">
        <v>39123.0</v>
      </c>
      <c r="I1294" s="17">
        <f t="shared" si="39"/>
        <v>23377</v>
      </c>
      <c r="J1294" s="276" t="s">
        <v>1</v>
      </c>
      <c r="K1294" s="277"/>
      <c r="L1294" s="277"/>
      <c r="M1294" s="277"/>
      <c r="N1294" s="277"/>
      <c r="O1294" s="277"/>
      <c r="P1294" s="277"/>
      <c r="Q1294" s="277"/>
      <c r="R1294" s="277"/>
      <c r="S1294" s="277"/>
      <c r="T1294" s="277"/>
      <c r="U1294" s="277"/>
      <c r="V1294" s="277"/>
      <c r="W1294" s="277"/>
      <c r="X1294" s="277"/>
      <c r="Y1294" s="277"/>
      <c r="Z1294" s="277"/>
    </row>
    <row r="1295" ht="33.75" customHeight="1">
      <c r="A1295" s="11" t="s">
        <v>1838</v>
      </c>
      <c r="B1295" s="22" t="s">
        <v>1625</v>
      </c>
      <c r="C1295" s="11" t="s">
        <v>1970</v>
      </c>
      <c r="D1295" s="11"/>
      <c r="E1295" s="64">
        <v>46067.0</v>
      </c>
      <c r="F1295" s="14" t="s">
        <v>17</v>
      </c>
      <c r="G1295" s="178">
        <v>5000.0</v>
      </c>
      <c r="H1295" s="16">
        <v>4321.0</v>
      </c>
      <c r="I1295" s="17">
        <f t="shared" si="39"/>
        <v>679</v>
      </c>
      <c r="J1295" s="25" t="s">
        <v>1</v>
      </c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</row>
    <row r="1296" ht="33.75" customHeight="1">
      <c r="A1296" s="11" t="s">
        <v>1839</v>
      </c>
      <c r="B1296" s="22" t="s">
        <v>1625</v>
      </c>
      <c r="C1296" s="11" t="s">
        <v>1970</v>
      </c>
      <c r="D1296" s="11"/>
      <c r="E1296" s="64">
        <v>46067.0</v>
      </c>
      <c r="F1296" s="14" t="s">
        <v>17</v>
      </c>
      <c r="G1296" s="178">
        <v>5000.0</v>
      </c>
      <c r="H1296" s="16">
        <v>3476.0</v>
      </c>
      <c r="I1296" s="17">
        <f t="shared" si="39"/>
        <v>1524</v>
      </c>
      <c r="J1296" s="25" t="s">
        <v>1</v>
      </c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</row>
    <row r="1297" ht="33.75" customHeight="1">
      <c r="A1297" s="11" t="s">
        <v>1840</v>
      </c>
      <c r="B1297" s="22" t="s">
        <v>1625</v>
      </c>
      <c r="C1297" s="11" t="s">
        <v>1970</v>
      </c>
      <c r="D1297" s="11"/>
      <c r="E1297" s="64">
        <v>46067.0</v>
      </c>
      <c r="F1297" s="14" t="s">
        <v>17</v>
      </c>
      <c r="G1297" s="178">
        <v>5000.0</v>
      </c>
      <c r="H1297" s="16">
        <v>4952.0</v>
      </c>
      <c r="I1297" s="17">
        <f t="shared" si="39"/>
        <v>48</v>
      </c>
      <c r="J1297" s="25" t="s">
        <v>1</v>
      </c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</row>
    <row r="1298" ht="33.75" customHeight="1">
      <c r="A1298" s="11" t="s">
        <v>1587</v>
      </c>
      <c r="B1298" s="22" t="s">
        <v>85</v>
      </c>
      <c r="C1298" s="11" t="s">
        <v>1971</v>
      </c>
      <c r="D1298" s="11"/>
      <c r="E1298" s="64">
        <v>46067.0</v>
      </c>
      <c r="F1298" s="14" t="s">
        <v>287</v>
      </c>
      <c r="G1298" s="178">
        <v>62500.0</v>
      </c>
      <c r="H1298" s="16">
        <v>44550.0</v>
      </c>
      <c r="I1298" s="17">
        <f t="shared" si="39"/>
        <v>17950</v>
      </c>
      <c r="J1298" s="25" t="s">
        <v>1</v>
      </c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</row>
    <row r="1299" ht="33.75" customHeight="1">
      <c r="A1299" s="11" t="s">
        <v>1587</v>
      </c>
      <c r="B1299" s="22" t="s">
        <v>88</v>
      </c>
      <c r="C1299" s="11" t="s">
        <v>1972</v>
      </c>
      <c r="D1299" s="11"/>
      <c r="E1299" s="64">
        <v>46067.0</v>
      </c>
      <c r="F1299" s="14" t="s">
        <v>287</v>
      </c>
      <c r="G1299" s="178">
        <v>62500.0</v>
      </c>
      <c r="H1299" s="16">
        <v>30801.0</v>
      </c>
      <c r="I1299" s="17">
        <f t="shared" si="39"/>
        <v>31699</v>
      </c>
      <c r="J1299" s="25" t="s">
        <v>1</v>
      </c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</row>
    <row r="1300" ht="33.75" customHeight="1">
      <c r="A1300" s="11" t="s">
        <v>701</v>
      </c>
      <c r="B1300" s="22" t="s">
        <v>88</v>
      </c>
      <c r="C1300" s="11" t="s">
        <v>1973</v>
      </c>
      <c r="D1300" s="11"/>
      <c r="E1300" s="64">
        <v>46067.0</v>
      </c>
      <c r="F1300" s="14" t="s">
        <v>1133</v>
      </c>
      <c r="G1300" s="178" t="s">
        <v>72</v>
      </c>
      <c r="H1300" s="28">
        <v>13175.0</v>
      </c>
      <c r="I1300" s="17">
        <f t="shared" si="39"/>
        <v>1825</v>
      </c>
      <c r="J1300" s="25" t="s">
        <v>1</v>
      </c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</row>
    <row r="1301" ht="33.75" customHeight="1">
      <c r="A1301" s="11" t="s">
        <v>1068</v>
      </c>
      <c r="B1301" s="22" t="s">
        <v>31</v>
      </c>
      <c r="C1301" s="11" t="s">
        <v>1974</v>
      </c>
      <c r="D1301" s="11"/>
      <c r="E1301" s="64">
        <v>46067.0</v>
      </c>
      <c r="F1301" s="14" t="s">
        <v>1141</v>
      </c>
      <c r="G1301" s="178">
        <v>11777.0</v>
      </c>
      <c r="H1301" s="16">
        <v>10594.0</v>
      </c>
      <c r="I1301" s="17">
        <f t="shared" si="39"/>
        <v>1183</v>
      </c>
      <c r="J1301" s="25" t="s">
        <v>1</v>
      </c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</row>
    <row r="1302" ht="33.75" customHeight="1">
      <c r="A1302" s="11" t="s">
        <v>534</v>
      </c>
      <c r="B1302" s="22" t="s">
        <v>31</v>
      </c>
      <c r="C1302" s="11" t="s">
        <v>1975</v>
      </c>
      <c r="D1302" s="11"/>
      <c r="E1302" s="64">
        <v>46067.0</v>
      </c>
      <c r="F1302" s="14" t="s">
        <v>17</v>
      </c>
      <c r="G1302" s="178">
        <v>24511.0</v>
      </c>
      <c r="H1302" s="16">
        <v>20955.0</v>
      </c>
      <c r="I1302" s="17">
        <f t="shared" si="39"/>
        <v>3556</v>
      </c>
      <c r="J1302" s="25" t="s">
        <v>1</v>
      </c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</row>
    <row r="1303" ht="33.75" customHeight="1">
      <c r="A1303" s="11" t="s">
        <v>577</v>
      </c>
      <c r="B1303" s="22" t="s">
        <v>31</v>
      </c>
      <c r="C1303" s="11" t="s">
        <v>1976</v>
      </c>
      <c r="D1303" s="11"/>
      <c r="E1303" s="64">
        <v>46067.0</v>
      </c>
      <c r="F1303" s="14" t="s">
        <v>287</v>
      </c>
      <c r="G1303" s="178">
        <v>12000.0</v>
      </c>
      <c r="H1303" s="16">
        <v>10467.0</v>
      </c>
      <c r="I1303" s="17"/>
      <c r="J1303" s="25" t="s">
        <v>1</v>
      </c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</row>
    <row r="1304" ht="33.75" customHeight="1">
      <c r="A1304" s="11" t="s">
        <v>1587</v>
      </c>
      <c r="B1304" s="22" t="s">
        <v>578</v>
      </c>
      <c r="C1304" s="11" t="s">
        <v>1977</v>
      </c>
      <c r="D1304" s="11"/>
      <c r="E1304" s="64">
        <v>46067.0</v>
      </c>
      <c r="F1304" s="14" t="s">
        <v>287</v>
      </c>
      <c r="G1304" s="178">
        <v>62500.0</v>
      </c>
      <c r="H1304" s="16">
        <v>36456.0</v>
      </c>
      <c r="I1304" s="17">
        <f t="shared" ref="I1304:I1305" si="40">G1304-H1304</f>
        <v>26044</v>
      </c>
      <c r="J1304" s="25" t="s">
        <v>1</v>
      </c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</row>
    <row r="1305" ht="33.75" customHeight="1">
      <c r="A1305" s="11" t="s">
        <v>795</v>
      </c>
      <c r="B1305" s="22" t="s">
        <v>1978</v>
      </c>
      <c r="C1305" s="11" t="s">
        <v>1979</v>
      </c>
      <c r="D1305" s="11"/>
      <c r="E1305" s="64">
        <v>46067.0</v>
      </c>
      <c r="F1305" s="14" t="s">
        <v>17</v>
      </c>
      <c r="G1305" s="178">
        <v>15628.0</v>
      </c>
      <c r="H1305" s="16">
        <v>12633.0</v>
      </c>
      <c r="I1305" s="17">
        <f t="shared" si="40"/>
        <v>2995</v>
      </c>
      <c r="J1305" s="25" t="s">
        <v>1</v>
      </c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</row>
    <row r="1306" ht="33.75" customHeight="1">
      <c r="A1306" s="11" t="s">
        <v>1420</v>
      </c>
      <c r="B1306" s="22" t="s">
        <v>31</v>
      </c>
      <c r="C1306" s="11" t="s">
        <v>1980</v>
      </c>
      <c r="D1306" s="11"/>
      <c r="E1306" s="64">
        <v>46067.0</v>
      </c>
      <c r="F1306" s="14" t="s">
        <v>1141</v>
      </c>
      <c r="G1306" s="178">
        <v>15091.0</v>
      </c>
      <c r="H1306" s="28">
        <v>14595.0</v>
      </c>
      <c r="I1306" s="17"/>
      <c r="J1306" s="25" t="s">
        <v>1</v>
      </c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</row>
    <row r="1307" ht="33.75" customHeight="1">
      <c r="A1307" s="11" t="s">
        <v>959</v>
      </c>
      <c r="B1307" s="22" t="s">
        <v>31</v>
      </c>
      <c r="C1307" s="11" t="s">
        <v>1880</v>
      </c>
      <c r="D1307" s="11"/>
      <c r="E1307" s="64">
        <v>46067.0</v>
      </c>
      <c r="F1307" s="14" t="s">
        <v>1141</v>
      </c>
      <c r="G1307" s="178">
        <v>29921.0</v>
      </c>
      <c r="H1307" s="16">
        <v>27043.0</v>
      </c>
      <c r="I1307" s="17">
        <f t="shared" ref="I1307:I1337" si="41">G1307-H1307</f>
        <v>2878</v>
      </c>
      <c r="J1307" s="25" t="s">
        <v>1</v>
      </c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</row>
    <row r="1308" ht="33.75" customHeight="1">
      <c r="A1308" s="11" t="s">
        <v>785</v>
      </c>
      <c r="B1308" s="22" t="s">
        <v>125</v>
      </c>
      <c r="C1308" s="11" t="s">
        <v>1922</v>
      </c>
      <c r="D1308" s="11"/>
      <c r="E1308" s="64">
        <v>46067.0</v>
      </c>
      <c r="F1308" s="14" t="s">
        <v>287</v>
      </c>
      <c r="G1308" s="178">
        <v>45000.0</v>
      </c>
      <c r="H1308" s="16">
        <v>41134.0</v>
      </c>
      <c r="I1308" s="17">
        <f t="shared" si="41"/>
        <v>3866</v>
      </c>
      <c r="J1308" s="25" t="s">
        <v>1</v>
      </c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</row>
    <row r="1309" ht="33.75" customHeight="1">
      <c r="A1309" s="11" t="s">
        <v>1334</v>
      </c>
      <c r="B1309" s="22" t="s">
        <v>1853</v>
      </c>
      <c r="C1309" s="11" t="s">
        <v>1981</v>
      </c>
      <c r="D1309" s="11"/>
      <c r="E1309" s="64">
        <v>46067.0</v>
      </c>
      <c r="F1309" s="14" t="s">
        <v>1133</v>
      </c>
      <c r="G1309" s="178">
        <v>30000.0</v>
      </c>
      <c r="H1309" s="16">
        <v>29559.0</v>
      </c>
      <c r="I1309" s="17">
        <f t="shared" si="41"/>
        <v>441</v>
      </c>
      <c r="J1309" s="25" t="s">
        <v>1</v>
      </c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</row>
    <row r="1310" ht="33.75" customHeight="1">
      <c r="A1310" s="11" t="s">
        <v>432</v>
      </c>
      <c r="B1310" s="22"/>
      <c r="C1310" s="11" t="s">
        <v>1982</v>
      </c>
      <c r="D1310" s="11"/>
      <c r="E1310" s="64">
        <v>46067.0</v>
      </c>
      <c r="F1310" s="14" t="s">
        <v>1141</v>
      </c>
      <c r="G1310" s="178">
        <v>12481.0</v>
      </c>
      <c r="H1310" s="16">
        <v>10004.0</v>
      </c>
      <c r="I1310" s="17">
        <f t="shared" si="41"/>
        <v>2477</v>
      </c>
      <c r="J1310" s="25" t="s">
        <v>1</v>
      </c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</row>
    <row r="1311" ht="33.75" customHeight="1">
      <c r="A1311" s="11" t="s">
        <v>1983</v>
      </c>
      <c r="B1311" s="22" t="s">
        <v>1853</v>
      </c>
      <c r="C1311" s="11" t="s">
        <v>1984</v>
      </c>
      <c r="D1311" s="11"/>
      <c r="E1311" s="64">
        <v>46067.0</v>
      </c>
      <c r="F1311" s="14" t="s">
        <v>287</v>
      </c>
      <c r="G1311" s="178">
        <v>18705.0</v>
      </c>
      <c r="H1311" s="16">
        <v>15365.0</v>
      </c>
      <c r="I1311" s="17">
        <f t="shared" si="41"/>
        <v>3340</v>
      </c>
      <c r="J1311" s="25" t="s">
        <v>1</v>
      </c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</row>
    <row r="1312" ht="33.75" customHeight="1">
      <c r="A1312" s="11" t="s">
        <v>1950</v>
      </c>
      <c r="B1312" s="22" t="s">
        <v>1985</v>
      </c>
      <c r="C1312" s="11" t="s">
        <v>1986</v>
      </c>
      <c r="D1312" s="11"/>
      <c r="E1312" s="64">
        <v>46067.0</v>
      </c>
      <c r="F1312" s="14" t="s">
        <v>17</v>
      </c>
      <c r="G1312" s="178">
        <v>75438.0</v>
      </c>
      <c r="H1312" s="16">
        <v>45920.0</v>
      </c>
      <c r="I1312" s="17">
        <f t="shared" si="41"/>
        <v>29518</v>
      </c>
      <c r="J1312" s="25" t="s">
        <v>1</v>
      </c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</row>
    <row r="1313" ht="33.75" customHeight="1">
      <c r="A1313" s="11" t="s">
        <v>1987</v>
      </c>
      <c r="B1313" s="22" t="s">
        <v>34</v>
      </c>
      <c r="C1313" s="11" t="s">
        <v>1988</v>
      </c>
      <c r="D1313" s="11"/>
      <c r="E1313" s="64">
        <v>46067.0</v>
      </c>
      <c r="F1313" s="14" t="s">
        <v>1133</v>
      </c>
      <c r="G1313" s="178">
        <v>11210.0</v>
      </c>
      <c r="H1313" s="16">
        <v>10340.0</v>
      </c>
      <c r="I1313" s="17">
        <f t="shared" si="41"/>
        <v>870</v>
      </c>
      <c r="J1313" s="25" t="s">
        <v>1</v>
      </c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</row>
    <row r="1314" ht="33.75" customHeight="1">
      <c r="A1314" s="11" t="s">
        <v>686</v>
      </c>
      <c r="B1314" s="22" t="s">
        <v>15</v>
      </c>
      <c r="C1314" s="11" t="s">
        <v>1966</v>
      </c>
      <c r="D1314" s="11"/>
      <c r="E1314" s="64">
        <v>46067.0</v>
      </c>
      <c r="F1314" s="14" t="s">
        <v>26</v>
      </c>
      <c r="G1314" s="178">
        <v>21304.0</v>
      </c>
      <c r="H1314" s="16">
        <v>18585.0</v>
      </c>
      <c r="I1314" s="17">
        <f t="shared" si="41"/>
        <v>2719</v>
      </c>
      <c r="J1314" s="25" t="s">
        <v>1</v>
      </c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</row>
    <row r="1315" ht="33.75" customHeight="1">
      <c r="A1315" s="11" t="s">
        <v>1587</v>
      </c>
      <c r="B1315" s="22" t="s">
        <v>49</v>
      </c>
      <c r="C1315" s="11" t="s">
        <v>1989</v>
      </c>
      <c r="D1315" s="11"/>
      <c r="E1315" s="64">
        <v>46069.0</v>
      </c>
      <c r="F1315" s="14" t="s">
        <v>287</v>
      </c>
      <c r="G1315" s="178">
        <v>40000.0</v>
      </c>
      <c r="H1315" s="16">
        <v>32824.0</v>
      </c>
      <c r="I1315" s="17">
        <f t="shared" si="41"/>
        <v>7176</v>
      </c>
      <c r="J1315" s="25" t="s">
        <v>1</v>
      </c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</row>
    <row r="1316" ht="33.75" customHeight="1">
      <c r="A1316" s="11" t="s">
        <v>1116</v>
      </c>
      <c r="B1316" s="22" t="s">
        <v>81</v>
      </c>
      <c r="C1316" s="11" t="s">
        <v>1990</v>
      </c>
      <c r="D1316" s="11"/>
      <c r="E1316" s="64">
        <v>46069.0</v>
      </c>
      <c r="F1316" s="14" t="s">
        <v>1133</v>
      </c>
      <c r="G1316" s="178">
        <v>10000.0</v>
      </c>
      <c r="H1316" s="16">
        <v>7916.0</v>
      </c>
      <c r="I1316" s="17">
        <f t="shared" si="41"/>
        <v>2084</v>
      </c>
      <c r="J1316" s="25" t="s">
        <v>1</v>
      </c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</row>
    <row r="1317" ht="33.75" customHeight="1">
      <c r="A1317" s="11" t="s">
        <v>667</v>
      </c>
      <c r="B1317" s="22" t="s">
        <v>81</v>
      </c>
      <c r="C1317" s="11" t="s">
        <v>1990</v>
      </c>
      <c r="D1317" s="11"/>
      <c r="E1317" s="64">
        <v>46069.0</v>
      </c>
      <c r="F1317" s="14" t="s">
        <v>1133</v>
      </c>
      <c r="G1317" s="180">
        <v>10000.0</v>
      </c>
      <c r="H1317" s="16">
        <v>7820.0</v>
      </c>
      <c r="I1317" s="17">
        <f t="shared" si="41"/>
        <v>2180</v>
      </c>
      <c r="J1317" s="25" t="s">
        <v>1</v>
      </c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</row>
    <row r="1318" ht="33.75" customHeight="1">
      <c r="A1318" s="11" t="s">
        <v>1808</v>
      </c>
      <c r="B1318" s="22" t="s">
        <v>81</v>
      </c>
      <c r="C1318" s="11" t="s">
        <v>1990</v>
      </c>
      <c r="D1318" s="11"/>
      <c r="E1318" s="64">
        <v>46069.0</v>
      </c>
      <c r="F1318" s="14" t="s">
        <v>1133</v>
      </c>
      <c r="G1318" s="180">
        <v>10000.0</v>
      </c>
      <c r="H1318" s="16">
        <v>7965.0</v>
      </c>
      <c r="I1318" s="17">
        <f t="shared" si="41"/>
        <v>2035</v>
      </c>
      <c r="J1318" s="25" t="s">
        <v>1</v>
      </c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</row>
    <row r="1319" ht="33.75" customHeight="1">
      <c r="A1319" s="11" t="s">
        <v>1991</v>
      </c>
      <c r="B1319" s="22" t="s">
        <v>81</v>
      </c>
      <c r="C1319" s="11" t="s">
        <v>1990</v>
      </c>
      <c r="D1319" s="11"/>
      <c r="E1319" s="64">
        <v>46069.0</v>
      </c>
      <c r="F1319" s="14" t="s">
        <v>1133</v>
      </c>
      <c r="G1319" s="180">
        <v>10000.0</v>
      </c>
      <c r="H1319" s="16">
        <v>8947.0</v>
      </c>
      <c r="I1319" s="17">
        <f t="shared" si="41"/>
        <v>1053</v>
      </c>
      <c r="J1319" s="25" t="s">
        <v>1</v>
      </c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</row>
    <row r="1320" ht="33.75" customHeight="1">
      <c r="A1320" s="11" t="s">
        <v>1992</v>
      </c>
      <c r="B1320" s="22" t="s">
        <v>37</v>
      </c>
      <c r="C1320" s="11" t="s">
        <v>1993</v>
      </c>
      <c r="D1320" s="11"/>
      <c r="E1320" s="64">
        <v>46069.0</v>
      </c>
      <c r="F1320" s="14" t="s">
        <v>1191</v>
      </c>
      <c r="G1320" s="178">
        <v>1036.0</v>
      </c>
      <c r="H1320" s="16">
        <v>752.0</v>
      </c>
      <c r="I1320" s="17">
        <f t="shared" si="41"/>
        <v>284</v>
      </c>
      <c r="J1320" s="25" t="s">
        <v>1</v>
      </c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</row>
    <row r="1321" ht="33.75" customHeight="1">
      <c r="A1321" s="11" t="s">
        <v>1987</v>
      </c>
      <c r="B1321" s="22" t="s">
        <v>161</v>
      </c>
      <c r="C1321" s="11" t="s">
        <v>1988</v>
      </c>
      <c r="D1321" s="11"/>
      <c r="E1321" s="64">
        <v>46069.0</v>
      </c>
      <c r="F1321" s="14" t="s">
        <v>1141</v>
      </c>
      <c r="G1321" s="178">
        <v>6445.0</v>
      </c>
      <c r="H1321" s="16">
        <v>6120.0</v>
      </c>
      <c r="I1321" s="17">
        <f t="shared" si="41"/>
        <v>325</v>
      </c>
      <c r="J1321" s="25" t="s">
        <v>1</v>
      </c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</row>
    <row r="1322" ht="33.75" customHeight="1">
      <c r="A1322" s="11" t="s">
        <v>1994</v>
      </c>
      <c r="B1322" s="22" t="s">
        <v>1995</v>
      </c>
      <c r="C1322" s="11" t="s">
        <v>1996</v>
      </c>
      <c r="D1322" s="11"/>
      <c r="E1322" s="64">
        <v>46069.0</v>
      </c>
      <c r="F1322" s="14" t="s">
        <v>1141</v>
      </c>
      <c r="G1322" s="178">
        <v>11357.0</v>
      </c>
      <c r="H1322" s="16">
        <v>8855.0</v>
      </c>
      <c r="I1322" s="17">
        <f t="shared" si="41"/>
        <v>2502</v>
      </c>
      <c r="J1322" s="25" t="s">
        <v>1</v>
      </c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</row>
    <row r="1323" ht="33.75" customHeight="1">
      <c r="A1323" s="11" t="s">
        <v>1099</v>
      </c>
      <c r="B1323" s="22" t="s">
        <v>1997</v>
      </c>
      <c r="C1323" s="11" t="s">
        <v>1998</v>
      </c>
      <c r="D1323" s="11"/>
      <c r="E1323" s="64">
        <v>46069.0</v>
      </c>
      <c r="F1323" s="14" t="s">
        <v>17</v>
      </c>
      <c r="G1323" s="178">
        <v>14325.0</v>
      </c>
      <c r="H1323" s="16">
        <v>12799.0</v>
      </c>
      <c r="I1323" s="17">
        <f t="shared" si="41"/>
        <v>1526</v>
      </c>
      <c r="J1323" s="25" t="s">
        <v>1</v>
      </c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</row>
    <row r="1324" ht="33.75" customHeight="1">
      <c r="A1324" s="11" t="s">
        <v>1994</v>
      </c>
      <c r="B1324" s="22"/>
      <c r="C1324" s="11" t="s">
        <v>1996</v>
      </c>
      <c r="D1324" s="11"/>
      <c r="E1324" s="64">
        <v>46069.0</v>
      </c>
      <c r="F1324" s="14" t="s">
        <v>1141</v>
      </c>
      <c r="G1324" s="178">
        <v>58700.0</v>
      </c>
      <c r="H1324" s="16">
        <v>34447.0</v>
      </c>
      <c r="I1324" s="17">
        <f t="shared" si="41"/>
        <v>24253</v>
      </c>
      <c r="J1324" s="25" t="s">
        <v>1</v>
      </c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</row>
    <row r="1325" ht="33.75" customHeight="1">
      <c r="A1325" s="11" t="s">
        <v>1587</v>
      </c>
      <c r="B1325" s="22" t="s">
        <v>49</v>
      </c>
      <c r="C1325" s="11" t="s">
        <v>1999</v>
      </c>
      <c r="D1325" s="11"/>
      <c r="E1325" s="64">
        <v>46070.0</v>
      </c>
      <c r="F1325" s="14" t="s">
        <v>287</v>
      </c>
      <c r="G1325" s="178">
        <v>38500.0</v>
      </c>
      <c r="H1325" s="16">
        <v>30879.0</v>
      </c>
      <c r="I1325" s="17">
        <f t="shared" si="41"/>
        <v>7621</v>
      </c>
      <c r="J1325" s="25" t="s">
        <v>1</v>
      </c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</row>
    <row r="1326" ht="33.75" customHeight="1">
      <c r="A1326" s="11" t="s">
        <v>489</v>
      </c>
      <c r="B1326" s="22" t="s">
        <v>2000</v>
      </c>
      <c r="C1326" s="11" t="s">
        <v>2001</v>
      </c>
      <c r="D1326" s="11"/>
      <c r="E1326" s="64">
        <v>46070.0</v>
      </c>
      <c r="F1326" s="14" t="s">
        <v>26</v>
      </c>
      <c r="G1326" s="178">
        <v>10000.0</v>
      </c>
      <c r="H1326" s="16">
        <v>8624.0</v>
      </c>
      <c r="I1326" s="17">
        <f t="shared" si="41"/>
        <v>1376</v>
      </c>
      <c r="J1326" s="25" t="s">
        <v>1</v>
      </c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</row>
    <row r="1327" ht="33.75" customHeight="1">
      <c r="A1327" s="11" t="s">
        <v>1587</v>
      </c>
      <c r="B1327" s="22" t="s">
        <v>49</v>
      </c>
      <c r="C1327" s="11" t="s">
        <v>2002</v>
      </c>
      <c r="D1327" s="11"/>
      <c r="E1327" s="64">
        <v>46071.0</v>
      </c>
      <c r="F1327" s="14" t="s">
        <v>287</v>
      </c>
      <c r="G1327" s="178">
        <v>62500.0</v>
      </c>
      <c r="H1327" s="16">
        <v>43241.0</v>
      </c>
      <c r="I1327" s="17">
        <f t="shared" si="41"/>
        <v>19259</v>
      </c>
      <c r="J1327" s="25" t="s">
        <v>1</v>
      </c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</row>
    <row r="1328" ht="33.75" customHeight="1">
      <c r="A1328" s="11" t="s">
        <v>1710</v>
      </c>
      <c r="B1328" s="22" t="s">
        <v>85</v>
      </c>
      <c r="C1328" s="11" t="s">
        <v>2003</v>
      </c>
      <c r="D1328" s="11"/>
      <c r="E1328" s="64">
        <v>46071.0</v>
      </c>
      <c r="F1328" s="14" t="s">
        <v>1133</v>
      </c>
      <c r="G1328" s="178">
        <v>5000.0</v>
      </c>
      <c r="H1328" s="16">
        <v>2399.0</v>
      </c>
      <c r="I1328" s="17">
        <f t="shared" si="41"/>
        <v>2601</v>
      </c>
      <c r="J1328" s="25" t="s">
        <v>1</v>
      </c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</row>
    <row r="1329" ht="33.75" customHeight="1">
      <c r="A1329" s="11" t="s">
        <v>1594</v>
      </c>
      <c r="B1329" s="22" t="s">
        <v>85</v>
      </c>
      <c r="C1329" s="11" t="s">
        <v>2003</v>
      </c>
      <c r="D1329" s="11"/>
      <c r="E1329" s="64">
        <v>46071.0</v>
      </c>
      <c r="F1329" s="14" t="s">
        <v>1133</v>
      </c>
      <c r="G1329" s="178">
        <v>5000.0</v>
      </c>
      <c r="H1329" s="16">
        <v>2148.0</v>
      </c>
      <c r="I1329" s="17">
        <f t="shared" si="41"/>
        <v>2852</v>
      </c>
      <c r="J1329" s="25" t="s">
        <v>1</v>
      </c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</row>
    <row r="1330" ht="33.75" customHeight="1">
      <c r="A1330" s="11" t="s">
        <v>2004</v>
      </c>
      <c r="B1330" s="22" t="s">
        <v>85</v>
      </c>
      <c r="C1330" s="11" t="s">
        <v>2003</v>
      </c>
      <c r="D1330" s="11"/>
      <c r="E1330" s="64">
        <v>46071.0</v>
      </c>
      <c r="F1330" s="14" t="s">
        <v>1133</v>
      </c>
      <c r="G1330" s="178">
        <v>8000.0</v>
      </c>
      <c r="H1330" s="16">
        <v>5145.0</v>
      </c>
      <c r="I1330" s="17">
        <f t="shared" si="41"/>
        <v>2855</v>
      </c>
      <c r="J1330" s="25" t="s">
        <v>1</v>
      </c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</row>
    <row r="1331" ht="33.75" customHeight="1">
      <c r="A1331" s="11" t="s">
        <v>1706</v>
      </c>
      <c r="B1331" s="22" t="s">
        <v>85</v>
      </c>
      <c r="C1331" s="11" t="s">
        <v>2003</v>
      </c>
      <c r="D1331" s="11"/>
      <c r="E1331" s="64">
        <v>46071.0</v>
      </c>
      <c r="F1331" s="14" t="s">
        <v>1133</v>
      </c>
      <c r="G1331" s="178">
        <v>10000.0</v>
      </c>
      <c r="H1331" s="16">
        <v>4808.0</v>
      </c>
      <c r="I1331" s="17">
        <f t="shared" si="41"/>
        <v>5192</v>
      </c>
      <c r="J1331" s="25" t="s">
        <v>1</v>
      </c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</row>
    <row r="1332" ht="33.75" customHeight="1">
      <c r="A1332" s="11" t="s">
        <v>1533</v>
      </c>
      <c r="B1332" s="22" t="s">
        <v>85</v>
      </c>
      <c r="C1332" s="11" t="s">
        <v>2005</v>
      </c>
      <c r="D1332" s="11"/>
      <c r="E1332" s="64">
        <v>46071.0</v>
      </c>
      <c r="F1332" s="14" t="s">
        <v>17</v>
      </c>
      <c r="G1332" s="178">
        <v>2583.0</v>
      </c>
      <c r="H1332" s="16">
        <v>1321.0</v>
      </c>
      <c r="I1332" s="17">
        <f t="shared" si="41"/>
        <v>1262</v>
      </c>
      <c r="J1332" s="25" t="s">
        <v>1</v>
      </c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</row>
    <row r="1333" ht="33.75" customHeight="1">
      <c r="A1333" s="11" t="s">
        <v>1587</v>
      </c>
      <c r="B1333" s="22" t="s">
        <v>85</v>
      </c>
      <c r="C1333" s="11" t="s">
        <v>2006</v>
      </c>
      <c r="D1333" s="11"/>
      <c r="E1333" s="64">
        <v>46071.0</v>
      </c>
      <c r="F1333" s="14" t="s">
        <v>287</v>
      </c>
      <c r="G1333" s="178">
        <v>62500.0</v>
      </c>
      <c r="H1333" s="16">
        <v>29308.0</v>
      </c>
      <c r="I1333" s="17">
        <f t="shared" si="41"/>
        <v>33192</v>
      </c>
      <c r="J1333" s="25" t="s">
        <v>1</v>
      </c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</row>
    <row r="1334" ht="33.75" customHeight="1">
      <c r="A1334" s="11" t="s">
        <v>1587</v>
      </c>
      <c r="B1334" s="22" t="s">
        <v>88</v>
      </c>
      <c r="C1334" s="11" t="s">
        <v>2007</v>
      </c>
      <c r="D1334" s="11"/>
      <c r="E1334" s="64">
        <v>46071.0</v>
      </c>
      <c r="F1334" s="14" t="s">
        <v>287</v>
      </c>
      <c r="G1334" s="178">
        <v>62500.0</v>
      </c>
      <c r="H1334" s="16">
        <v>33517.0</v>
      </c>
      <c r="I1334" s="17">
        <f t="shared" si="41"/>
        <v>28983</v>
      </c>
      <c r="J1334" s="25" t="s">
        <v>1</v>
      </c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</row>
    <row r="1335" ht="33.75" customHeight="1">
      <c r="A1335" s="11" t="s">
        <v>210</v>
      </c>
      <c r="B1335" s="22" t="s">
        <v>88</v>
      </c>
      <c r="C1335" s="11" t="s">
        <v>1945</v>
      </c>
      <c r="D1335" s="11"/>
      <c r="E1335" s="64">
        <v>46071.0</v>
      </c>
      <c r="F1335" s="14" t="s">
        <v>17</v>
      </c>
      <c r="G1335" s="178">
        <v>9851.0</v>
      </c>
      <c r="H1335" s="16">
        <v>6093.0</v>
      </c>
      <c r="I1335" s="17">
        <f t="shared" si="41"/>
        <v>3758</v>
      </c>
      <c r="J1335" s="25" t="s">
        <v>1</v>
      </c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</row>
    <row r="1336" ht="33.75" customHeight="1">
      <c r="A1336" s="11" t="s">
        <v>686</v>
      </c>
      <c r="B1336" s="22" t="s">
        <v>31</v>
      </c>
      <c r="C1336" s="11" t="s">
        <v>1966</v>
      </c>
      <c r="D1336" s="11"/>
      <c r="E1336" s="64">
        <v>46071.0</v>
      </c>
      <c r="F1336" s="14" t="s">
        <v>17</v>
      </c>
      <c r="G1336" s="178">
        <v>53104.0</v>
      </c>
      <c r="H1336" s="28"/>
      <c r="I1336" s="17">
        <f t="shared" si="41"/>
        <v>53104</v>
      </c>
      <c r="J1336" s="25" t="s">
        <v>1</v>
      </c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</row>
    <row r="1337" ht="33.75" customHeight="1">
      <c r="A1337" s="11" t="s">
        <v>1587</v>
      </c>
      <c r="B1337" s="22" t="s">
        <v>31</v>
      </c>
      <c r="C1337" s="11" t="s">
        <v>2008</v>
      </c>
      <c r="D1337" s="11"/>
      <c r="E1337" s="64">
        <v>46071.0</v>
      </c>
      <c r="F1337" s="14" t="s">
        <v>287</v>
      </c>
      <c r="G1337" s="178">
        <v>62500.0</v>
      </c>
      <c r="H1337" s="28"/>
      <c r="I1337" s="17">
        <f t="shared" si="41"/>
        <v>62500</v>
      </c>
      <c r="J1337" s="25" t="s">
        <v>1</v>
      </c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</row>
    <row r="1338" ht="33.75" customHeight="1">
      <c r="A1338" s="11" t="s">
        <v>2004</v>
      </c>
      <c r="B1338" s="22" t="s">
        <v>1721</v>
      </c>
      <c r="C1338" s="11" t="s">
        <v>2009</v>
      </c>
      <c r="D1338" s="11"/>
      <c r="E1338" s="14" t="s">
        <v>2010</v>
      </c>
      <c r="F1338" s="14" t="s">
        <v>287</v>
      </c>
      <c r="G1338" s="178">
        <v>8000.0</v>
      </c>
      <c r="H1338" s="16">
        <v>5661.0</v>
      </c>
      <c r="I1338" s="17"/>
      <c r="J1338" s="220" t="s">
        <v>1</v>
      </c>
      <c r="K1338" s="221"/>
      <c r="L1338" s="221"/>
      <c r="M1338" s="221"/>
      <c r="N1338" s="221"/>
      <c r="O1338" s="221"/>
      <c r="P1338" s="221"/>
      <c r="Q1338" s="221"/>
      <c r="R1338" s="221"/>
      <c r="S1338" s="221"/>
      <c r="T1338" s="221"/>
      <c r="U1338" s="221"/>
      <c r="V1338" s="221"/>
      <c r="W1338" s="221"/>
      <c r="X1338" s="221"/>
      <c r="Y1338" s="221"/>
      <c r="Z1338" s="221"/>
    </row>
    <row r="1339" ht="33.75" customHeight="1">
      <c r="A1339" s="11" t="s">
        <v>1987</v>
      </c>
      <c r="B1339" s="22" t="s">
        <v>161</v>
      </c>
      <c r="C1339" s="11" t="s">
        <v>1988</v>
      </c>
      <c r="D1339" s="11"/>
      <c r="E1339" s="64">
        <v>46071.0</v>
      </c>
      <c r="F1339" s="14" t="s">
        <v>17</v>
      </c>
      <c r="G1339" s="178">
        <v>11000.0</v>
      </c>
      <c r="H1339" s="28"/>
      <c r="I1339" s="17">
        <f t="shared" ref="I1339:I1368" si="42">G1339-H1339</f>
        <v>11000</v>
      </c>
      <c r="J1339" s="220" t="s">
        <v>1</v>
      </c>
      <c r="K1339" s="221"/>
      <c r="L1339" s="221"/>
      <c r="M1339" s="221"/>
      <c r="N1339" s="221"/>
      <c r="O1339" s="221"/>
      <c r="P1339" s="221"/>
      <c r="Q1339" s="221"/>
      <c r="R1339" s="221"/>
      <c r="S1339" s="221"/>
      <c r="T1339" s="221"/>
      <c r="U1339" s="221"/>
      <c r="V1339" s="221"/>
      <c r="W1339" s="221"/>
      <c r="X1339" s="221"/>
      <c r="Y1339" s="221"/>
      <c r="Z1339" s="221"/>
    </row>
    <row r="1340" ht="33.75" customHeight="1">
      <c r="A1340" s="11" t="s">
        <v>686</v>
      </c>
      <c r="B1340" s="22" t="s">
        <v>1965</v>
      </c>
      <c r="C1340" s="11" t="s">
        <v>1966</v>
      </c>
      <c r="D1340" s="11"/>
      <c r="E1340" s="64">
        <v>46072.0</v>
      </c>
      <c r="F1340" s="14" t="s">
        <v>17</v>
      </c>
      <c r="G1340" s="178">
        <v>47645.0</v>
      </c>
      <c r="H1340" s="28"/>
      <c r="I1340" s="17">
        <f t="shared" si="42"/>
        <v>47645</v>
      </c>
      <c r="J1340" s="278" t="s">
        <v>1</v>
      </c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</row>
    <row r="1341" ht="33.75" customHeight="1">
      <c r="A1341" s="11" t="s">
        <v>1865</v>
      </c>
      <c r="B1341" s="22" t="s">
        <v>49</v>
      </c>
      <c r="C1341" s="11" t="s">
        <v>1967</v>
      </c>
      <c r="D1341" s="11"/>
      <c r="E1341" s="64">
        <v>46072.0</v>
      </c>
      <c r="F1341" s="14" t="s">
        <v>26</v>
      </c>
      <c r="G1341" s="178">
        <v>24553.0</v>
      </c>
      <c r="H1341" s="28"/>
      <c r="I1341" s="17">
        <f t="shared" si="42"/>
        <v>24553</v>
      </c>
      <c r="J1341" s="278" t="s">
        <v>1</v>
      </c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</row>
    <row r="1342" ht="33.75" customHeight="1">
      <c r="A1342" s="11" t="s">
        <v>1587</v>
      </c>
      <c r="B1342" s="22" t="s">
        <v>1835</v>
      </c>
      <c r="C1342" s="11" t="s">
        <v>2011</v>
      </c>
      <c r="D1342" s="11"/>
      <c r="E1342" s="64">
        <v>46072.0</v>
      </c>
      <c r="F1342" s="14" t="s">
        <v>287</v>
      </c>
      <c r="G1342" s="178">
        <v>27430.0</v>
      </c>
      <c r="H1342" s="28"/>
      <c r="I1342" s="17">
        <f t="shared" si="42"/>
        <v>27430</v>
      </c>
      <c r="J1342" s="278" t="s">
        <v>1</v>
      </c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</row>
    <row r="1343" ht="33.75" customHeight="1">
      <c r="A1343" s="11" t="s">
        <v>28</v>
      </c>
      <c r="B1343" s="22" t="s">
        <v>81</v>
      </c>
      <c r="C1343" s="11" t="s">
        <v>1937</v>
      </c>
      <c r="D1343" s="11"/>
      <c r="E1343" s="64">
        <v>46072.0</v>
      </c>
      <c r="F1343" s="14" t="s">
        <v>17</v>
      </c>
      <c r="G1343" s="178">
        <v>10992.0</v>
      </c>
      <c r="H1343" s="16">
        <v>9245.0</v>
      </c>
      <c r="I1343" s="17">
        <f t="shared" si="42"/>
        <v>1747</v>
      </c>
      <c r="J1343" s="278" t="s">
        <v>1</v>
      </c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</row>
    <row r="1344" ht="33.75" customHeight="1">
      <c r="A1344" s="11" t="s">
        <v>109</v>
      </c>
      <c r="B1344" s="22" t="s">
        <v>2012</v>
      </c>
      <c r="C1344" s="11" t="s">
        <v>2013</v>
      </c>
      <c r="D1344" s="11"/>
      <c r="E1344" s="64">
        <v>46072.0</v>
      </c>
      <c r="F1344" s="14" t="s">
        <v>287</v>
      </c>
      <c r="G1344" s="178">
        <v>1055.0</v>
      </c>
      <c r="H1344" s="16">
        <v>913.0</v>
      </c>
      <c r="I1344" s="17">
        <f t="shared" si="42"/>
        <v>142</v>
      </c>
      <c r="J1344" s="279" t="s">
        <v>1</v>
      </c>
      <c r="K1344" s="280"/>
      <c r="L1344" s="280"/>
      <c r="M1344" s="280"/>
      <c r="N1344" s="280"/>
      <c r="O1344" s="280"/>
      <c r="P1344" s="280"/>
      <c r="Q1344" s="280"/>
      <c r="R1344" s="280"/>
      <c r="S1344" s="280"/>
      <c r="T1344" s="280"/>
      <c r="U1344" s="280"/>
      <c r="V1344" s="280"/>
      <c r="W1344" s="280"/>
      <c r="X1344" s="280"/>
      <c r="Y1344" s="280"/>
      <c r="Z1344" s="280"/>
    </row>
    <row r="1345" ht="33.75" customHeight="1">
      <c r="A1345" s="11" t="s">
        <v>1864</v>
      </c>
      <c r="B1345" s="11" t="s">
        <v>85</v>
      </c>
      <c r="C1345" s="11" t="s">
        <v>2014</v>
      </c>
      <c r="D1345" s="11"/>
      <c r="E1345" s="64">
        <v>46072.0</v>
      </c>
      <c r="F1345" s="11" t="s">
        <v>1141</v>
      </c>
      <c r="G1345" s="11">
        <v>10000.0</v>
      </c>
      <c r="H1345" s="74">
        <v>7453.0</v>
      </c>
      <c r="I1345" s="281">
        <f t="shared" si="42"/>
        <v>2547</v>
      </c>
      <c r="J1345" s="278" t="s">
        <v>1</v>
      </c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</row>
    <row r="1346" ht="33.75" customHeight="1">
      <c r="A1346" s="11" t="s">
        <v>1708</v>
      </c>
      <c r="B1346" s="11" t="s">
        <v>85</v>
      </c>
      <c r="C1346" s="11" t="s">
        <v>2014</v>
      </c>
      <c r="D1346" s="11"/>
      <c r="E1346" s="64">
        <v>46072.0</v>
      </c>
      <c r="F1346" s="11" t="s">
        <v>1141</v>
      </c>
      <c r="G1346" s="11">
        <v>10000.0</v>
      </c>
      <c r="H1346" s="74">
        <v>6719.0</v>
      </c>
      <c r="I1346" s="281">
        <f t="shared" si="42"/>
        <v>3281</v>
      </c>
      <c r="J1346" s="278" t="s">
        <v>1</v>
      </c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</row>
    <row r="1347" ht="33.75" customHeight="1">
      <c r="A1347" s="11" t="s">
        <v>1905</v>
      </c>
      <c r="B1347" s="11" t="s">
        <v>85</v>
      </c>
      <c r="C1347" s="11" t="s">
        <v>2014</v>
      </c>
      <c r="D1347" s="11"/>
      <c r="E1347" s="64">
        <v>46072.0</v>
      </c>
      <c r="F1347" s="11" t="s">
        <v>1141</v>
      </c>
      <c r="G1347" s="11">
        <v>5000.0</v>
      </c>
      <c r="H1347" s="74">
        <v>3246.0</v>
      </c>
      <c r="I1347" s="281">
        <f t="shared" si="42"/>
        <v>1754</v>
      </c>
      <c r="J1347" s="278" t="s">
        <v>1</v>
      </c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</row>
    <row r="1348" ht="33.75" customHeight="1">
      <c r="A1348" s="11" t="s">
        <v>1548</v>
      </c>
      <c r="B1348" s="11" t="s">
        <v>85</v>
      </c>
      <c r="C1348" s="11" t="s">
        <v>2014</v>
      </c>
      <c r="D1348" s="11"/>
      <c r="E1348" s="64">
        <v>46072.0</v>
      </c>
      <c r="F1348" s="11" t="s">
        <v>1141</v>
      </c>
      <c r="G1348" s="11">
        <v>10000.0</v>
      </c>
      <c r="H1348" s="74">
        <v>6254.0</v>
      </c>
      <c r="I1348" s="281">
        <f t="shared" si="42"/>
        <v>3746</v>
      </c>
      <c r="J1348" s="278" t="s">
        <v>1</v>
      </c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</row>
    <row r="1349" ht="33.75" customHeight="1">
      <c r="A1349" s="11" t="s">
        <v>1709</v>
      </c>
      <c r="B1349" s="11" t="s">
        <v>85</v>
      </c>
      <c r="C1349" s="11" t="s">
        <v>2014</v>
      </c>
      <c r="D1349" s="11"/>
      <c r="E1349" s="64">
        <v>46072.0</v>
      </c>
      <c r="F1349" s="11" t="s">
        <v>1141</v>
      </c>
      <c r="G1349" s="11">
        <v>8000.0</v>
      </c>
      <c r="H1349" s="74">
        <v>7249.0</v>
      </c>
      <c r="I1349" s="281">
        <f t="shared" si="42"/>
        <v>751</v>
      </c>
      <c r="J1349" s="278" t="s">
        <v>1</v>
      </c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</row>
    <row r="1350" ht="33.75" customHeight="1">
      <c r="A1350" s="11" t="s">
        <v>475</v>
      </c>
      <c r="B1350" s="11" t="s">
        <v>85</v>
      </c>
      <c r="C1350" s="11" t="s">
        <v>2014</v>
      </c>
      <c r="D1350" s="11"/>
      <c r="E1350" s="64">
        <v>46072.0</v>
      </c>
      <c r="F1350" s="11" t="s">
        <v>1141</v>
      </c>
      <c r="G1350" s="11">
        <v>8000.0</v>
      </c>
      <c r="H1350" s="74">
        <v>6583.0</v>
      </c>
      <c r="I1350" s="281">
        <f t="shared" si="42"/>
        <v>1417</v>
      </c>
      <c r="J1350" s="278" t="s">
        <v>1</v>
      </c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</row>
    <row r="1351" ht="33.75" customHeight="1">
      <c r="A1351" s="11" t="s">
        <v>1587</v>
      </c>
      <c r="B1351" s="22" t="s">
        <v>37</v>
      </c>
      <c r="C1351" s="11" t="s">
        <v>2015</v>
      </c>
      <c r="D1351" s="11"/>
      <c r="E1351" s="64">
        <v>46072.0</v>
      </c>
      <c r="F1351" s="14" t="s">
        <v>287</v>
      </c>
      <c r="G1351" s="178">
        <v>27450.0</v>
      </c>
      <c r="H1351" s="16">
        <v>19235.0</v>
      </c>
      <c r="I1351" s="17">
        <f t="shared" si="42"/>
        <v>8215</v>
      </c>
      <c r="J1351" s="278" t="s">
        <v>1</v>
      </c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</row>
    <row r="1352" ht="33.75" customHeight="1">
      <c r="A1352" s="11" t="s">
        <v>1587</v>
      </c>
      <c r="B1352" s="22" t="s">
        <v>91</v>
      </c>
      <c r="C1352" s="11" t="s">
        <v>2016</v>
      </c>
      <c r="D1352" s="11"/>
      <c r="E1352" s="64">
        <v>46072.0</v>
      </c>
      <c r="F1352" s="14" t="s">
        <v>287</v>
      </c>
      <c r="G1352" s="178">
        <v>27410.0</v>
      </c>
      <c r="H1352" s="16">
        <v>24876.0</v>
      </c>
      <c r="I1352" s="17">
        <f t="shared" si="42"/>
        <v>2534</v>
      </c>
      <c r="J1352" s="278" t="s">
        <v>1</v>
      </c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</row>
    <row r="1353" ht="33.75" customHeight="1">
      <c r="A1353" s="11" t="s">
        <v>210</v>
      </c>
      <c r="B1353" s="22" t="s">
        <v>88</v>
      </c>
      <c r="C1353" s="11" t="s">
        <v>2017</v>
      </c>
      <c r="D1353" s="11"/>
      <c r="E1353" s="64">
        <v>46072.0</v>
      </c>
      <c r="F1353" s="14" t="s">
        <v>17</v>
      </c>
      <c r="G1353" s="178">
        <v>9621.0</v>
      </c>
      <c r="H1353" s="16">
        <v>7754.0</v>
      </c>
      <c r="I1353" s="17">
        <f t="shared" si="42"/>
        <v>1867</v>
      </c>
      <c r="J1353" s="278" t="s">
        <v>1</v>
      </c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</row>
    <row r="1354" ht="33.75" customHeight="1">
      <c r="A1354" s="11" t="s">
        <v>2018</v>
      </c>
      <c r="B1354" s="22" t="s">
        <v>465</v>
      </c>
      <c r="C1354" s="11" t="s">
        <v>2019</v>
      </c>
      <c r="D1354" s="11"/>
      <c r="E1354" s="64">
        <v>46072.0</v>
      </c>
      <c r="F1354" s="14" t="s">
        <v>1141</v>
      </c>
      <c r="G1354" s="178">
        <v>11563.0</v>
      </c>
      <c r="H1354" s="39">
        <v>8818.0</v>
      </c>
      <c r="I1354" s="153">
        <f t="shared" si="42"/>
        <v>2745</v>
      </c>
      <c r="J1354" s="152" t="s">
        <v>1</v>
      </c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</row>
    <row r="1355" ht="33.75" customHeight="1">
      <c r="A1355" s="11" t="s">
        <v>686</v>
      </c>
      <c r="B1355" s="22" t="s">
        <v>31</v>
      </c>
      <c r="C1355" s="11" t="s">
        <v>2020</v>
      </c>
      <c r="D1355" s="11"/>
      <c r="E1355" s="64">
        <v>46072.0</v>
      </c>
      <c r="F1355" s="14" t="s">
        <v>17</v>
      </c>
      <c r="G1355" s="178">
        <v>64080.0</v>
      </c>
      <c r="H1355" s="16">
        <v>27721.0</v>
      </c>
      <c r="I1355" s="17">
        <f t="shared" si="42"/>
        <v>36359</v>
      </c>
      <c r="J1355" s="278" t="s">
        <v>1</v>
      </c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</row>
    <row r="1356" ht="33.75" customHeight="1">
      <c r="A1356" s="11" t="s">
        <v>1587</v>
      </c>
      <c r="B1356" s="22" t="s">
        <v>2021</v>
      </c>
      <c r="C1356" s="11" t="s">
        <v>2022</v>
      </c>
      <c r="D1356" s="11"/>
      <c r="E1356" s="64">
        <v>46072.0</v>
      </c>
      <c r="F1356" s="14" t="s">
        <v>287</v>
      </c>
      <c r="G1356" s="178">
        <v>27413.0</v>
      </c>
      <c r="H1356" s="16">
        <v>22534.0</v>
      </c>
      <c r="I1356" s="148">
        <f t="shared" si="42"/>
        <v>4879</v>
      </c>
      <c r="J1356" s="278" t="s">
        <v>1</v>
      </c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</row>
    <row r="1357" ht="33.75" customHeight="1">
      <c r="A1357" s="11" t="s">
        <v>1314</v>
      </c>
      <c r="B1357" s="22" t="s">
        <v>2023</v>
      </c>
      <c r="C1357" s="11" t="s">
        <v>2024</v>
      </c>
      <c r="D1357" s="11"/>
      <c r="E1357" s="64">
        <v>46072.0</v>
      </c>
      <c r="F1357" s="14" t="s">
        <v>1141</v>
      </c>
      <c r="G1357" s="178">
        <v>1500.0</v>
      </c>
      <c r="H1357" s="39">
        <v>1325.0</v>
      </c>
      <c r="I1357" s="153">
        <f t="shared" si="42"/>
        <v>175</v>
      </c>
      <c r="J1357" s="152" t="s">
        <v>1</v>
      </c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</row>
    <row r="1358" ht="33.75" customHeight="1">
      <c r="A1358" s="11" t="s">
        <v>28</v>
      </c>
      <c r="B1358" s="22" t="s">
        <v>2025</v>
      </c>
      <c r="C1358" s="11" t="s">
        <v>2026</v>
      </c>
      <c r="D1358" s="11"/>
      <c r="E1358" s="64">
        <v>46072.0</v>
      </c>
      <c r="F1358" s="14" t="s">
        <v>17</v>
      </c>
      <c r="G1358" s="178">
        <v>11808.0</v>
      </c>
      <c r="H1358" s="39">
        <v>10984.0</v>
      </c>
      <c r="I1358" s="153">
        <f t="shared" si="42"/>
        <v>824</v>
      </c>
      <c r="J1358" s="152" t="s">
        <v>1</v>
      </c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</row>
    <row r="1359" ht="33.75" customHeight="1">
      <c r="A1359" s="11" t="s">
        <v>489</v>
      </c>
      <c r="B1359" s="22" t="s">
        <v>2027</v>
      </c>
      <c r="C1359" s="11" t="s">
        <v>2001</v>
      </c>
      <c r="D1359" s="11"/>
      <c r="E1359" s="64">
        <v>46072.0</v>
      </c>
      <c r="F1359" s="14" t="s">
        <v>1141</v>
      </c>
      <c r="G1359" s="178">
        <v>19811.0</v>
      </c>
      <c r="H1359" s="16">
        <v>18621.0</v>
      </c>
      <c r="I1359" s="153">
        <f t="shared" si="42"/>
        <v>1190</v>
      </c>
      <c r="J1359" s="152" t="s">
        <v>1</v>
      </c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</row>
    <row r="1360" ht="33.75" customHeight="1">
      <c r="A1360" s="11" t="s">
        <v>2028</v>
      </c>
      <c r="B1360" s="22" t="s">
        <v>34</v>
      </c>
      <c r="C1360" s="11" t="s">
        <v>2029</v>
      </c>
      <c r="D1360" s="11"/>
      <c r="E1360" s="64">
        <v>46072.0</v>
      </c>
      <c r="F1360" s="14" t="s">
        <v>287</v>
      </c>
      <c r="G1360" s="178">
        <v>995.0</v>
      </c>
      <c r="H1360" s="16">
        <v>723.0</v>
      </c>
      <c r="I1360" s="159">
        <f t="shared" si="42"/>
        <v>272</v>
      </c>
      <c r="J1360" s="279" t="s">
        <v>1</v>
      </c>
      <c r="K1360" s="280"/>
      <c r="L1360" s="280"/>
      <c r="M1360" s="280"/>
      <c r="N1360" s="280"/>
      <c r="O1360" s="280"/>
      <c r="P1360" s="280"/>
      <c r="Q1360" s="280"/>
      <c r="R1360" s="280"/>
      <c r="S1360" s="280"/>
      <c r="T1360" s="280"/>
      <c r="U1360" s="280"/>
      <c r="V1360" s="280"/>
      <c r="W1360" s="280"/>
      <c r="X1360" s="280"/>
      <c r="Y1360" s="280"/>
      <c r="Z1360" s="280"/>
    </row>
    <row r="1361" ht="33.75" customHeight="1">
      <c r="A1361" s="11" t="s">
        <v>1987</v>
      </c>
      <c r="B1361" s="22" t="s">
        <v>284</v>
      </c>
      <c r="C1361" s="11" t="s">
        <v>1988</v>
      </c>
      <c r="D1361" s="11"/>
      <c r="E1361" s="64">
        <v>46072.0</v>
      </c>
      <c r="F1361" s="14" t="s">
        <v>287</v>
      </c>
      <c r="G1361" s="178">
        <v>5000.0</v>
      </c>
      <c r="H1361" s="16">
        <v>4387.0</v>
      </c>
      <c r="I1361" s="17">
        <f t="shared" si="42"/>
        <v>613</v>
      </c>
      <c r="J1361" s="279" t="s">
        <v>1</v>
      </c>
      <c r="K1361" s="280"/>
      <c r="L1361" s="280"/>
      <c r="M1361" s="280"/>
      <c r="N1361" s="280"/>
      <c r="O1361" s="280"/>
      <c r="P1361" s="280"/>
      <c r="Q1361" s="280"/>
      <c r="R1361" s="280"/>
      <c r="S1361" s="280"/>
      <c r="T1361" s="280"/>
      <c r="U1361" s="280"/>
      <c r="V1361" s="280"/>
      <c r="W1361" s="280"/>
      <c r="X1361" s="280"/>
      <c r="Y1361" s="280"/>
      <c r="Z1361" s="280"/>
    </row>
    <row r="1362" ht="33.75" customHeight="1">
      <c r="A1362" s="11" t="s">
        <v>686</v>
      </c>
      <c r="B1362" s="22" t="s">
        <v>2030</v>
      </c>
      <c r="C1362" s="11" t="s">
        <v>2031</v>
      </c>
      <c r="D1362" s="11"/>
      <c r="E1362" s="64">
        <v>46072.0</v>
      </c>
      <c r="F1362" s="14" t="s">
        <v>17</v>
      </c>
      <c r="G1362" s="178">
        <v>28423.0</v>
      </c>
      <c r="H1362" s="16">
        <v>24360.0</v>
      </c>
      <c r="I1362" s="17">
        <f t="shared" si="42"/>
        <v>4063</v>
      </c>
      <c r="J1362" s="279" t="s">
        <v>1</v>
      </c>
      <c r="K1362" s="280"/>
      <c r="L1362" s="280"/>
      <c r="M1362" s="280"/>
      <c r="N1362" s="280"/>
      <c r="O1362" s="280"/>
      <c r="P1362" s="280"/>
      <c r="Q1362" s="280"/>
      <c r="R1362" s="280"/>
      <c r="S1362" s="280"/>
      <c r="T1362" s="280"/>
      <c r="U1362" s="280"/>
      <c r="V1362" s="280"/>
      <c r="W1362" s="280"/>
      <c r="X1362" s="280"/>
      <c r="Y1362" s="280"/>
      <c r="Z1362" s="280"/>
    </row>
    <row r="1363" ht="33.75" customHeight="1">
      <c r="A1363" s="11" t="s">
        <v>686</v>
      </c>
      <c r="B1363" s="22" t="s">
        <v>1965</v>
      </c>
      <c r="C1363" s="11" t="s">
        <v>2032</v>
      </c>
      <c r="D1363" s="11"/>
      <c r="E1363" s="64">
        <v>46073.0</v>
      </c>
      <c r="F1363" s="14" t="s">
        <v>17</v>
      </c>
      <c r="G1363" s="15" t="s">
        <v>2033</v>
      </c>
      <c r="H1363" s="16">
        <v>19413.0</v>
      </c>
      <c r="I1363" s="17">
        <f t="shared" si="42"/>
        <v>4166</v>
      </c>
      <c r="J1363" s="279" t="s">
        <v>1</v>
      </c>
      <c r="K1363" s="280"/>
      <c r="L1363" s="280"/>
      <c r="M1363" s="280"/>
      <c r="N1363" s="280"/>
      <c r="O1363" s="280"/>
      <c r="P1363" s="280"/>
      <c r="Q1363" s="280"/>
      <c r="R1363" s="280"/>
      <c r="S1363" s="280"/>
      <c r="T1363" s="280"/>
      <c r="U1363" s="280"/>
      <c r="V1363" s="280"/>
      <c r="W1363" s="280"/>
      <c r="X1363" s="280"/>
      <c r="Y1363" s="280"/>
      <c r="Z1363" s="280"/>
    </row>
    <row r="1364" ht="33.75" customHeight="1">
      <c r="A1364" s="195" t="s">
        <v>1888</v>
      </c>
      <c r="B1364" s="196" t="s">
        <v>49</v>
      </c>
      <c r="C1364" s="195" t="s">
        <v>2034</v>
      </c>
      <c r="D1364" s="195"/>
      <c r="E1364" s="197">
        <v>46073.0</v>
      </c>
      <c r="F1364" s="198" t="s">
        <v>1133</v>
      </c>
      <c r="G1364" s="263">
        <v>16516.0</v>
      </c>
      <c r="H1364" s="282"/>
      <c r="I1364" s="201">
        <f t="shared" si="42"/>
        <v>16516</v>
      </c>
      <c r="J1364" s="283" t="s">
        <v>2035</v>
      </c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</row>
    <row r="1365" ht="33.75" customHeight="1">
      <c r="A1365" s="11" t="s">
        <v>1587</v>
      </c>
      <c r="B1365" s="22" t="s">
        <v>49</v>
      </c>
      <c r="C1365" s="11" t="s">
        <v>2036</v>
      </c>
      <c r="D1365" s="11"/>
      <c r="E1365" s="64">
        <v>46073.0</v>
      </c>
      <c r="F1365" s="14" t="s">
        <v>287</v>
      </c>
      <c r="G1365" s="15" t="s">
        <v>2037</v>
      </c>
      <c r="H1365" s="16">
        <v>25234.0</v>
      </c>
      <c r="I1365" s="17">
        <f t="shared" si="42"/>
        <v>6670</v>
      </c>
      <c r="J1365" s="279" t="s">
        <v>1</v>
      </c>
      <c r="K1365" s="280"/>
      <c r="L1365" s="280"/>
      <c r="M1365" s="280"/>
      <c r="N1365" s="280"/>
      <c r="O1365" s="280"/>
      <c r="P1365" s="280"/>
      <c r="Q1365" s="280"/>
      <c r="R1365" s="280"/>
      <c r="S1365" s="280"/>
      <c r="T1365" s="280"/>
      <c r="U1365" s="280"/>
      <c r="V1365" s="280"/>
      <c r="W1365" s="280"/>
      <c r="X1365" s="280"/>
      <c r="Y1365" s="280"/>
      <c r="Z1365" s="280"/>
    </row>
    <row r="1366" ht="33.75" customHeight="1">
      <c r="A1366" s="11" t="s">
        <v>2038</v>
      </c>
      <c r="B1366" s="22" t="s">
        <v>2039</v>
      </c>
      <c r="C1366" s="11" t="s">
        <v>2040</v>
      </c>
      <c r="D1366" s="11"/>
      <c r="E1366" s="64">
        <v>46073.0</v>
      </c>
      <c r="F1366" s="14" t="s">
        <v>17</v>
      </c>
      <c r="G1366" s="178">
        <v>10863.0</v>
      </c>
      <c r="H1366" s="16">
        <v>8523.0</v>
      </c>
      <c r="I1366" s="17">
        <f t="shared" si="42"/>
        <v>2340</v>
      </c>
      <c r="J1366" s="279" t="s">
        <v>1</v>
      </c>
      <c r="K1366" s="280"/>
      <c r="L1366" s="280"/>
      <c r="M1366" s="280"/>
      <c r="N1366" s="280"/>
      <c r="O1366" s="280"/>
      <c r="P1366" s="280"/>
      <c r="Q1366" s="280"/>
      <c r="R1366" s="280"/>
      <c r="S1366" s="280"/>
      <c r="T1366" s="280"/>
      <c r="U1366" s="280"/>
      <c r="V1366" s="280"/>
      <c r="W1366" s="280"/>
      <c r="X1366" s="280"/>
      <c r="Y1366" s="280"/>
      <c r="Z1366" s="280"/>
    </row>
    <row r="1367" ht="33.75" customHeight="1">
      <c r="A1367" s="11" t="s">
        <v>2038</v>
      </c>
      <c r="B1367" s="22" t="s">
        <v>2039</v>
      </c>
      <c r="C1367" s="11" t="s">
        <v>2040</v>
      </c>
      <c r="D1367" s="11"/>
      <c r="E1367" s="64">
        <v>46073.0</v>
      </c>
      <c r="F1367" s="14" t="s">
        <v>17</v>
      </c>
      <c r="G1367" s="15" t="s">
        <v>2041</v>
      </c>
      <c r="H1367" s="16">
        <v>9325.0</v>
      </c>
      <c r="I1367" s="17">
        <f t="shared" si="42"/>
        <v>1411</v>
      </c>
      <c r="J1367" s="279" t="s">
        <v>1</v>
      </c>
      <c r="K1367" s="280"/>
      <c r="L1367" s="280"/>
      <c r="M1367" s="280"/>
      <c r="N1367" s="280"/>
      <c r="O1367" s="280"/>
      <c r="P1367" s="280"/>
      <c r="Q1367" s="280"/>
      <c r="R1367" s="280"/>
      <c r="S1367" s="280"/>
      <c r="T1367" s="280"/>
      <c r="U1367" s="280"/>
      <c r="V1367" s="280"/>
      <c r="W1367" s="280"/>
      <c r="X1367" s="280"/>
      <c r="Y1367" s="280"/>
      <c r="Z1367" s="280"/>
    </row>
    <row r="1368" ht="33.75" customHeight="1">
      <c r="A1368" s="11" t="s">
        <v>28</v>
      </c>
      <c r="B1368" s="22" t="s">
        <v>81</v>
      </c>
      <c r="C1368" s="11" t="s">
        <v>2026</v>
      </c>
      <c r="D1368" s="11"/>
      <c r="E1368" s="64">
        <v>46073.0</v>
      </c>
      <c r="F1368" s="14" t="s">
        <v>17</v>
      </c>
      <c r="G1368" s="15" t="s">
        <v>336</v>
      </c>
      <c r="H1368" s="16">
        <v>9143.0</v>
      </c>
      <c r="I1368" s="17">
        <f t="shared" si="42"/>
        <v>1857</v>
      </c>
      <c r="J1368" s="279" t="s">
        <v>1</v>
      </c>
      <c r="K1368" s="280"/>
      <c r="L1368" s="280"/>
      <c r="M1368" s="280"/>
      <c r="N1368" s="280"/>
      <c r="O1368" s="280"/>
      <c r="P1368" s="280"/>
      <c r="Q1368" s="280"/>
      <c r="R1368" s="280"/>
      <c r="S1368" s="280"/>
      <c r="T1368" s="280"/>
      <c r="U1368" s="280"/>
      <c r="V1368" s="280"/>
      <c r="W1368" s="280"/>
      <c r="X1368" s="280"/>
      <c r="Y1368" s="280"/>
      <c r="Z1368" s="280"/>
    </row>
    <row r="1369" ht="33.75" customHeight="1">
      <c r="A1369" s="11" t="s">
        <v>109</v>
      </c>
      <c r="B1369" s="22" t="s">
        <v>81</v>
      </c>
      <c r="C1369" s="11" t="s">
        <v>2013</v>
      </c>
      <c r="D1369" s="11"/>
      <c r="E1369" s="64">
        <v>46073.0</v>
      </c>
      <c r="F1369" s="14" t="s">
        <v>287</v>
      </c>
      <c r="G1369" s="15" t="s">
        <v>2042</v>
      </c>
      <c r="H1369" s="16">
        <v>1274.0</v>
      </c>
      <c r="I1369" s="17"/>
      <c r="J1369" s="276" t="s">
        <v>1</v>
      </c>
      <c r="K1369" s="277"/>
      <c r="L1369" s="277"/>
      <c r="M1369" s="277"/>
      <c r="N1369" s="277"/>
      <c r="O1369" s="277"/>
      <c r="P1369" s="277"/>
      <c r="Q1369" s="277"/>
      <c r="R1369" s="277"/>
      <c r="S1369" s="277"/>
      <c r="T1369" s="277"/>
      <c r="U1369" s="277"/>
      <c r="V1369" s="277"/>
      <c r="W1369" s="277"/>
      <c r="X1369" s="277"/>
      <c r="Y1369" s="277"/>
      <c r="Z1369" s="277"/>
    </row>
    <row r="1370" ht="33.75" customHeight="1">
      <c r="A1370" s="11" t="s">
        <v>1587</v>
      </c>
      <c r="B1370" s="22" t="s">
        <v>85</v>
      </c>
      <c r="C1370" s="11" t="s">
        <v>2043</v>
      </c>
      <c r="D1370" s="11"/>
      <c r="E1370" s="64">
        <v>46073.0</v>
      </c>
      <c r="F1370" s="14" t="s">
        <v>287</v>
      </c>
      <c r="G1370" s="178">
        <v>31837.0</v>
      </c>
      <c r="H1370" s="16">
        <v>27412.0</v>
      </c>
      <c r="I1370" s="17">
        <f t="shared" ref="I1370:I1424" si="43">G1370-H1370</f>
        <v>4425</v>
      </c>
      <c r="J1370" s="279" t="s">
        <v>1</v>
      </c>
      <c r="K1370" s="280"/>
      <c r="L1370" s="280"/>
      <c r="M1370" s="280"/>
      <c r="N1370" s="280"/>
      <c r="O1370" s="280"/>
      <c r="P1370" s="280"/>
      <c r="Q1370" s="280"/>
      <c r="R1370" s="280"/>
      <c r="S1370" s="280"/>
      <c r="T1370" s="280"/>
      <c r="U1370" s="280"/>
      <c r="V1370" s="280"/>
      <c r="W1370" s="280"/>
      <c r="X1370" s="280"/>
      <c r="Y1370" s="280"/>
      <c r="Z1370" s="280"/>
    </row>
    <row r="1371" ht="33.75" customHeight="1">
      <c r="A1371" s="11" t="s">
        <v>1587</v>
      </c>
      <c r="B1371" s="22" t="s">
        <v>88</v>
      </c>
      <c r="C1371" s="11" t="s">
        <v>2044</v>
      </c>
      <c r="D1371" s="11"/>
      <c r="E1371" s="64">
        <v>46073.0</v>
      </c>
      <c r="F1371" s="14" t="s">
        <v>287</v>
      </c>
      <c r="G1371" s="178">
        <v>29758.0</v>
      </c>
      <c r="H1371" s="16">
        <v>24052.0</v>
      </c>
      <c r="I1371" s="17">
        <f t="shared" si="43"/>
        <v>5706</v>
      </c>
      <c r="J1371" s="279" t="s">
        <v>1</v>
      </c>
      <c r="K1371" s="280"/>
      <c r="L1371" s="280"/>
      <c r="M1371" s="280"/>
      <c r="N1371" s="280"/>
      <c r="O1371" s="280"/>
      <c r="P1371" s="280"/>
      <c r="Q1371" s="280"/>
      <c r="R1371" s="280"/>
      <c r="S1371" s="280"/>
      <c r="T1371" s="280"/>
      <c r="U1371" s="280"/>
      <c r="V1371" s="280"/>
      <c r="W1371" s="280"/>
      <c r="X1371" s="280"/>
      <c r="Y1371" s="280"/>
      <c r="Z1371" s="280"/>
    </row>
    <row r="1372" ht="33.75" customHeight="1">
      <c r="A1372" s="11" t="s">
        <v>489</v>
      </c>
      <c r="B1372" s="22"/>
      <c r="C1372" s="11" t="s">
        <v>2001</v>
      </c>
      <c r="D1372" s="11"/>
      <c r="E1372" s="64">
        <v>46073.0</v>
      </c>
      <c r="F1372" s="14" t="s">
        <v>1141</v>
      </c>
      <c r="G1372" s="15" t="s">
        <v>2045</v>
      </c>
      <c r="H1372" s="16">
        <v>9125.0</v>
      </c>
      <c r="I1372" s="17">
        <f t="shared" si="43"/>
        <v>763</v>
      </c>
      <c r="J1372" s="17" t="s">
        <v>1</v>
      </c>
      <c r="K1372" s="252"/>
      <c r="L1372" s="252"/>
      <c r="M1372" s="252"/>
      <c r="N1372" s="252"/>
      <c r="O1372" s="252"/>
      <c r="P1372" s="252"/>
      <c r="Q1372" s="252"/>
      <c r="R1372" s="252"/>
      <c r="S1372" s="252"/>
      <c r="T1372" s="252"/>
      <c r="U1372" s="252"/>
      <c r="V1372" s="252"/>
      <c r="W1372" s="252"/>
      <c r="X1372" s="252"/>
      <c r="Y1372" s="252"/>
      <c r="Z1372" s="252"/>
    </row>
    <row r="1373" ht="33.75" customHeight="1">
      <c r="A1373" s="11" t="s">
        <v>2046</v>
      </c>
      <c r="B1373" s="22" t="s">
        <v>85</v>
      </c>
      <c r="C1373" s="11" t="s">
        <v>2047</v>
      </c>
      <c r="D1373" s="11"/>
      <c r="E1373" s="64">
        <v>46073.0</v>
      </c>
      <c r="F1373" s="14" t="s">
        <v>1133</v>
      </c>
      <c r="G1373" s="15">
        <v>10000.0</v>
      </c>
      <c r="H1373" s="16">
        <v>7533.0</v>
      </c>
      <c r="I1373" s="17">
        <f t="shared" si="43"/>
        <v>2467</v>
      </c>
      <c r="J1373" s="17" t="s">
        <v>1</v>
      </c>
      <c r="K1373" s="252"/>
      <c r="L1373" s="252"/>
      <c r="M1373" s="252"/>
      <c r="N1373" s="252"/>
      <c r="O1373" s="252"/>
      <c r="P1373" s="252"/>
      <c r="Q1373" s="252"/>
      <c r="R1373" s="252"/>
      <c r="S1373" s="252"/>
      <c r="T1373" s="252"/>
      <c r="U1373" s="252"/>
      <c r="V1373" s="252"/>
      <c r="W1373" s="252"/>
      <c r="X1373" s="252"/>
      <c r="Y1373" s="252"/>
      <c r="Z1373" s="252"/>
    </row>
    <row r="1374" ht="33.75" customHeight="1">
      <c r="A1374" s="11" t="s">
        <v>2048</v>
      </c>
      <c r="B1374" s="22" t="s">
        <v>85</v>
      </c>
      <c r="C1374" s="11" t="s">
        <v>2047</v>
      </c>
      <c r="D1374" s="11"/>
      <c r="E1374" s="64">
        <v>46073.0</v>
      </c>
      <c r="F1374" s="14" t="s">
        <v>1133</v>
      </c>
      <c r="G1374" s="15">
        <v>10000.0</v>
      </c>
      <c r="H1374" s="16">
        <v>6080.0</v>
      </c>
      <c r="I1374" s="17">
        <f t="shared" si="43"/>
        <v>3920</v>
      </c>
      <c r="J1374" s="17" t="s">
        <v>1</v>
      </c>
      <c r="K1374" s="252"/>
      <c r="L1374" s="252"/>
      <c r="M1374" s="252"/>
      <c r="N1374" s="252"/>
      <c r="O1374" s="252"/>
      <c r="P1374" s="252"/>
      <c r="Q1374" s="252"/>
      <c r="R1374" s="252"/>
      <c r="S1374" s="252"/>
      <c r="T1374" s="252"/>
      <c r="U1374" s="252"/>
      <c r="V1374" s="252"/>
      <c r="W1374" s="252"/>
      <c r="X1374" s="252"/>
      <c r="Y1374" s="252"/>
      <c r="Z1374" s="252"/>
    </row>
    <row r="1375" ht="33.75" customHeight="1">
      <c r="A1375" s="11" t="s">
        <v>2049</v>
      </c>
      <c r="B1375" s="22" t="s">
        <v>85</v>
      </c>
      <c r="C1375" s="11" t="s">
        <v>2047</v>
      </c>
      <c r="D1375" s="11"/>
      <c r="E1375" s="64">
        <v>46073.0</v>
      </c>
      <c r="F1375" s="14" t="s">
        <v>1133</v>
      </c>
      <c r="G1375" s="15">
        <v>10000.0</v>
      </c>
      <c r="H1375" s="16">
        <v>5913.0</v>
      </c>
      <c r="I1375" s="17">
        <f t="shared" si="43"/>
        <v>4087</v>
      </c>
      <c r="J1375" s="17" t="s">
        <v>1</v>
      </c>
      <c r="K1375" s="252"/>
      <c r="L1375" s="252"/>
      <c r="M1375" s="252"/>
      <c r="N1375" s="252"/>
      <c r="O1375" s="252"/>
      <c r="P1375" s="252"/>
      <c r="Q1375" s="252"/>
      <c r="R1375" s="252"/>
      <c r="S1375" s="252"/>
      <c r="T1375" s="252"/>
      <c r="U1375" s="252"/>
      <c r="V1375" s="252"/>
      <c r="W1375" s="252"/>
      <c r="X1375" s="252"/>
      <c r="Y1375" s="252"/>
      <c r="Z1375" s="252"/>
    </row>
    <row r="1376" ht="33.75" customHeight="1">
      <c r="A1376" s="11" t="s">
        <v>1290</v>
      </c>
      <c r="B1376" s="22" t="s">
        <v>85</v>
      </c>
      <c r="C1376" s="11" t="s">
        <v>2047</v>
      </c>
      <c r="D1376" s="11"/>
      <c r="E1376" s="64">
        <v>46073.0</v>
      </c>
      <c r="F1376" s="14" t="s">
        <v>1133</v>
      </c>
      <c r="G1376" s="15">
        <v>10000.0</v>
      </c>
      <c r="H1376" s="16">
        <v>6824.0</v>
      </c>
      <c r="I1376" s="17">
        <f t="shared" si="43"/>
        <v>3176</v>
      </c>
      <c r="J1376" s="17" t="s">
        <v>1</v>
      </c>
      <c r="K1376" s="252"/>
      <c r="L1376" s="252"/>
      <c r="M1376" s="252"/>
      <c r="N1376" s="252"/>
      <c r="O1376" s="252"/>
      <c r="P1376" s="252"/>
      <c r="Q1376" s="252"/>
      <c r="R1376" s="252"/>
      <c r="S1376" s="252"/>
      <c r="T1376" s="252"/>
      <c r="U1376" s="252"/>
      <c r="V1376" s="252"/>
      <c r="W1376" s="252"/>
      <c r="X1376" s="252"/>
      <c r="Y1376" s="252"/>
      <c r="Z1376" s="252"/>
    </row>
    <row r="1377" ht="33.75" customHeight="1">
      <c r="A1377" s="11" t="s">
        <v>1710</v>
      </c>
      <c r="B1377" s="22" t="s">
        <v>85</v>
      </c>
      <c r="C1377" s="11" t="s">
        <v>2047</v>
      </c>
      <c r="D1377" s="11"/>
      <c r="E1377" s="64">
        <v>46073.0</v>
      </c>
      <c r="F1377" s="14" t="s">
        <v>1133</v>
      </c>
      <c r="G1377" s="15">
        <v>5000.0</v>
      </c>
      <c r="H1377" s="16">
        <v>3101.0</v>
      </c>
      <c r="I1377" s="17">
        <f t="shared" si="43"/>
        <v>1899</v>
      </c>
      <c r="J1377" s="17" t="s">
        <v>1</v>
      </c>
      <c r="K1377" s="252"/>
      <c r="L1377" s="252"/>
      <c r="M1377" s="252"/>
      <c r="N1377" s="252"/>
      <c r="O1377" s="252"/>
      <c r="P1377" s="252"/>
      <c r="Q1377" s="252"/>
      <c r="R1377" s="252"/>
      <c r="S1377" s="252"/>
      <c r="T1377" s="252"/>
      <c r="U1377" s="252"/>
      <c r="V1377" s="252"/>
      <c r="W1377" s="252"/>
      <c r="X1377" s="252"/>
      <c r="Y1377" s="252"/>
      <c r="Z1377" s="252"/>
    </row>
    <row r="1378" ht="33.75" customHeight="1">
      <c r="A1378" s="11" t="s">
        <v>1594</v>
      </c>
      <c r="B1378" s="22" t="s">
        <v>85</v>
      </c>
      <c r="C1378" s="11" t="s">
        <v>2047</v>
      </c>
      <c r="D1378" s="11"/>
      <c r="E1378" s="64">
        <v>46073.0</v>
      </c>
      <c r="F1378" s="14" t="s">
        <v>1133</v>
      </c>
      <c r="G1378" s="15">
        <v>5000.0</v>
      </c>
      <c r="H1378" s="16">
        <v>2037.0</v>
      </c>
      <c r="I1378" s="17">
        <f t="shared" si="43"/>
        <v>2963</v>
      </c>
      <c r="J1378" s="17" t="s">
        <v>1</v>
      </c>
      <c r="K1378" s="252"/>
      <c r="L1378" s="252"/>
      <c r="M1378" s="252"/>
      <c r="N1378" s="252"/>
      <c r="O1378" s="252"/>
      <c r="P1378" s="252"/>
      <c r="Q1378" s="252"/>
      <c r="R1378" s="252"/>
      <c r="S1378" s="252"/>
      <c r="T1378" s="252"/>
      <c r="U1378" s="252"/>
      <c r="V1378" s="252"/>
      <c r="W1378" s="252"/>
      <c r="X1378" s="252"/>
      <c r="Y1378" s="252"/>
      <c r="Z1378" s="252"/>
    </row>
    <row r="1379" ht="33.75" customHeight="1">
      <c r="A1379" s="11" t="s">
        <v>2050</v>
      </c>
      <c r="B1379" s="22" t="s">
        <v>85</v>
      </c>
      <c r="C1379" s="11" t="s">
        <v>2051</v>
      </c>
      <c r="D1379" s="11"/>
      <c r="E1379" s="64">
        <v>46073.0</v>
      </c>
      <c r="F1379" s="14" t="s">
        <v>1133</v>
      </c>
      <c r="G1379" s="15">
        <v>5000.0</v>
      </c>
      <c r="H1379" s="16">
        <v>3972.0</v>
      </c>
      <c r="I1379" s="17">
        <f t="shared" si="43"/>
        <v>1028</v>
      </c>
      <c r="J1379" s="17" t="s">
        <v>1</v>
      </c>
      <c r="K1379" s="252"/>
      <c r="L1379" s="252"/>
      <c r="M1379" s="252"/>
      <c r="N1379" s="252"/>
      <c r="O1379" s="252"/>
      <c r="P1379" s="252"/>
      <c r="Q1379" s="252"/>
      <c r="R1379" s="252"/>
      <c r="S1379" s="252"/>
      <c r="T1379" s="252"/>
      <c r="U1379" s="252"/>
      <c r="V1379" s="252"/>
      <c r="W1379" s="252"/>
      <c r="X1379" s="252"/>
      <c r="Y1379" s="252"/>
      <c r="Z1379" s="252"/>
    </row>
    <row r="1380" ht="33.75" customHeight="1">
      <c r="A1380" s="11" t="s">
        <v>2052</v>
      </c>
      <c r="B1380" s="22" t="s">
        <v>85</v>
      </c>
      <c r="C1380" s="11" t="s">
        <v>2051</v>
      </c>
      <c r="D1380" s="11"/>
      <c r="E1380" s="64">
        <v>46073.0</v>
      </c>
      <c r="F1380" s="14" t="s">
        <v>1133</v>
      </c>
      <c r="G1380" s="15">
        <v>10000.0</v>
      </c>
      <c r="H1380" s="16">
        <v>8046.0</v>
      </c>
      <c r="I1380" s="17">
        <f t="shared" si="43"/>
        <v>1954</v>
      </c>
      <c r="J1380" s="17" t="s">
        <v>1</v>
      </c>
      <c r="K1380" s="252"/>
      <c r="L1380" s="252"/>
      <c r="M1380" s="252"/>
      <c r="N1380" s="252"/>
      <c r="O1380" s="252"/>
      <c r="P1380" s="252"/>
      <c r="Q1380" s="252"/>
      <c r="R1380" s="252"/>
      <c r="S1380" s="252"/>
      <c r="T1380" s="252"/>
      <c r="U1380" s="252"/>
      <c r="V1380" s="252"/>
      <c r="W1380" s="252"/>
      <c r="X1380" s="252"/>
      <c r="Y1380" s="252"/>
      <c r="Z1380" s="252"/>
    </row>
    <row r="1381" ht="33.75" customHeight="1">
      <c r="A1381" s="11" t="s">
        <v>1863</v>
      </c>
      <c r="B1381" s="22" t="s">
        <v>85</v>
      </c>
      <c r="C1381" s="11" t="s">
        <v>2051</v>
      </c>
      <c r="D1381" s="11"/>
      <c r="E1381" s="64">
        <v>46073.0</v>
      </c>
      <c r="F1381" s="14" t="s">
        <v>1133</v>
      </c>
      <c r="G1381" s="15">
        <v>10000.0</v>
      </c>
      <c r="H1381" s="16">
        <v>3415.0</v>
      </c>
      <c r="I1381" s="17">
        <f t="shared" si="43"/>
        <v>6585</v>
      </c>
      <c r="J1381" s="17" t="s">
        <v>1</v>
      </c>
      <c r="K1381" s="252"/>
      <c r="L1381" s="252"/>
      <c r="M1381" s="252"/>
      <c r="N1381" s="252"/>
      <c r="O1381" s="252"/>
      <c r="P1381" s="252"/>
      <c r="Q1381" s="252"/>
      <c r="R1381" s="252"/>
      <c r="S1381" s="252"/>
      <c r="T1381" s="252"/>
      <c r="U1381" s="252"/>
      <c r="V1381" s="252"/>
      <c r="W1381" s="252"/>
      <c r="X1381" s="252"/>
      <c r="Y1381" s="252"/>
      <c r="Z1381" s="252"/>
    </row>
    <row r="1382" ht="33.75" customHeight="1">
      <c r="A1382" s="11" t="s">
        <v>574</v>
      </c>
      <c r="B1382" s="22" t="s">
        <v>85</v>
      </c>
      <c r="C1382" s="11" t="s">
        <v>2051</v>
      </c>
      <c r="D1382" s="11"/>
      <c r="E1382" s="64">
        <v>46073.0</v>
      </c>
      <c r="F1382" s="14" t="s">
        <v>1133</v>
      </c>
      <c r="G1382" s="15">
        <v>10000.0</v>
      </c>
      <c r="H1382" s="16">
        <v>5882.0</v>
      </c>
      <c r="I1382" s="17">
        <f t="shared" si="43"/>
        <v>4118</v>
      </c>
      <c r="J1382" s="17" t="s">
        <v>1</v>
      </c>
      <c r="K1382" s="252"/>
      <c r="L1382" s="252"/>
      <c r="M1382" s="252"/>
      <c r="N1382" s="252"/>
      <c r="O1382" s="252"/>
      <c r="P1382" s="252"/>
      <c r="Q1382" s="252"/>
      <c r="R1382" s="252"/>
      <c r="S1382" s="252"/>
      <c r="T1382" s="252"/>
      <c r="U1382" s="252"/>
      <c r="V1382" s="252"/>
      <c r="W1382" s="252"/>
      <c r="X1382" s="252"/>
      <c r="Y1382" s="252"/>
      <c r="Z1382" s="252"/>
    </row>
    <row r="1383" ht="33.75" customHeight="1">
      <c r="A1383" s="11" t="s">
        <v>2004</v>
      </c>
      <c r="B1383" s="22" t="s">
        <v>85</v>
      </c>
      <c r="C1383" s="11" t="s">
        <v>2051</v>
      </c>
      <c r="D1383" s="11"/>
      <c r="E1383" s="64">
        <v>46073.0</v>
      </c>
      <c r="F1383" s="14" t="s">
        <v>1133</v>
      </c>
      <c r="G1383" s="15">
        <v>5000.0</v>
      </c>
      <c r="H1383" s="16">
        <v>4714.0</v>
      </c>
      <c r="I1383" s="17">
        <f t="shared" si="43"/>
        <v>286</v>
      </c>
      <c r="J1383" s="17" t="s">
        <v>1</v>
      </c>
      <c r="K1383" s="252"/>
      <c r="L1383" s="252"/>
      <c r="M1383" s="252"/>
      <c r="N1383" s="252"/>
      <c r="O1383" s="252"/>
      <c r="P1383" s="252"/>
      <c r="Q1383" s="252"/>
      <c r="R1383" s="252"/>
      <c r="S1383" s="252"/>
      <c r="T1383" s="252"/>
      <c r="U1383" s="252"/>
      <c r="V1383" s="252"/>
      <c r="W1383" s="252"/>
      <c r="X1383" s="252"/>
      <c r="Y1383" s="252"/>
      <c r="Z1383" s="252"/>
    </row>
    <row r="1384" ht="33.75" customHeight="1">
      <c r="A1384" s="11" t="s">
        <v>1587</v>
      </c>
      <c r="B1384" s="22" t="s">
        <v>31</v>
      </c>
      <c r="C1384" s="11" t="s">
        <v>2016</v>
      </c>
      <c r="D1384" s="11"/>
      <c r="E1384" s="64">
        <v>46073.0</v>
      </c>
      <c r="F1384" s="14" t="s">
        <v>287</v>
      </c>
      <c r="G1384" s="178">
        <v>29758.0</v>
      </c>
      <c r="H1384" s="16">
        <v>25912.0</v>
      </c>
      <c r="I1384" s="17">
        <f t="shared" si="43"/>
        <v>3846</v>
      </c>
      <c r="J1384" s="279" t="s">
        <v>1</v>
      </c>
      <c r="K1384" s="280"/>
      <c r="L1384" s="280"/>
      <c r="M1384" s="280"/>
      <c r="N1384" s="280"/>
      <c r="O1384" s="280"/>
      <c r="P1384" s="280"/>
      <c r="Q1384" s="280"/>
      <c r="R1384" s="280"/>
      <c r="S1384" s="280"/>
      <c r="T1384" s="280"/>
      <c r="U1384" s="280"/>
      <c r="V1384" s="280"/>
      <c r="W1384" s="280"/>
      <c r="X1384" s="280"/>
      <c r="Y1384" s="280"/>
      <c r="Z1384" s="280"/>
    </row>
    <row r="1385" ht="33.75" customHeight="1">
      <c r="A1385" s="11" t="s">
        <v>686</v>
      </c>
      <c r="B1385" s="22" t="s">
        <v>31</v>
      </c>
      <c r="C1385" s="11" t="s">
        <v>2032</v>
      </c>
      <c r="D1385" s="11"/>
      <c r="E1385" s="64">
        <v>46073.0</v>
      </c>
      <c r="F1385" s="14" t="s">
        <v>17</v>
      </c>
      <c r="G1385" s="178">
        <v>75641.0</v>
      </c>
      <c r="H1385" s="16">
        <v>65000.0</v>
      </c>
      <c r="I1385" s="17">
        <f t="shared" si="43"/>
        <v>10641</v>
      </c>
      <c r="J1385" s="279" t="s">
        <v>1</v>
      </c>
      <c r="K1385" s="280"/>
      <c r="L1385" s="280"/>
      <c r="M1385" s="280"/>
      <c r="N1385" s="280"/>
      <c r="O1385" s="280"/>
      <c r="P1385" s="280"/>
      <c r="Q1385" s="280"/>
      <c r="R1385" s="280"/>
      <c r="S1385" s="280"/>
      <c r="T1385" s="280"/>
      <c r="U1385" s="280"/>
      <c r="V1385" s="280"/>
      <c r="W1385" s="280"/>
      <c r="X1385" s="280"/>
      <c r="Y1385" s="280"/>
      <c r="Z1385" s="280"/>
    </row>
    <row r="1386" ht="33.75" customHeight="1">
      <c r="A1386" s="11" t="s">
        <v>469</v>
      </c>
      <c r="B1386" s="22" t="s">
        <v>31</v>
      </c>
      <c r="C1386" s="11" t="s">
        <v>2053</v>
      </c>
      <c r="D1386" s="11"/>
      <c r="E1386" s="64">
        <v>46073.0</v>
      </c>
      <c r="F1386" s="14" t="s">
        <v>1141</v>
      </c>
      <c r="G1386" s="178">
        <v>10000.0</v>
      </c>
      <c r="H1386" s="16">
        <v>8231.0</v>
      </c>
      <c r="I1386" s="17">
        <f t="shared" si="43"/>
        <v>1769</v>
      </c>
      <c r="J1386" s="148" t="s">
        <v>1</v>
      </c>
      <c r="K1386" s="252"/>
      <c r="L1386" s="252"/>
      <c r="M1386" s="252"/>
      <c r="N1386" s="252"/>
      <c r="O1386" s="252"/>
      <c r="P1386" s="252"/>
      <c r="Q1386" s="252"/>
      <c r="R1386" s="252"/>
      <c r="S1386" s="252"/>
      <c r="T1386" s="252"/>
      <c r="U1386" s="252"/>
      <c r="V1386" s="252"/>
      <c r="W1386" s="252"/>
      <c r="X1386" s="252"/>
      <c r="Y1386" s="252"/>
      <c r="Z1386" s="252"/>
    </row>
    <row r="1387" ht="33.75" customHeight="1">
      <c r="A1387" s="11" t="s">
        <v>28</v>
      </c>
      <c r="B1387" s="22" t="s">
        <v>2054</v>
      </c>
      <c r="C1387" s="11" t="s">
        <v>2055</v>
      </c>
      <c r="D1387" s="11"/>
      <c r="E1387" s="64">
        <v>46073.0</v>
      </c>
      <c r="F1387" s="14" t="s">
        <v>17</v>
      </c>
      <c r="G1387" s="178">
        <v>11000.0</v>
      </c>
      <c r="H1387" s="16">
        <v>10885.0</v>
      </c>
      <c r="I1387" s="17">
        <f t="shared" si="43"/>
        <v>115</v>
      </c>
      <c r="J1387" s="34" t="s">
        <v>1</v>
      </c>
      <c r="K1387" s="35"/>
      <c r="L1387" s="35"/>
      <c r="M1387" s="35"/>
      <c r="N1387" s="35"/>
      <c r="O1387" s="35"/>
      <c r="P1387" s="35"/>
      <c r="Q1387" s="35"/>
      <c r="R1387" s="35"/>
      <c r="S1387" s="35"/>
      <c r="T1387" s="35"/>
      <c r="U1387" s="35"/>
      <c r="V1387" s="35"/>
      <c r="W1387" s="35"/>
      <c r="X1387" s="35"/>
      <c r="Y1387" s="35"/>
      <c r="Z1387" s="35"/>
    </row>
    <row r="1388" ht="33.75" customHeight="1">
      <c r="A1388" s="11" t="s">
        <v>2018</v>
      </c>
      <c r="B1388" s="11"/>
      <c r="C1388" s="11" t="s">
        <v>2019</v>
      </c>
      <c r="D1388" s="11"/>
      <c r="E1388" s="64">
        <v>46073.0</v>
      </c>
      <c r="F1388" s="11" t="s">
        <v>1141</v>
      </c>
      <c r="G1388" s="11" t="s">
        <v>2056</v>
      </c>
      <c r="H1388" s="74">
        <v>7261.0</v>
      </c>
      <c r="I1388" s="74">
        <f t="shared" si="43"/>
        <v>1733</v>
      </c>
      <c r="J1388" s="77" t="s">
        <v>1</v>
      </c>
      <c r="K1388" s="35"/>
      <c r="L1388" s="35"/>
      <c r="M1388" s="35"/>
      <c r="N1388" s="35"/>
      <c r="O1388" s="35"/>
      <c r="P1388" s="35"/>
      <c r="Q1388" s="35"/>
      <c r="R1388" s="35"/>
      <c r="S1388" s="35"/>
      <c r="T1388" s="35"/>
      <c r="U1388" s="35"/>
      <c r="V1388" s="35"/>
      <c r="W1388" s="35"/>
      <c r="X1388" s="35"/>
      <c r="Y1388" s="35"/>
      <c r="Z1388" s="35"/>
    </row>
    <row r="1389" ht="33.75" customHeight="1">
      <c r="A1389" s="11" t="s">
        <v>752</v>
      </c>
      <c r="B1389" s="285">
        <v>0.5833333333333334</v>
      </c>
      <c r="C1389" s="11" t="s">
        <v>2057</v>
      </c>
      <c r="D1389" s="11"/>
      <c r="E1389" s="64">
        <v>46073.0</v>
      </c>
      <c r="F1389" s="11" t="s">
        <v>1141</v>
      </c>
      <c r="G1389" s="11" t="s">
        <v>2058</v>
      </c>
      <c r="H1389" s="74">
        <v>4494.0</v>
      </c>
      <c r="I1389" s="74">
        <f t="shared" si="43"/>
        <v>446</v>
      </c>
      <c r="J1389" s="11" t="s">
        <v>1</v>
      </c>
      <c r="K1389" s="35"/>
      <c r="L1389" s="35"/>
      <c r="M1389" s="35"/>
      <c r="N1389" s="35"/>
      <c r="O1389" s="35"/>
      <c r="P1389" s="35"/>
      <c r="Q1389" s="35"/>
      <c r="R1389" s="35"/>
      <c r="S1389" s="35"/>
      <c r="T1389" s="35"/>
      <c r="U1389" s="35"/>
      <c r="V1389" s="35"/>
      <c r="W1389" s="35"/>
      <c r="X1389" s="35"/>
      <c r="Y1389" s="35"/>
      <c r="Z1389" s="35"/>
    </row>
    <row r="1390" ht="33.75" customHeight="1">
      <c r="A1390" s="11" t="s">
        <v>1983</v>
      </c>
      <c r="B1390" s="285">
        <v>0.6180555555555556</v>
      </c>
      <c r="C1390" s="11" t="s">
        <v>2059</v>
      </c>
      <c r="D1390" s="11"/>
      <c r="E1390" s="11">
        <v>46073.0</v>
      </c>
      <c r="F1390" s="11" t="s">
        <v>1141</v>
      </c>
      <c r="G1390" s="286">
        <v>19032.0</v>
      </c>
      <c r="H1390" s="74">
        <v>15527.0</v>
      </c>
      <c r="I1390" s="286">
        <f t="shared" si="43"/>
        <v>3505</v>
      </c>
      <c r="J1390" s="11" t="s">
        <v>1</v>
      </c>
      <c r="K1390" s="35"/>
      <c r="L1390" s="35"/>
      <c r="M1390" s="35"/>
      <c r="N1390" s="35"/>
      <c r="O1390" s="35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</row>
    <row r="1391" ht="33.75" customHeight="1">
      <c r="A1391" s="11" t="s">
        <v>2060</v>
      </c>
      <c r="B1391" s="22" t="s">
        <v>34</v>
      </c>
      <c r="C1391" s="11" t="s">
        <v>2061</v>
      </c>
      <c r="D1391" s="11"/>
      <c r="E1391" s="64">
        <v>46073.0</v>
      </c>
      <c r="F1391" s="14" t="s">
        <v>287</v>
      </c>
      <c r="G1391" s="178">
        <v>20000.0</v>
      </c>
      <c r="H1391" s="16">
        <v>16021.0</v>
      </c>
      <c r="I1391" s="17">
        <f t="shared" si="43"/>
        <v>3979</v>
      </c>
      <c r="J1391" s="287" t="s">
        <v>1</v>
      </c>
      <c r="K1391" s="280"/>
      <c r="L1391" s="280"/>
      <c r="M1391" s="280"/>
      <c r="N1391" s="280"/>
      <c r="O1391" s="280"/>
      <c r="P1391" s="280"/>
      <c r="Q1391" s="280"/>
      <c r="R1391" s="280"/>
      <c r="S1391" s="280"/>
      <c r="T1391" s="280"/>
      <c r="U1391" s="280"/>
      <c r="V1391" s="280"/>
      <c r="W1391" s="280"/>
      <c r="X1391" s="280"/>
      <c r="Y1391" s="280"/>
      <c r="Z1391" s="280"/>
    </row>
    <row r="1392" ht="33.75" customHeight="1">
      <c r="A1392" s="11" t="s">
        <v>1352</v>
      </c>
      <c r="B1392" s="22" t="s">
        <v>15</v>
      </c>
      <c r="C1392" s="11" t="s">
        <v>2062</v>
      </c>
      <c r="D1392" s="11"/>
      <c r="E1392" s="64">
        <v>46073.0</v>
      </c>
      <c r="F1392" s="14" t="s">
        <v>1133</v>
      </c>
      <c r="G1392" s="178">
        <v>30004.0</v>
      </c>
      <c r="H1392" s="16">
        <v>26727.0</v>
      </c>
      <c r="I1392" s="17">
        <f t="shared" si="43"/>
        <v>3277</v>
      </c>
      <c r="J1392" s="34" t="s">
        <v>1</v>
      </c>
      <c r="K1392" s="35"/>
      <c r="L1392" s="35"/>
      <c r="M1392" s="35"/>
      <c r="N1392" s="35"/>
      <c r="O1392" s="35"/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5"/>
    </row>
    <row r="1393" ht="33.75" customHeight="1">
      <c r="A1393" s="50" t="s">
        <v>686</v>
      </c>
      <c r="B1393" s="51" t="s">
        <v>15</v>
      </c>
      <c r="C1393" s="50" t="s">
        <v>2032</v>
      </c>
      <c r="D1393" s="50"/>
      <c r="E1393" s="62">
        <v>46073.0</v>
      </c>
      <c r="F1393" s="52" t="s">
        <v>17</v>
      </c>
      <c r="G1393" s="288"/>
      <c r="H1393" s="54">
        <v>12574.0</v>
      </c>
      <c r="I1393" s="55">
        <f t="shared" si="43"/>
        <v>-12574</v>
      </c>
      <c r="J1393" s="34" t="s">
        <v>1</v>
      </c>
      <c r="K1393" s="35"/>
      <c r="L1393" s="35"/>
      <c r="M1393" s="35"/>
      <c r="N1393" s="35"/>
      <c r="O1393" s="35"/>
      <c r="P1393" s="35"/>
      <c r="Q1393" s="35"/>
      <c r="R1393" s="35"/>
      <c r="S1393" s="35"/>
      <c r="T1393" s="35"/>
      <c r="U1393" s="35"/>
      <c r="V1393" s="35"/>
      <c r="W1393" s="35"/>
      <c r="X1393" s="35"/>
      <c r="Y1393" s="35"/>
      <c r="Z1393" s="35"/>
    </row>
    <row r="1394" ht="33.75" customHeight="1">
      <c r="A1394" s="11" t="s">
        <v>469</v>
      </c>
      <c r="B1394" s="22" t="s">
        <v>34</v>
      </c>
      <c r="C1394" s="11" t="s">
        <v>2053</v>
      </c>
      <c r="D1394" s="11"/>
      <c r="E1394" s="64">
        <v>46073.0</v>
      </c>
      <c r="F1394" s="14" t="s">
        <v>1141</v>
      </c>
      <c r="G1394" s="178">
        <v>10673.0</v>
      </c>
      <c r="H1394" s="16">
        <v>9853.0</v>
      </c>
      <c r="I1394" s="17">
        <f t="shared" si="43"/>
        <v>820</v>
      </c>
      <c r="J1394" s="34" t="s">
        <v>1</v>
      </c>
      <c r="K1394" s="35"/>
      <c r="L1394" s="35"/>
      <c r="M1394" s="35"/>
      <c r="N1394" s="35"/>
      <c r="O1394" s="35"/>
      <c r="P1394" s="35"/>
      <c r="Q1394" s="35"/>
      <c r="R1394" s="35"/>
      <c r="S1394" s="35"/>
      <c r="T1394" s="35"/>
      <c r="U1394" s="35"/>
      <c r="V1394" s="35"/>
      <c r="W1394" s="35"/>
      <c r="X1394" s="35"/>
      <c r="Y1394" s="35"/>
      <c r="Z1394" s="35"/>
    </row>
    <row r="1395" ht="33.75" customHeight="1">
      <c r="A1395" s="50" t="s">
        <v>785</v>
      </c>
      <c r="B1395" s="289"/>
      <c r="C1395" s="50" t="s">
        <v>2063</v>
      </c>
      <c r="D1395" s="50"/>
      <c r="E1395" s="62">
        <v>46073.0</v>
      </c>
      <c r="F1395" s="52" t="s">
        <v>17</v>
      </c>
      <c r="G1395" s="53" t="s">
        <v>2064</v>
      </c>
      <c r="H1395" s="54">
        <v>30200.0</v>
      </c>
      <c r="I1395" s="55">
        <f t="shared" si="43"/>
        <v>4566</v>
      </c>
      <c r="J1395" s="34" t="s">
        <v>1</v>
      </c>
      <c r="K1395" s="35"/>
      <c r="L1395" s="35"/>
      <c r="M1395" s="35"/>
      <c r="N1395" s="35"/>
      <c r="O1395" s="35"/>
      <c r="P1395" s="35"/>
      <c r="Q1395" s="35"/>
      <c r="R1395" s="35"/>
      <c r="S1395" s="35"/>
      <c r="T1395" s="35"/>
      <c r="U1395" s="35"/>
      <c r="V1395" s="35"/>
      <c r="W1395" s="35"/>
      <c r="X1395" s="35"/>
      <c r="Y1395" s="35"/>
      <c r="Z1395" s="35"/>
    </row>
    <row r="1396" ht="33.75" customHeight="1">
      <c r="A1396" s="82" t="s">
        <v>539</v>
      </c>
      <c r="B1396" s="290"/>
      <c r="C1396" s="291"/>
      <c r="D1396" s="291"/>
      <c r="E1396" s="292"/>
      <c r="F1396" s="85" t="s">
        <v>1141</v>
      </c>
      <c r="G1396" s="93"/>
      <c r="H1396" s="87"/>
      <c r="I1396" s="88">
        <f t="shared" si="43"/>
        <v>0</v>
      </c>
      <c r="J1396" s="293" t="s">
        <v>1051</v>
      </c>
      <c r="K1396" s="294"/>
      <c r="L1396" s="294"/>
      <c r="M1396" s="294"/>
      <c r="N1396" s="294"/>
      <c r="O1396" s="294"/>
      <c r="P1396" s="294"/>
      <c r="Q1396" s="294"/>
      <c r="R1396" s="294"/>
      <c r="S1396" s="294"/>
      <c r="T1396" s="294"/>
      <c r="U1396" s="294"/>
      <c r="V1396" s="294"/>
      <c r="W1396" s="294"/>
      <c r="X1396" s="294"/>
      <c r="Y1396" s="294"/>
      <c r="Z1396" s="294"/>
    </row>
    <row r="1397" ht="33.75" customHeight="1">
      <c r="A1397" s="11" t="s">
        <v>686</v>
      </c>
      <c r="B1397" s="22" t="s">
        <v>2065</v>
      </c>
      <c r="C1397" s="11" t="s">
        <v>2066</v>
      </c>
      <c r="D1397" s="11"/>
      <c r="E1397" s="64">
        <v>46074.0</v>
      </c>
      <c r="F1397" s="14" t="s">
        <v>17</v>
      </c>
      <c r="G1397" s="178">
        <v>57000.0</v>
      </c>
      <c r="H1397" s="39">
        <v>50722.0</v>
      </c>
      <c r="I1397" s="153">
        <f t="shared" si="43"/>
        <v>6278</v>
      </c>
      <c r="J1397" s="34" t="s">
        <v>1</v>
      </c>
      <c r="K1397" s="35"/>
      <c r="L1397" s="35"/>
      <c r="M1397" s="35"/>
      <c r="N1397" s="35"/>
      <c r="O1397" s="35"/>
      <c r="P1397" s="35"/>
      <c r="Q1397" s="35"/>
      <c r="R1397" s="35"/>
      <c r="S1397" s="35"/>
      <c r="T1397" s="35"/>
      <c r="U1397" s="35"/>
      <c r="V1397" s="35"/>
      <c r="W1397" s="35"/>
      <c r="X1397" s="35"/>
      <c r="Y1397" s="35"/>
      <c r="Z1397" s="35"/>
    </row>
    <row r="1398" ht="33.75" customHeight="1">
      <c r="A1398" s="11" t="s">
        <v>686</v>
      </c>
      <c r="B1398" s="22" t="s">
        <v>2065</v>
      </c>
      <c r="C1398" s="11" t="s">
        <v>2067</v>
      </c>
      <c r="D1398" s="11"/>
      <c r="E1398" s="64">
        <v>46074.0</v>
      </c>
      <c r="F1398" s="14" t="s">
        <v>17</v>
      </c>
      <c r="G1398" s="178">
        <v>57000.0</v>
      </c>
      <c r="H1398" s="39">
        <v>60914.0</v>
      </c>
      <c r="I1398" s="153">
        <f t="shared" si="43"/>
        <v>-3914</v>
      </c>
      <c r="J1398" s="34" t="s">
        <v>1</v>
      </c>
      <c r="K1398" s="35"/>
      <c r="L1398" s="35"/>
      <c r="M1398" s="35"/>
      <c r="N1398" s="35"/>
      <c r="O1398" s="35"/>
      <c r="P1398" s="35"/>
      <c r="Q1398" s="35"/>
      <c r="R1398" s="35"/>
      <c r="S1398" s="35"/>
      <c r="T1398" s="35"/>
      <c r="U1398" s="35"/>
      <c r="V1398" s="35"/>
      <c r="W1398" s="35"/>
      <c r="X1398" s="35"/>
      <c r="Y1398" s="35"/>
      <c r="Z1398" s="35"/>
    </row>
    <row r="1399" ht="33.75" customHeight="1">
      <c r="A1399" s="11" t="s">
        <v>2068</v>
      </c>
      <c r="B1399" s="22" t="s">
        <v>1011</v>
      </c>
      <c r="C1399" s="11" t="s">
        <v>2069</v>
      </c>
      <c r="D1399" s="11"/>
      <c r="E1399" s="64">
        <v>46074.0</v>
      </c>
      <c r="F1399" s="14" t="s">
        <v>1141</v>
      </c>
      <c r="G1399" s="178">
        <v>1001.0</v>
      </c>
      <c r="H1399" s="39">
        <v>925.0</v>
      </c>
      <c r="I1399" s="153">
        <f t="shared" si="43"/>
        <v>76</v>
      </c>
      <c r="J1399" s="34" t="s">
        <v>1</v>
      </c>
      <c r="K1399" s="35"/>
      <c r="L1399" s="35"/>
      <c r="M1399" s="35"/>
      <c r="N1399" s="35"/>
      <c r="O1399" s="35"/>
      <c r="P1399" s="35"/>
      <c r="Q1399" s="35"/>
      <c r="R1399" s="35"/>
      <c r="S1399" s="35"/>
      <c r="T1399" s="35"/>
      <c r="U1399" s="35"/>
      <c r="V1399" s="35"/>
      <c r="W1399" s="35"/>
      <c r="X1399" s="35"/>
      <c r="Y1399" s="35"/>
      <c r="Z1399" s="35"/>
    </row>
    <row r="1400" ht="33.75" customHeight="1">
      <c r="A1400" s="11" t="s">
        <v>28</v>
      </c>
      <c r="B1400" s="22" t="s">
        <v>81</v>
      </c>
      <c r="C1400" s="11" t="s">
        <v>2070</v>
      </c>
      <c r="D1400" s="11"/>
      <c r="E1400" s="64">
        <v>46074.0</v>
      </c>
      <c r="F1400" s="14" t="s">
        <v>17</v>
      </c>
      <c r="G1400" s="178">
        <v>9999.0</v>
      </c>
      <c r="H1400" s="39">
        <v>8271.0</v>
      </c>
      <c r="I1400" s="153">
        <f t="shared" si="43"/>
        <v>1728</v>
      </c>
      <c r="J1400" s="34" t="s">
        <v>1</v>
      </c>
      <c r="K1400" s="35"/>
      <c r="L1400" s="35"/>
      <c r="M1400" s="35"/>
      <c r="N1400" s="35"/>
      <c r="O1400" s="35"/>
      <c r="P1400" s="35"/>
      <c r="Q1400" s="35"/>
      <c r="R1400" s="35"/>
      <c r="S1400" s="35"/>
      <c r="T1400" s="35"/>
      <c r="U1400" s="35"/>
      <c r="V1400" s="35"/>
      <c r="W1400" s="35"/>
      <c r="X1400" s="35"/>
      <c r="Y1400" s="35"/>
      <c r="Z1400" s="35"/>
    </row>
    <row r="1401" ht="33.75" customHeight="1">
      <c r="A1401" s="11" t="s">
        <v>2071</v>
      </c>
      <c r="B1401" s="22" t="s">
        <v>49</v>
      </c>
      <c r="C1401" s="11" t="s">
        <v>2072</v>
      </c>
      <c r="D1401" s="11"/>
      <c r="E1401" s="64">
        <v>46074.0</v>
      </c>
      <c r="F1401" s="14" t="s">
        <v>1133</v>
      </c>
      <c r="G1401" s="178">
        <v>10000.0</v>
      </c>
      <c r="H1401" s="39">
        <v>8280.0</v>
      </c>
      <c r="I1401" s="153">
        <f t="shared" si="43"/>
        <v>1720</v>
      </c>
      <c r="J1401" s="34" t="s">
        <v>1</v>
      </c>
      <c r="K1401" s="35"/>
      <c r="L1401" s="35"/>
      <c r="M1401" s="35"/>
      <c r="N1401" s="35"/>
      <c r="O1401" s="35"/>
      <c r="P1401" s="35"/>
      <c r="Q1401" s="35"/>
      <c r="R1401" s="35"/>
      <c r="S1401" s="35"/>
      <c r="T1401" s="35"/>
      <c r="U1401" s="35"/>
      <c r="V1401" s="35"/>
      <c r="W1401" s="35"/>
      <c r="X1401" s="35"/>
      <c r="Y1401" s="35"/>
      <c r="Z1401" s="35"/>
    </row>
    <row r="1402" ht="33.75" customHeight="1">
      <c r="A1402" s="11" t="s">
        <v>115</v>
      </c>
      <c r="B1402" s="22" t="s">
        <v>49</v>
      </c>
      <c r="C1402" s="11" t="s">
        <v>1928</v>
      </c>
      <c r="D1402" s="11"/>
      <c r="E1402" s="64">
        <v>46074.0</v>
      </c>
      <c r="F1402" s="14" t="s">
        <v>287</v>
      </c>
      <c r="G1402" s="178">
        <v>47813.0</v>
      </c>
      <c r="H1402" s="16">
        <v>35785.0</v>
      </c>
      <c r="I1402" s="159">
        <f t="shared" si="43"/>
        <v>12028</v>
      </c>
      <c r="J1402" s="34" t="s">
        <v>1</v>
      </c>
      <c r="K1402" s="35"/>
      <c r="L1402" s="35"/>
      <c r="M1402" s="35"/>
      <c r="N1402" s="35"/>
      <c r="O1402" s="35"/>
      <c r="P1402" s="35"/>
      <c r="Q1402" s="35"/>
      <c r="R1402" s="35"/>
      <c r="S1402" s="35"/>
      <c r="T1402" s="35"/>
      <c r="U1402" s="35"/>
      <c r="V1402" s="35"/>
      <c r="W1402" s="35"/>
      <c r="X1402" s="35"/>
      <c r="Y1402" s="35"/>
      <c r="Z1402" s="35"/>
    </row>
    <row r="1403" ht="33.75" customHeight="1">
      <c r="A1403" s="11" t="s">
        <v>115</v>
      </c>
      <c r="B1403" s="22" t="s">
        <v>49</v>
      </c>
      <c r="C1403" s="11" t="s">
        <v>1929</v>
      </c>
      <c r="D1403" s="11"/>
      <c r="E1403" s="64">
        <v>46074.0</v>
      </c>
      <c r="F1403" s="14" t="s">
        <v>287</v>
      </c>
      <c r="G1403" s="178">
        <v>47813.0</v>
      </c>
      <c r="H1403" s="16">
        <v>43109.0</v>
      </c>
      <c r="I1403" s="17">
        <f t="shared" si="43"/>
        <v>4704</v>
      </c>
      <c r="J1403" s="34" t="s">
        <v>1</v>
      </c>
      <c r="K1403" s="35"/>
      <c r="L1403" s="35"/>
      <c r="M1403" s="35"/>
      <c r="N1403" s="35"/>
      <c r="O1403" s="35"/>
      <c r="P1403" s="35"/>
      <c r="Q1403" s="35"/>
      <c r="R1403" s="35"/>
      <c r="S1403" s="35"/>
      <c r="T1403" s="35"/>
      <c r="U1403" s="35"/>
      <c r="V1403" s="35"/>
      <c r="W1403" s="35"/>
      <c r="X1403" s="35"/>
      <c r="Y1403" s="35"/>
      <c r="Z1403" s="35"/>
    </row>
    <row r="1404" ht="33.75" customHeight="1">
      <c r="A1404" s="11" t="s">
        <v>115</v>
      </c>
      <c r="B1404" s="22" t="s">
        <v>49</v>
      </c>
      <c r="C1404" s="11" t="s">
        <v>1931</v>
      </c>
      <c r="D1404" s="11"/>
      <c r="E1404" s="64">
        <v>46074.0</v>
      </c>
      <c r="F1404" s="14" t="s">
        <v>287</v>
      </c>
      <c r="G1404" s="178">
        <v>47813.0</v>
      </c>
      <c r="H1404" s="16">
        <v>42636.0</v>
      </c>
      <c r="I1404" s="17">
        <f t="shared" si="43"/>
        <v>5177</v>
      </c>
      <c r="J1404" s="34" t="s">
        <v>1</v>
      </c>
      <c r="K1404" s="35"/>
      <c r="L1404" s="35"/>
      <c r="M1404" s="35"/>
      <c r="N1404" s="35"/>
      <c r="O1404" s="35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</row>
    <row r="1405" ht="33.75" customHeight="1">
      <c r="A1405" s="11" t="s">
        <v>115</v>
      </c>
      <c r="B1405" s="22" t="s">
        <v>49</v>
      </c>
      <c r="C1405" s="11" t="s">
        <v>2073</v>
      </c>
      <c r="D1405" s="11"/>
      <c r="E1405" s="64">
        <v>46074.0</v>
      </c>
      <c r="F1405" s="14" t="s">
        <v>287</v>
      </c>
      <c r="G1405" s="178">
        <v>47813.0</v>
      </c>
      <c r="H1405" s="16">
        <v>44061.0</v>
      </c>
      <c r="I1405" s="17">
        <f t="shared" si="43"/>
        <v>3752</v>
      </c>
      <c r="J1405" s="34" t="s">
        <v>1</v>
      </c>
      <c r="K1405" s="35"/>
      <c r="L1405" s="35"/>
      <c r="M1405" s="35"/>
      <c r="N1405" s="35"/>
      <c r="O1405" s="35"/>
      <c r="P1405" s="35"/>
      <c r="Q1405" s="35"/>
      <c r="R1405" s="35"/>
      <c r="S1405" s="35"/>
      <c r="T1405" s="35"/>
      <c r="U1405" s="35"/>
      <c r="V1405" s="35"/>
      <c r="W1405" s="35"/>
      <c r="X1405" s="35"/>
      <c r="Y1405" s="35"/>
      <c r="Z1405" s="35"/>
    </row>
    <row r="1406" ht="33.75" customHeight="1">
      <c r="A1406" s="11" t="s">
        <v>115</v>
      </c>
      <c r="B1406" s="22" t="s">
        <v>49</v>
      </c>
      <c r="C1406" s="11" t="s">
        <v>2074</v>
      </c>
      <c r="D1406" s="11"/>
      <c r="E1406" s="64">
        <v>46074.0</v>
      </c>
      <c r="F1406" s="14" t="s">
        <v>287</v>
      </c>
      <c r="G1406" s="178">
        <v>47813.0</v>
      </c>
      <c r="H1406" s="16">
        <v>50769.0</v>
      </c>
      <c r="I1406" s="17">
        <f t="shared" si="43"/>
        <v>-2956</v>
      </c>
      <c r="J1406" s="34" t="s">
        <v>1</v>
      </c>
      <c r="K1406" s="35"/>
      <c r="L1406" s="35"/>
      <c r="M1406" s="35"/>
      <c r="N1406" s="35"/>
      <c r="O1406" s="35"/>
      <c r="P1406" s="35"/>
      <c r="Q1406" s="35"/>
      <c r="R1406" s="35"/>
      <c r="S1406" s="35"/>
      <c r="T1406" s="35"/>
      <c r="U1406" s="35"/>
      <c r="V1406" s="35"/>
      <c r="W1406" s="35"/>
      <c r="X1406" s="35"/>
      <c r="Y1406" s="35"/>
      <c r="Z1406" s="35"/>
    </row>
    <row r="1407" ht="33.75" customHeight="1">
      <c r="A1407" s="11" t="s">
        <v>115</v>
      </c>
      <c r="B1407" s="22" t="s">
        <v>49</v>
      </c>
      <c r="C1407" s="11" t="s">
        <v>2075</v>
      </c>
      <c r="D1407" s="11"/>
      <c r="E1407" s="64">
        <v>46074.0</v>
      </c>
      <c r="F1407" s="14" t="s">
        <v>17</v>
      </c>
      <c r="G1407" s="178">
        <v>47813.0</v>
      </c>
      <c r="H1407" s="16">
        <v>26635.0</v>
      </c>
      <c r="I1407" s="17">
        <f t="shared" si="43"/>
        <v>21178</v>
      </c>
      <c r="J1407" s="34" t="s">
        <v>1</v>
      </c>
      <c r="K1407" s="35"/>
      <c r="L1407" s="35"/>
      <c r="M1407" s="35"/>
      <c r="N1407" s="35"/>
      <c r="O1407" s="35"/>
      <c r="P1407" s="35"/>
      <c r="Q1407" s="35"/>
      <c r="R1407" s="35"/>
      <c r="S1407" s="35"/>
      <c r="T1407" s="35"/>
      <c r="U1407" s="35"/>
      <c r="V1407" s="35"/>
      <c r="W1407" s="35"/>
      <c r="X1407" s="35"/>
      <c r="Y1407" s="35"/>
      <c r="Z1407" s="35"/>
    </row>
    <row r="1408" ht="33.75" customHeight="1">
      <c r="A1408" s="11" t="s">
        <v>115</v>
      </c>
      <c r="B1408" s="22" t="s">
        <v>49</v>
      </c>
      <c r="C1408" s="11" t="s">
        <v>2076</v>
      </c>
      <c r="D1408" s="11"/>
      <c r="E1408" s="64">
        <v>46074.0</v>
      </c>
      <c r="F1408" s="14" t="s">
        <v>17</v>
      </c>
      <c r="G1408" s="178">
        <v>47813.0</v>
      </c>
      <c r="H1408" s="16">
        <v>24313.0</v>
      </c>
      <c r="I1408" s="17">
        <f t="shared" si="43"/>
        <v>23500</v>
      </c>
      <c r="J1408" s="34" t="s">
        <v>1</v>
      </c>
      <c r="K1408" s="35"/>
      <c r="L1408" s="35"/>
      <c r="M1408" s="35"/>
      <c r="N1408" s="35"/>
      <c r="O1408" s="35"/>
      <c r="P1408" s="35"/>
      <c r="Q1408" s="35"/>
      <c r="R1408" s="35"/>
      <c r="S1408" s="35"/>
      <c r="T1408" s="35"/>
      <c r="U1408" s="35"/>
      <c r="V1408" s="35"/>
      <c r="W1408" s="35"/>
      <c r="X1408" s="35"/>
      <c r="Y1408" s="35"/>
      <c r="Z1408" s="35"/>
    </row>
    <row r="1409" ht="33.75" customHeight="1">
      <c r="A1409" s="11" t="s">
        <v>228</v>
      </c>
      <c r="B1409" s="22" t="s">
        <v>85</v>
      </c>
      <c r="C1409" s="11" t="s">
        <v>2077</v>
      </c>
      <c r="D1409" s="11"/>
      <c r="E1409" s="64">
        <v>46074.0</v>
      </c>
      <c r="F1409" s="14" t="s">
        <v>1133</v>
      </c>
      <c r="G1409" s="178">
        <v>17000.0</v>
      </c>
      <c r="H1409" s="16">
        <v>16021.0</v>
      </c>
      <c r="I1409" s="17">
        <f t="shared" si="43"/>
        <v>979</v>
      </c>
      <c r="J1409" s="34" t="s">
        <v>1</v>
      </c>
      <c r="K1409" s="35"/>
      <c r="L1409" s="35"/>
      <c r="M1409" s="35"/>
      <c r="N1409" s="35"/>
      <c r="O1409" s="35"/>
      <c r="P1409" s="35"/>
      <c r="Q1409" s="35"/>
      <c r="R1409" s="35"/>
      <c r="S1409" s="35"/>
      <c r="T1409" s="35"/>
      <c r="U1409" s="35"/>
      <c r="V1409" s="35"/>
      <c r="W1409" s="35"/>
      <c r="X1409" s="35"/>
      <c r="Y1409" s="35"/>
      <c r="Z1409" s="35"/>
    </row>
    <row r="1410" ht="33.75" customHeight="1">
      <c r="A1410" s="11" t="s">
        <v>489</v>
      </c>
      <c r="B1410" s="22" t="s">
        <v>1161</v>
      </c>
      <c r="C1410" s="11" t="s">
        <v>2001</v>
      </c>
      <c r="D1410" s="11"/>
      <c r="E1410" s="64">
        <v>46074.0</v>
      </c>
      <c r="F1410" s="14" t="s">
        <v>287</v>
      </c>
      <c r="G1410" s="178" t="s">
        <v>2078</v>
      </c>
      <c r="H1410" s="16">
        <v>8532.0</v>
      </c>
      <c r="I1410" s="17">
        <f t="shared" si="43"/>
        <v>1469</v>
      </c>
      <c r="J1410" s="34" t="s">
        <v>1</v>
      </c>
      <c r="K1410" s="35"/>
      <c r="L1410" s="35"/>
      <c r="M1410" s="35"/>
      <c r="N1410" s="35"/>
      <c r="O1410" s="35"/>
      <c r="P1410" s="35"/>
      <c r="Q1410" s="35"/>
      <c r="R1410" s="35"/>
      <c r="S1410" s="35"/>
      <c r="T1410" s="35"/>
      <c r="U1410" s="35"/>
      <c r="V1410" s="35"/>
      <c r="W1410" s="35"/>
      <c r="X1410" s="35"/>
      <c r="Y1410" s="35"/>
      <c r="Z1410" s="35"/>
    </row>
    <row r="1411" ht="33.75" customHeight="1">
      <c r="A1411" s="11" t="s">
        <v>882</v>
      </c>
      <c r="B1411" s="22" t="s">
        <v>88</v>
      </c>
      <c r="C1411" s="11" t="s">
        <v>2079</v>
      </c>
      <c r="D1411" s="11"/>
      <c r="E1411" s="64">
        <v>46074.0</v>
      </c>
      <c r="F1411" s="14" t="s">
        <v>1141</v>
      </c>
      <c r="G1411" s="178">
        <v>11036.0</v>
      </c>
      <c r="H1411" s="16">
        <v>9180.0</v>
      </c>
      <c r="I1411" s="17">
        <f t="shared" si="43"/>
        <v>1856</v>
      </c>
      <c r="J1411" s="34" t="s">
        <v>1</v>
      </c>
      <c r="K1411" s="35"/>
      <c r="L1411" s="35"/>
      <c r="M1411" s="35"/>
      <c r="N1411" s="35"/>
      <c r="O1411" s="35"/>
      <c r="P1411" s="35"/>
      <c r="Q1411" s="35"/>
      <c r="R1411" s="35"/>
      <c r="S1411" s="35"/>
      <c r="T1411" s="35"/>
      <c r="U1411" s="35"/>
      <c r="V1411" s="35"/>
      <c r="W1411" s="35"/>
      <c r="X1411" s="35"/>
      <c r="Y1411" s="35"/>
      <c r="Z1411" s="35"/>
    </row>
    <row r="1412" ht="33.75" customHeight="1">
      <c r="A1412" s="11" t="s">
        <v>686</v>
      </c>
      <c r="B1412" s="22" t="s">
        <v>31</v>
      </c>
      <c r="C1412" s="11" t="s">
        <v>2067</v>
      </c>
      <c r="D1412" s="11"/>
      <c r="E1412" s="64">
        <v>46074.0</v>
      </c>
      <c r="F1412" s="14" t="s">
        <v>17</v>
      </c>
      <c r="G1412" s="178">
        <v>76827.0</v>
      </c>
      <c r="H1412" s="16">
        <v>60914.0</v>
      </c>
      <c r="I1412" s="17">
        <f t="shared" si="43"/>
        <v>15913</v>
      </c>
      <c r="J1412" s="34" t="s">
        <v>1</v>
      </c>
      <c r="K1412" s="35"/>
      <c r="L1412" s="35"/>
      <c r="M1412" s="35"/>
      <c r="N1412" s="35"/>
      <c r="O1412" s="35"/>
      <c r="P1412" s="35"/>
      <c r="Q1412" s="35"/>
      <c r="R1412" s="35"/>
      <c r="S1412" s="35"/>
      <c r="T1412" s="35"/>
      <c r="U1412" s="35"/>
      <c r="V1412" s="35"/>
      <c r="W1412" s="35"/>
      <c r="X1412" s="35"/>
      <c r="Y1412" s="35"/>
      <c r="Z1412" s="35"/>
    </row>
    <row r="1413" ht="33.75" customHeight="1">
      <c r="A1413" s="11" t="s">
        <v>184</v>
      </c>
      <c r="B1413" s="22" t="s">
        <v>31</v>
      </c>
      <c r="C1413" s="11" t="s">
        <v>1789</v>
      </c>
      <c r="D1413" s="11"/>
      <c r="E1413" s="64">
        <v>46074.0</v>
      </c>
      <c r="F1413" s="14" t="s">
        <v>1133</v>
      </c>
      <c r="G1413" s="178" t="s">
        <v>2080</v>
      </c>
      <c r="H1413" s="16">
        <v>24671.0</v>
      </c>
      <c r="I1413" s="17">
        <f t="shared" si="43"/>
        <v>2329</v>
      </c>
      <c r="J1413" s="34" t="s">
        <v>1</v>
      </c>
      <c r="K1413" s="35"/>
      <c r="L1413" s="35"/>
      <c r="M1413" s="35"/>
      <c r="N1413" s="35"/>
      <c r="O1413" s="35"/>
      <c r="P1413" s="35"/>
      <c r="Q1413" s="35"/>
      <c r="R1413" s="35"/>
      <c r="S1413" s="35"/>
      <c r="T1413" s="35"/>
      <c r="U1413" s="35"/>
      <c r="V1413" s="35"/>
      <c r="W1413" s="35"/>
      <c r="X1413" s="35"/>
      <c r="Y1413" s="35"/>
      <c r="Z1413" s="35"/>
    </row>
    <row r="1414" ht="33.75" customHeight="1">
      <c r="A1414" s="11" t="s">
        <v>2081</v>
      </c>
      <c r="B1414" s="22" t="s">
        <v>120</v>
      </c>
      <c r="C1414" s="11" t="s">
        <v>2082</v>
      </c>
      <c r="D1414" s="11"/>
      <c r="E1414" s="64">
        <v>46074.0</v>
      </c>
      <c r="F1414" s="14" t="s">
        <v>1141</v>
      </c>
      <c r="G1414" s="178" t="s">
        <v>2083</v>
      </c>
      <c r="H1414" s="16">
        <v>8537.0</v>
      </c>
      <c r="I1414" s="17">
        <f t="shared" si="43"/>
        <v>1520</v>
      </c>
      <c r="J1414" s="34" t="s">
        <v>1</v>
      </c>
      <c r="K1414" s="35"/>
      <c r="L1414" s="35"/>
      <c r="M1414" s="35"/>
      <c r="N1414" s="35"/>
      <c r="O1414" s="35"/>
      <c r="P1414" s="35"/>
      <c r="Q1414" s="35"/>
      <c r="R1414" s="35"/>
      <c r="S1414" s="35"/>
      <c r="T1414" s="35"/>
      <c r="U1414" s="35"/>
      <c r="V1414" s="35"/>
      <c r="W1414" s="35"/>
      <c r="X1414" s="35"/>
      <c r="Y1414" s="35"/>
      <c r="Z1414" s="35"/>
    </row>
    <row r="1415" ht="33.75" customHeight="1">
      <c r="A1415" s="11" t="s">
        <v>795</v>
      </c>
      <c r="B1415" s="22" t="s">
        <v>619</v>
      </c>
      <c r="C1415" s="11" t="s">
        <v>2084</v>
      </c>
      <c r="D1415" s="11"/>
      <c r="E1415" s="64">
        <v>46074.0</v>
      </c>
      <c r="F1415" s="14" t="s">
        <v>1141</v>
      </c>
      <c r="G1415" s="178">
        <v>16195.0</v>
      </c>
      <c r="H1415" s="16">
        <v>13682.0</v>
      </c>
      <c r="I1415" s="17">
        <f t="shared" si="43"/>
        <v>2513</v>
      </c>
      <c r="J1415" s="34" t="s">
        <v>1</v>
      </c>
      <c r="K1415" s="35"/>
      <c r="L1415" s="35"/>
      <c r="M1415" s="35"/>
      <c r="N1415" s="35"/>
      <c r="O1415" s="35"/>
      <c r="P1415" s="35"/>
      <c r="Q1415" s="35"/>
      <c r="R1415" s="35"/>
      <c r="S1415" s="35"/>
      <c r="T1415" s="35"/>
      <c r="U1415" s="35"/>
      <c r="V1415" s="35"/>
      <c r="W1415" s="35"/>
      <c r="X1415" s="35"/>
      <c r="Y1415" s="35"/>
      <c r="Z1415" s="35"/>
    </row>
    <row r="1416" ht="33.75" customHeight="1">
      <c r="A1416" s="11" t="s">
        <v>686</v>
      </c>
      <c r="B1416" s="22" t="s">
        <v>2085</v>
      </c>
      <c r="C1416" s="24" t="s">
        <v>2086</v>
      </c>
      <c r="D1416" s="24"/>
      <c r="E1416" s="64">
        <v>46074.0</v>
      </c>
      <c r="F1416" s="14" t="s">
        <v>17</v>
      </c>
      <c r="G1416" s="178">
        <v>76827.0</v>
      </c>
      <c r="H1416" s="16">
        <v>62375.0</v>
      </c>
      <c r="I1416" s="17">
        <f t="shared" si="43"/>
        <v>14452</v>
      </c>
      <c r="J1416" s="34" t="s">
        <v>1</v>
      </c>
      <c r="K1416" s="35"/>
      <c r="L1416" s="35"/>
      <c r="M1416" s="35"/>
      <c r="N1416" s="35"/>
      <c r="O1416" s="35"/>
      <c r="P1416" s="35"/>
      <c r="Q1416" s="35"/>
      <c r="R1416" s="35"/>
      <c r="S1416" s="35"/>
      <c r="T1416" s="35"/>
      <c r="U1416" s="35"/>
      <c r="V1416" s="35"/>
      <c r="W1416" s="35"/>
      <c r="X1416" s="35"/>
      <c r="Y1416" s="35"/>
      <c r="Z1416" s="35"/>
    </row>
    <row r="1417" ht="33.75" customHeight="1">
      <c r="A1417" s="11" t="s">
        <v>1987</v>
      </c>
      <c r="B1417" s="22" t="s">
        <v>161</v>
      </c>
      <c r="C1417" s="11" t="s">
        <v>2087</v>
      </c>
      <c r="D1417" s="11"/>
      <c r="E1417" s="64">
        <v>46074.0</v>
      </c>
      <c r="F1417" s="14" t="s">
        <v>1141</v>
      </c>
      <c r="G1417" s="178" t="s">
        <v>2088</v>
      </c>
      <c r="H1417" s="16">
        <v>9580.0</v>
      </c>
      <c r="I1417" s="17">
        <f t="shared" si="43"/>
        <v>1445</v>
      </c>
      <c r="J1417" s="34" t="s">
        <v>1</v>
      </c>
      <c r="K1417" s="35"/>
      <c r="L1417" s="35"/>
      <c r="M1417" s="35"/>
      <c r="N1417" s="35"/>
      <c r="O1417" s="35"/>
      <c r="P1417" s="35"/>
      <c r="Q1417" s="35"/>
      <c r="R1417" s="35"/>
      <c r="S1417" s="35"/>
      <c r="T1417" s="35"/>
      <c r="U1417" s="35"/>
      <c r="V1417" s="35"/>
      <c r="W1417" s="35"/>
      <c r="X1417" s="35"/>
      <c r="Y1417" s="35"/>
      <c r="Z1417" s="35"/>
    </row>
    <row r="1418" ht="33.75" customHeight="1">
      <c r="A1418" s="11" t="s">
        <v>2089</v>
      </c>
      <c r="B1418" s="22" t="s">
        <v>2090</v>
      </c>
      <c r="C1418" s="11" t="s">
        <v>2091</v>
      </c>
      <c r="D1418" s="11"/>
      <c r="E1418" s="64">
        <v>46074.0</v>
      </c>
      <c r="F1418" s="14" t="s">
        <v>1141</v>
      </c>
      <c r="G1418" s="15" t="s">
        <v>2092</v>
      </c>
      <c r="H1418" s="16">
        <v>1532.0</v>
      </c>
      <c r="I1418" s="17">
        <f t="shared" si="43"/>
        <v>72</v>
      </c>
      <c r="J1418" s="34" t="s">
        <v>1</v>
      </c>
      <c r="K1418" s="35"/>
      <c r="L1418" s="35"/>
      <c r="M1418" s="35"/>
      <c r="N1418" s="35"/>
      <c r="O1418" s="35"/>
      <c r="P1418" s="35"/>
      <c r="Q1418" s="35"/>
      <c r="R1418" s="35"/>
      <c r="S1418" s="35"/>
      <c r="T1418" s="35"/>
      <c r="U1418" s="35"/>
      <c r="V1418" s="35"/>
      <c r="W1418" s="35"/>
      <c r="X1418" s="35"/>
      <c r="Y1418" s="35"/>
      <c r="Z1418" s="35"/>
    </row>
    <row r="1419" ht="33.75" customHeight="1">
      <c r="A1419" s="11" t="s">
        <v>2093</v>
      </c>
      <c r="B1419" s="22" t="s">
        <v>2094</v>
      </c>
      <c r="C1419" s="11" t="s">
        <v>2095</v>
      </c>
      <c r="D1419" s="11"/>
      <c r="E1419" s="64">
        <v>46074.0</v>
      </c>
      <c r="F1419" s="14" t="s">
        <v>17</v>
      </c>
      <c r="G1419" s="15" t="s">
        <v>2096</v>
      </c>
      <c r="H1419" s="16">
        <v>14601.0</v>
      </c>
      <c r="I1419" s="17">
        <f t="shared" si="43"/>
        <v>5505</v>
      </c>
      <c r="J1419" s="34" t="s">
        <v>1</v>
      </c>
      <c r="K1419" s="35"/>
      <c r="L1419" s="35"/>
      <c r="M1419" s="35"/>
      <c r="N1419" s="35"/>
      <c r="O1419" s="35"/>
      <c r="P1419" s="35"/>
      <c r="Q1419" s="35"/>
      <c r="R1419" s="35"/>
      <c r="S1419" s="35"/>
      <c r="T1419" s="35"/>
      <c r="U1419" s="35"/>
      <c r="V1419" s="35"/>
      <c r="W1419" s="35"/>
      <c r="X1419" s="35"/>
      <c r="Y1419" s="35"/>
      <c r="Z1419" s="35"/>
    </row>
    <row r="1420" ht="33.75" customHeight="1">
      <c r="A1420" s="11" t="s">
        <v>837</v>
      </c>
      <c r="B1420" s="22" t="s">
        <v>88</v>
      </c>
      <c r="C1420" s="11" t="s">
        <v>2097</v>
      </c>
      <c r="D1420" s="11"/>
      <c r="E1420" s="64">
        <v>46075.0</v>
      </c>
      <c r="F1420" s="14" t="s">
        <v>1133</v>
      </c>
      <c r="G1420" s="15">
        <v>10453.0</v>
      </c>
      <c r="H1420" s="16">
        <v>9555.0</v>
      </c>
      <c r="I1420" s="17">
        <f t="shared" si="43"/>
        <v>898</v>
      </c>
      <c r="J1420" s="34" t="s">
        <v>1</v>
      </c>
      <c r="K1420" s="35"/>
      <c r="L1420" s="35"/>
      <c r="M1420" s="35"/>
      <c r="N1420" s="35"/>
      <c r="O1420" s="35"/>
      <c r="P1420" s="35"/>
      <c r="Q1420" s="35"/>
      <c r="R1420" s="35"/>
      <c r="S1420" s="35"/>
      <c r="T1420" s="35"/>
      <c r="U1420" s="35"/>
      <c r="V1420" s="35"/>
      <c r="W1420" s="35"/>
      <c r="X1420" s="35"/>
      <c r="Y1420" s="35"/>
      <c r="Z1420" s="35"/>
    </row>
    <row r="1421" ht="33.75" customHeight="1">
      <c r="A1421" s="11" t="s">
        <v>2098</v>
      </c>
      <c r="B1421" s="22" t="s">
        <v>125</v>
      </c>
      <c r="C1421" s="11" t="s">
        <v>2099</v>
      </c>
      <c r="D1421" s="11"/>
      <c r="E1421" s="64">
        <v>46075.0</v>
      </c>
      <c r="F1421" s="14" t="s">
        <v>1133</v>
      </c>
      <c r="G1421" s="15">
        <v>25822.0</v>
      </c>
      <c r="H1421" s="16">
        <v>22767.0</v>
      </c>
      <c r="I1421" s="17">
        <f t="shared" si="43"/>
        <v>3055</v>
      </c>
      <c r="J1421" s="34" t="s">
        <v>1</v>
      </c>
      <c r="K1421" s="35"/>
      <c r="L1421" s="35"/>
      <c r="M1421" s="35"/>
      <c r="N1421" s="35"/>
      <c r="O1421" s="35"/>
      <c r="P1421" s="35"/>
      <c r="Q1421" s="35"/>
      <c r="R1421" s="35"/>
      <c r="S1421" s="35"/>
      <c r="T1421" s="35"/>
      <c r="U1421" s="35"/>
      <c r="V1421" s="35"/>
      <c r="W1421" s="35"/>
      <c r="X1421" s="35"/>
      <c r="Y1421" s="35"/>
      <c r="Z1421" s="35"/>
    </row>
    <row r="1422" ht="33.75" customHeight="1">
      <c r="A1422" s="11" t="s">
        <v>2100</v>
      </c>
      <c r="B1422" s="22" t="s">
        <v>2101</v>
      </c>
      <c r="C1422" s="11" t="s">
        <v>2102</v>
      </c>
      <c r="D1422" s="11"/>
      <c r="E1422" s="64">
        <v>46075.0</v>
      </c>
      <c r="F1422" s="14" t="s">
        <v>287</v>
      </c>
      <c r="G1422" s="178">
        <v>7573.0</v>
      </c>
      <c r="H1422" s="16">
        <v>6792.0</v>
      </c>
      <c r="I1422" s="17">
        <f t="shared" si="43"/>
        <v>781</v>
      </c>
      <c r="J1422" s="220" t="s">
        <v>1</v>
      </c>
      <c r="K1422" s="221"/>
      <c r="L1422" s="221"/>
      <c r="M1422" s="221"/>
      <c r="N1422" s="221"/>
      <c r="O1422" s="221"/>
      <c r="P1422" s="221"/>
      <c r="Q1422" s="221"/>
      <c r="R1422" s="221"/>
      <c r="S1422" s="221"/>
      <c r="T1422" s="221"/>
      <c r="U1422" s="221"/>
      <c r="V1422" s="221"/>
      <c r="W1422" s="221"/>
      <c r="X1422" s="221"/>
      <c r="Y1422" s="221"/>
      <c r="Z1422" s="221"/>
    </row>
    <row r="1423" ht="33.75" customHeight="1">
      <c r="A1423" s="11" t="s">
        <v>752</v>
      </c>
      <c r="B1423" s="22" t="s">
        <v>530</v>
      </c>
      <c r="C1423" s="11" t="s">
        <v>1781</v>
      </c>
      <c r="D1423" s="11"/>
      <c r="E1423" s="64">
        <v>46075.0</v>
      </c>
      <c r="F1423" s="14" t="s">
        <v>1141</v>
      </c>
      <c r="G1423" s="178">
        <v>5341.0</v>
      </c>
      <c r="H1423" s="16">
        <v>4678.0</v>
      </c>
      <c r="I1423" s="17">
        <f t="shared" si="43"/>
        <v>663</v>
      </c>
      <c r="J1423" s="220" t="s">
        <v>1</v>
      </c>
      <c r="K1423" s="221"/>
      <c r="L1423" s="221"/>
      <c r="M1423" s="221"/>
      <c r="N1423" s="221"/>
      <c r="O1423" s="221"/>
      <c r="P1423" s="221"/>
      <c r="Q1423" s="221"/>
      <c r="R1423" s="221"/>
      <c r="S1423" s="221"/>
      <c r="T1423" s="221"/>
      <c r="U1423" s="221"/>
      <c r="V1423" s="221"/>
      <c r="W1423" s="221"/>
      <c r="X1423" s="221"/>
      <c r="Y1423" s="221"/>
      <c r="Z1423" s="221"/>
    </row>
    <row r="1424" ht="33.75" customHeight="1">
      <c r="A1424" s="11" t="s">
        <v>2103</v>
      </c>
      <c r="B1424" s="22" t="s">
        <v>2104</v>
      </c>
      <c r="C1424" s="11" t="s">
        <v>2105</v>
      </c>
      <c r="D1424" s="11"/>
      <c r="E1424" s="64">
        <v>46075.0</v>
      </c>
      <c r="F1424" s="14" t="s">
        <v>287</v>
      </c>
      <c r="G1424" s="178">
        <v>38106.0</v>
      </c>
      <c r="H1424" s="16">
        <v>30987.0</v>
      </c>
      <c r="I1424" s="17">
        <f t="shared" si="43"/>
        <v>7119</v>
      </c>
      <c r="J1424" s="220" t="s">
        <v>1</v>
      </c>
      <c r="K1424" s="221"/>
      <c r="L1424" s="221"/>
      <c r="M1424" s="221"/>
      <c r="N1424" s="221"/>
      <c r="O1424" s="221"/>
      <c r="P1424" s="221"/>
      <c r="Q1424" s="221"/>
      <c r="R1424" s="221"/>
      <c r="S1424" s="221"/>
      <c r="T1424" s="221"/>
      <c r="U1424" s="221"/>
      <c r="V1424" s="221"/>
      <c r="W1424" s="221"/>
      <c r="X1424" s="221"/>
      <c r="Y1424" s="221"/>
      <c r="Z1424" s="221"/>
    </row>
    <row r="1425" ht="33.75" customHeight="1">
      <c r="A1425" s="11" t="s">
        <v>2106</v>
      </c>
      <c r="B1425" s="22" t="s">
        <v>2107</v>
      </c>
      <c r="C1425" s="24" t="s">
        <v>2108</v>
      </c>
      <c r="D1425" s="24"/>
      <c r="E1425" s="64">
        <v>46075.0</v>
      </c>
      <c r="F1425" s="14" t="s">
        <v>17</v>
      </c>
      <c r="G1425" s="15" t="s">
        <v>2109</v>
      </c>
      <c r="H1425" s="16">
        <v>15233.0</v>
      </c>
      <c r="I1425" s="17"/>
      <c r="J1425" s="34" t="s">
        <v>1</v>
      </c>
      <c r="K1425" s="35"/>
      <c r="L1425" s="35"/>
      <c r="M1425" s="35"/>
      <c r="N1425" s="35"/>
      <c r="O1425" s="35"/>
      <c r="P1425" s="35"/>
      <c r="Q1425" s="35"/>
      <c r="R1425" s="35"/>
      <c r="S1425" s="35"/>
      <c r="T1425" s="35"/>
      <c r="U1425" s="35"/>
      <c r="V1425" s="35"/>
      <c r="W1425" s="35"/>
      <c r="X1425" s="35"/>
      <c r="Y1425" s="35"/>
      <c r="Z1425" s="35"/>
    </row>
    <row r="1426" ht="33.75" customHeight="1">
      <c r="A1426" s="11" t="s">
        <v>2110</v>
      </c>
      <c r="B1426" s="22" t="s">
        <v>34</v>
      </c>
      <c r="C1426" s="11" t="s">
        <v>2111</v>
      </c>
      <c r="D1426" s="11"/>
      <c r="E1426" s="64">
        <v>46075.0</v>
      </c>
      <c r="F1426" s="14" t="s">
        <v>17</v>
      </c>
      <c r="G1426" s="15" t="s">
        <v>72</v>
      </c>
      <c r="H1426" s="16">
        <v>12345.0</v>
      </c>
      <c r="I1426" s="17">
        <f t="shared" ref="I1426:I1558" si="44">G1426-H1426</f>
        <v>2655</v>
      </c>
      <c r="J1426" s="34" t="s">
        <v>1</v>
      </c>
      <c r="K1426" s="35"/>
      <c r="L1426" s="35"/>
      <c r="M1426" s="35"/>
      <c r="N1426" s="35"/>
      <c r="O1426" s="35"/>
      <c r="P1426" s="35"/>
      <c r="Q1426" s="35"/>
      <c r="R1426" s="35"/>
      <c r="S1426" s="35"/>
      <c r="T1426" s="35"/>
      <c r="U1426" s="35"/>
      <c r="V1426" s="35"/>
      <c r="W1426" s="35"/>
      <c r="X1426" s="35"/>
      <c r="Y1426" s="35"/>
      <c r="Z1426" s="35"/>
    </row>
    <row r="1427" ht="33.75" customHeight="1">
      <c r="A1427" s="11" t="s">
        <v>686</v>
      </c>
      <c r="B1427" s="22" t="s">
        <v>34</v>
      </c>
      <c r="C1427" s="11" t="s">
        <v>2112</v>
      </c>
      <c r="D1427" s="11"/>
      <c r="E1427" s="64">
        <v>46075.0</v>
      </c>
      <c r="F1427" s="14" t="s">
        <v>17</v>
      </c>
      <c r="G1427" s="15" t="s">
        <v>2113</v>
      </c>
      <c r="H1427" s="16">
        <v>27973.0</v>
      </c>
      <c r="I1427" s="17">
        <f t="shared" si="44"/>
        <v>2018</v>
      </c>
      <c r="J1427" s="34" t="s">
        <v>1</v>
      </c>
      <c r="K1427" s="35"/>
      <c r="L1427" s="35"/>
      <c r="M1427" s="35"/>
      <c r="N1427" s="35"/>
      <c r="O1427" s="35"/>
      <c r="P1427" s="35"/>
      <c r="Q1427" s="35"/>
      <c r="R1427" s="35"/>
      <c r="S1427" s="35"/>
      <c r="T1427" s="35"/>
      <c r="U1427" s="35"/>
      <c r="V1427" s="35"/>
      <c r="W1427" s="35"/>
      <c r="X1427" s="35"/>
      <c r="Y1427" s="35"/>
      <c r="Z1427" s="35"/>
    </row>
    <row r="1428" ht="33.75" customHeight="1">
      <c r="A1428" s="25" t="s">
        <v>1987</v>
      </c>
      <c r="B1428" s="25" t="s">
        <v>34</v>
      </c>
      <c r="C1428" s="25" t="s">
        <v>2087</v>
      </c>
      <c r="D1428" s="25"/>
      <c r="E1428" s="295">
        <v>46075.0</v>
      </c>
      <c r="F1428" s="25" t="s">
        <v>1141</v>
      </c>
      <c r="G1428" s="296">
        <v>5439.0</v>
      </c>
      <c r="H1428" s="25">
        <v>4716.0</v>
      </c>
      <c r="I1428" s="25">
        <f t="shared" si="44"/>
        <v>723</v>
      </c>
      <c r="J1428" s="34" t="s">
        <v>1</v>
      </c>
      <c r="K1428" s="35"/>
      <c r="L1428" s="35"/>
      <c r="M1428" s="35"/>
      <c r="N1428" s="35"/>
      <c r="O1428" s="35"/>
      <c r="P1428" s="35"/>
      <c r="Q1428" s="35"/>
      <c r="R1428" s="35"/>
      <c r="S1428" s="35"/>
      <c r="T1428" s="35"/>
      <c r="U1428" s="35"/>
      <c r="V1428" s="35"/>
      <c r="W1428" s="35"/>
      <c r="X1428" s="35"/>
      <c r="Y1428" s="35"/>
      <c r="Z1428" s="35"/>
    </row>
    <row r="1429" ht="33.75" customHeight="1">
      <c r="A1429" s="161" t="s">
        <v>1028</v>
      </c>
      <c r="B1429" s="297" t="s">
        <v>530</v>
      </c>
      <c r="C1429" s="161" t="s">
        <v>2114</v>
      </c>
      <c r="D1429" s="161"/>
      <c r="E1429" s="163">
        <v>46075.0</v>
      </c>
      <c r="F1429" s="164"/>
      <c r="G1429" s="298"/>
      <c r="H1429" s="166"/>
      <c r="I1429" s="167">
        <f t="shared" si="44"/>
        <v>0</v>
      </c>
      <c r="J1429" s="168" t="s">
        <v>2115</v>
      </c>
      <c r="K1429" s="169"/>
      <c r="L1429" s="169"/>
      <c r="M1429" s="169"/>
      <c r="N1429" s="169"/>
      <c r="O1429" s="169"/>
      <c r="P1429" s="169"/>
      <c r="Q1429" s="169"/>
      <c r="R1429" s="169"/>
      <c r="S1429" s="169"/>
      <c r="T1429" s="169"/>
      <c r="U1429" s="169"/>
      <c r="V1429" s="169"/>
      <c r="W1429" s="169"/>
      <c r="X1429" s="169"/>
      <c r="Y1429" s="169"/>
      <c r="Z1429" s="169"/>
    </row>
    <row r="1430" ht="33.75" customHeight="1">
      <c r="A1430" s="161" t="s">
        <v>2116</v>
      </c>
      <c r="B1430" s="162"/>
      <c r="C1430" s="161" t="s">
        <v>2117</v>
      </c>
      <c r="D1430" s="161"/>
      <c r="E1430" s="163">
        <v>46075.0</v>
      </c>
      <c r="F1430" s="164" t="s">
        <v>1141</v>
      </c>
      <c r="G1430" s="299">
        <v>8586.0</v>
      </c>
      <c r="H1430" s="166"/>
      <c r="I1430" s="167">
        <f t="shared" si="44"/>
        <v>8586</v>
      </c>
      <c r="J1430" s="168" t="s">
        <v>2118</v>
      </c>
      <c r="K1430" s="169"/>
      <c r="L1430" s="169"/>
      <c r="M1430" s="169"/>
      <c r="N1430" s="169"/>
      <c r="O1430" s="169"/>
      <c r="P1430" s="169"/>
      <c r="Q1430" s="169"/>
      <c r="R1430" s="169"/>
      <c r="S1430" s="169"/>
      <c r="T1430" s="169"/>
      <c r="U1430" s="169"/>
      <c r="V1430" s="169"/>
      <c r="W1430" s="169"/>
      <c r="X1430" s="169"/>
      <c r="Y1430" s="169"/>
      <c r="Z1430" s="169"/>
    </row>
    <row r="1431" ht="33.75" customHeight="1">
      <c r="A1431" s="161" t="s">
        <v>2119</v>
      </c>
      <c r="B1431" s="297" t="s">
        <v>2120</v>
      </c>
      <c r="C1431" s="300" t="s">
        <v>2121</v>
      </c>
      <c r="D1431" s="300"/>
      <c r="E1431" s="163">
        <v>46075.0</v>
      </c>
      <c r="F1431" s="164" t="s">
        <v>17</v>
      </c>
      <c r="G1431" s="299">
        <v>11158.0</v>
      </c>
      <c r="H1431" s="166"/>
      <c r="I1431" s="167">
        <f t="shared" si="44"/>
        <v>11158</v>
      </c>
      <c r="J1431" s="168" t="s">
        <v>2122</v>
      </c>
      <c r="K1431" s="169"/>
      <c r="L1431" s="169"/>
      <c r="M1431" s="169"/>
      <c r="N1431" s="169"/>
      <c r="O1431" s="169"/>
      <c r="P1431" s="169"/>
      <c r="Q1431" s="169"/>
      <c r="R1431" s="169"/>
      <c r="S1431" s="169"/>
      <c r="T1431" s="169"/>
      <c r="U1431" s="169"/>
      <c r="V1431" s="169"/>
      <c r="W1431" s="169"/>
      <c r="X1431" s="169"/>
      <c r="Y1431" s="169"/>
      <c r="Z1431" s="169"/>
    </row>
    <row r="1432" ht="33.75" customHeight="1">
      <c r="A1432" s="11" t="s">
        <v>2123</v>
      </c>
      <c r="B1432" s="22" t="s">
        <v>1965</v>
      </c>
      <c r="C1432" s="11" t="s">
        <v>2124</v>
      </c>
      <c r="D1432" s="11"/>
      <c r="E1432" s="64">
        <v>46076.0</v>
      </c>
      <c r="F1432" s="14" t="s">
        <v>287</v>
      </c>
      <c r="G1432" s="178">
        <v>9394.0</v>
      </c>
      <c r="H1432" s="16">
        <v>8753.0</v>
      </c>
      <c r="I1432" s="17">
        <f t="shared" si="44"/>
        <v>641</v>
      </c>
      <c r="J1432" s="220" t="s">
        <v>1</v>
      </c>
      <c r="K1432" s="221"/>
      <c r="L1432" s="221"/>
      <c r="M1432" s="221"/>
      <c r="N1432" s="221"/>
      <c r="O1432" s="221"/>
      <c r="P1432" s="221"/>
      <c r="Q1432" s="221"/>
      <c r="R1432" s="221"/>
      <c r="S1432" s="221"/>
      <c r="T1432" s="221"/>
      <c r="U1432" s="221"/>
      <c r="V1432" s="221"/>
      <c r="W1432" s="221"/>
      <c r="X1432" s="221"/>
      <c r="Y1432" s="221"/>
      <c r="Z1432" s="221"/>
    </row>
    <row r="1433" ht="33.75" customHeight="1">
      <c r="A1433" s="11" t="s">
        <v>1451</v>
      </c>
      <c r="B1433" s="22" t="s">
        <v>1011</v>
      </c>
      <c r="C1433" s="11" t="s">
        <v>2125</v>
      </c>
      <c r="D1433" s="11"/>
      <c r="E1433" s="64">
        <v>46076.0</v>
      </c>
      <c r="F1433" s="14" t="s">
        <v>287</v>
      </c>
      <c r="G1433" s="178">
        <v>1904.0</v>
      </c>
      <c r="H1433" s="16">
        <v>975.0</v>
      </c>
      <c r="I1433" s="17">
        <f t="shared" si="44"/>
        <v>929</v>
      </c>
      <c r="J1433" s="220" t="s">
        <v>1</v>
      </c>
      <c r="K1433" s="221"/>
      <c r="L1433" s="221"/>
      <c r="M1433" s="221"/>
      <c r="N1433" s="221"/>
      <c r="O1433" s="221"/>
      <c r="P1433" s="221"/>
      <c r="Q1433" s="221"/>
      <c r="R1433" s="221"/>
      <c r="S1433" s="221"/>
      <c r="T1433" s="221"/>
      <c r="U1433" s="221"/>
      <c r="V1433" s="221"/>
      <c r="W1433" s="221"/>
      <c r="X1433" s="221"/>
      <c r="Y1433" s="221"/>
      <c r="Z1433" s="221"/>
    </row>
    <row r="1434" ht="33.75" customHeight="1">
      <c r="A1434" s="25" t="s">
        <v>1381</v>
      </c>
      <c r="B1434" s="301">
        <v>0.3611111111111111</v>
      </c>
      <c r="C1434" s="25" t="s">
        <v>2126</v>
      </c>
      <c r="D1434" s="25"/>
      <c r="E1434" s="295">
        <v>46076.0</v>
      </c>
      <c r="F1434" s="25" t="s">
        <v>1141</v>
      </c>
      <c r="G1434" s="296">
        <v>2502.0</v>
      </c>
      <c r="H1434" s="25">
        <v>2039.0</v>
      </c>
      <c r="I1434" s="25">
        <f t="shared" si="44"/>
        <v>463</v>
      </c>
      <c r="J1434" s="220" t="s">
        <v>1</v>
      </c>
      <c r="K1434" s="221"/>
      <c r="L1434" s="221"/>
      <c r="M1434" s="221"/>
      <c r="N1434" s="221"/>
      <c r="O1434" s="221"/>
      <c r="P1434" s="221"/>
      <c r="Q1434" s="221"/>
      <c r="R1434" s="221"/>
      <c r="S1434" s="221"/>
      <c r="T1434" s="221"/>
      <c r="U1434" s="221"/>
      <c r="V1434" s="221"/>
      <c r="W1434" s="221"/>
      <c r="X1434" s="221"/>
      <c r="Y1434" s="221"/>
      <c r="Z1434" s="221"/>
    </row>
    <row r="1435" ht="33.75" customHeight="1">
      <c r="A1435" s="25" t="s">
        <v>1314</v>
      </c>
      <c r="B1435" s="25" t="s">
        <v>49</v>
      </c>
      <c r="C1435" s="25" t="s">
        <v>1932</v>
      </c>
      <c r="D1435" s="25"/>
      <c r="E1435" s="295">
        <v>46076.0</v>
      </c>
      <c r="F1435" s="25" t="s">
        <v>1141</v>
      </c>
      <c r="G1435" s="296">
        <v>1500.0</v>
      </c>
      <c r="H1435" s="25">
        <v>1275.0</v>
      </c>
      <c r="I1435" s="25">
        <f t="shared" si="44"/>
        <v>225</v>
      </c>
      <c r="J1435" s="220" t="s">
        <v>1</v>
      </c>
      <c r="K1435" s="221"/>
      <c r="L1435" s="221"/>
      <c r="M1435" s="221"/>
      <c r="N1435" s="221"/>
      <c r="O1435" s="221"/>
      <c r="P1435" s="221"/>
      <c r="Q1435" s="221"/>
      <c r="R1435" s="221"/>
      <c r="S1435" s="221"/>
      <c r="T1435" s="221"/>
      <c r="U1435" s="221"/>
      <c r="V1435" s="221"/>
      <c r="W1435" s="221"/>
      <c r="X1435" s="221"/>
      <c r="Y1435" s="221"/>
      <c r="Z1435" s="221"/>
    </row>
    <row r="1436" ht="33.75" customHeight="1">
      <c r="A1436" s="11" t="s">
        <v>28</v>
      </c>
      <c r="B1436" s="22" t="s">
        <v>81</v>
      </c>
      <c r="C1436" s="11" t="s">
        <v>2127</v>
      </c>
      <c r="D1436" s="11"/>
      <c r="E1436" s="64">
        <v>46076.0</v>
      </c>
      <c r="F1436" s="14" t="s">
        <v>17</v>
      </c>
      <c r="G1436" s="178">
        <v>11000.0</v>
      </c>
      <c r="H1436" s="16">
        <v>8532.0</v>
      </c>
      <c r="I1436" s="17">
        <f t="shared" si="44"/>
        <v>2468</v>
      </c>
      <c r="J1436" s="220" t="s">
        <v>1</v>
      </c>
      <c r="K1436" s="221"/>
      <c r="L1436" s="221"/>
      <c r="M1436" s="221"/>
      <c r="N1436" s="221"/>
      <c r="O1436" s="221"/>
      <c r="P1436" s="221"/>
      <c r="Q1436" s="221"/>
      <c r="R1436" s="221"/>
      <c r="S1436" s="221"/>
      <c r="T1436" s="221"/>
      <c r="U1436" s="221"/>
      <c r="V1436" s="221"/>
      <c r="W1436" s="221"/>
      <c r="X1436" s="221"/>
      <c r="Y1436" s="221"/>
      <c r="Z1436" s="221"/>
    </row>
    <row r="1437" ht="33.75" customHeight="1">
      <c r="A1437" s="11" t="s">
        <v>2128</v>
      </c>
      <c r="B1437" s="22" t="s">
        <v>2129</v>
      </c>
      <c r="C1437" s="11" t="s">
        <v>2130</v>
      </c>
      <c r="D1437" s="11"/>
      <c r="E1437" s="64">
        <v>46076.0</v>
      </c>
      <c r="F1437" s="14" t="s">
        <v>1141</v>
      </c>
      <c r="G1437" s="178">
        <v>896.0</v>
      </c>
      <c r="H1437" s="16">
        <v>664.0</v>
      </c>
      <c r="I1437" s="17">
        <f t="shared" si="44"/>
        <v>232</v>
      </c>
      <c r="J1437" s="220" t="s">
        <v>1</v>
      </c>
      <c r="K1437" s="221"/>
      <c r="L1437" s="221"/>
      <c r="M1437" s="221"/>
      <c r="N1437" s="221"/>
      <c r="O1437" s="221"/>
      <c r="P1437" s="221"/>
      <c r="Q1437" s="221"/>
      <c r="R1437" s="221"/>
      <c r="S1437" s="221"/>
      <c r="T1437" s="221"/>
      <c r="U1437" s="221"/>
      <c r="V1437" s="221"/>
      <c r="W1437" s="221"/>
      <c r="X1437" s="221"/>
      <c r="Y1437" s="221"/>
      <c r="Z1437" s="221"/>
    </row>
    <row r="1438" ht="33.75" customHeight="1">
      <c r="A1438" s="11" t="s">
        <v>1587</v>
      </c>
      <c r="B1438" s="22" t="s">
        <v>2131</v>
      </c>
      <c r="C1438" s="11" t="s">
        <v>2132</v>
      </c>
      <c r="D1438" s="11"/>
      <c r="E1438" s="64">
        <v>46076.0</v>
      </c>
      <c r="F1438" s="14" t="s">
        <v>287</v>
      </c>
      <c r="G1438" s="178">
        <v>15583.0</v>
      </c>
      <c r="H1438" s="16">
        <v>13221.0</v>
      </c>
      <c r="I1438" s="17">
        <f t="shared" si="44"/>
        <v>2362</v>
      </c>
      <c r="J1438" s="220" t="s">
        <v>1</v>
      </c>
      <c r="K1438" s="221"/>
      <c r="L1438" s="221"/>
      <c r="M1438" s="221"/>
      <c r="N1438" s="221"/>
      <c r="O1438" s="221"/>
      <c r="P1438" s="221"/>
      <c r="Q1438" s="221"/>
      <c r="R1438" s="221"/>
      <c r="S1438" s="221"/>
      <c r="T1438" s="221"/>
      <c r="U1438" s="221"/>
      <c r="V1438" s="221"/>
      <c r="W1438" s="221"/>
      <c r="X1438" s="221"/>
      <c r="Y1438" s="221"/>
      <c r="Z1438" s="221"/>
    </row>
    <row r="1439" ht="33.75" customHeight="1">
      <c r="A1439" s="11" t="s">
        <v>1864</v>
      </c>
      <c r="B1439" s="22" t="s">
        <v>260</v>
      </c>
      <c r="C1439" s="11" t="s">
        <v>2133</v>
      </c>
      <c r="D1439" s="11"/>
      <c r="E1439" s="64">
        <v>46076.0</v>
      </c>
      <c r="F1439" s="14" t="s">
        <v>1133</v>
      </c>
      <c r="G1439" s="178">
        <v>10000.0</v>
      </c>
      <c r="H1439" s="16">
        <v>6429.0</v>
      </c>
      <c r="I1439" s="17">
        <f t="shared" si="44"/>
        <v>3571</v>
      </c>
      <c r="J1439" s="220" t="s">
        <v>1</v>
      </c>
      <c r="K1439" s="221"/>
      <c r="L1439" s="221"/>
      <c r="M1439" s="221"/>
      <c r="N1439" s="221"/>
      <c r="O1439" s="221"/>
      <c r="P1439" s="221"/>
      <c r="Q1439" s="221"/>
      <c r="R1439" s="221"/>
      <c r="S1439" s="221"/>
      <c r="T1439" s="221"/>
      <c r="U1439" s="221"/>
      <c r="V1439" s="221"/>
      <c r="W1439" s="221"/>
      <c r="X1439" s="221"/>
      <c r="Y1439" s="221"/>
      <c r="Z1439" s="221"/>
    </row>
    <row r="1440" ht="33.75" customHeight="1">
      <c r="A1440" s="11" t="s">
        <v>2134</v>
      </c>
      <c r="B1440" s="22" t="s">
        <v>260</v>
      </c>
      <c r="C1440" s="11" t="s">
        <v>2133</v>
      </c>
      <c r="D1440" s="11"/>
      <c r="E1440" s="64">
        <v>46076.0</v>
      </c>
      <c r="F1440" s="14" t="s">
        <v>1133</v>
      </c>
      <c r="G1440" s="178">
        <v>10000.0</v>
      </c>
      <c r="H1440" s="179">
        <v>6010.0</v>
      </c>
      <c r="I1440" s="17">
        <f t="shared" si="44"/>
        <v>3990</v>
      </c>
      <c r="J1440" s="220" t="s">
        <v>1</v>
      </c>
      <c r="K1440" s="221"/>
      <c r="L1440" s="221"/>
      <c r="M1440" s="221"/>
      <c r="N1440" s="221"/>
      <c r="O1440" s="221"/>
      <c r="P1440" s="221"/>
      <c r="Q1440" s="221"/>
      <c r="R1440" s="221"/>
      <c r="S1440" s="221"/>
      <c r="T1440" s="221"/>
      <c r="U1440" s="221"/>
      <c r="V1440" s="221"/>
      <c r="W1440" s="221"/>
      <c r="X1440" s="221"/>
      <c r="Y1440" s="221"/>
      <c r="Z1440" s="221"/>
    </row>
    <row r="1441" ht="33.75" customHeight="1">
      <c r="A1441" s="11" t="s">
        <v>2135</v>
      </c>
      <c r="B1441" s="22" t="s">
        <v>260</v>
      </c>
      <c r="C1441" s="11" t="s">
        <v>2133</v>
      </c>
      <c r="D1441" s="11"/>
      <c r="E1441" s="64">
        <v>46076.0</v>
      </c>
      <c r="F1441" s="14" t="s">
        <v>1133</v>
      </c>
      <c r="G1441" s="178">
        <v>10000.0</v>
      </c>
      <c r="H1441" s="16">
        <v>5531.0</v>
      </c>
      <c r="I1441" s="17">
        <f t="shared" si="44"/>
        <v>4469</v>
      </c>
      <c r="J1441" s="220" t="s">
        <v>1</v>
      </c>
      <c r="K1441" s="221"/>
      <c r="L1441" s="221"/>
      <c r="M1441" s="221"/>
      <c r="N1441" s="221"/>
      <c r="O1441" s="221"/>
      <c r="P1441" s="221"/>
      <c r="Q1441" s="221"/>
      <c r="R1441" s="221"/>
      <c r="S1441" s="221"/>
      <c r="T1441" s="221"/>
      <c r="U1441" s="221"/>
      <c r="V1441" s="221"/>
      <c r="W1441" s="221"/>
      <c r="X1441" s="221"/>
      <c r="Y1441" s="221"/>
      <c r="Z1441" s="221"/>
    </row>
    <row r="1442" ht="33.75" customHeight="1">
      <c r="A1442" s="11" t="s">
        <v>1901</v>
      </c>
      <c r="B1442" s="22" t="s">
        <v>260</v>
      </c>
      <c r="C1442" s="11" t="s">
        <v>2133</v>
      </c>
      <c r="D1442" s="11"/>
      <c r="E1442" s="64">
        <v>46076.0</v>
      </c>
      <c r="F1442" s="14" t="s">
        <v>1133</v>
      </c>
      <c r="G1442" s="178">
        <v>5000.0</v>
      </c>
      <c r="H1442" s="16">
        <v>3040.0</v>
      </c>
      <c r="I1442" s="17">
        <f t="shared" si="44"/>
        <v>1960</v>
      </c>
      <c r="J1442" s="220" t="s">
        <v>1</v>
      </c>
      <c r="K1442" s="221"/>
      <c r="L1442" s="221"/>
      <c r="M1442" s="221"/>
      <c r="N1442" s="221"/>
      <c r="O1442" s="221"/>
      <c r="P1442" s="221"/>
      <c r="Q1442" s="221"/>
      <c r="R1442" s="221"/>
      <c r="S1442" s="221"/>
      <c r="T1442" s="221"/>
      <c r="U1442" s="221"/>
      <c r="V1442" s="221"/>
      <c r="W1442" s="221"/>
      <c r="X1442" s="221"/>
      <c r="Y1442" s="221"/>
      <c r="Z1442" s="221"/>
    </row>
    <row r="1443" ht="33.75" customHeight="1">
      <c r="A1443" s="11" t="s">
        <v>1594</v>
      </c>
      <c r="B1443" s="22" t="s">
        <v>260</v>
      </c>
      <c r="C1443" s="11" t="s">
        <v>2133</v>
      </c>
      <c r="D1443" s="11"/>
      <c r="E1443" s="64">
        <v>46076.0</v>
      </c>
      <c r="F1443" s="14" t="s">
        <v>1133</v>
      </c>
      <c r="G1443" s="178">
        <v>5000.0</v>
      </c>
      <c r="H1443" s="16">
        <v>3147.0</v>
      </c>
      <c r="I1443" s="17">
        <f t="shared" si="44"/>
        <v>1853</v>
      </c>
      <c r="J1443" s="220" t="s">
        <v>1</v>
      </c>
      <c r="K1443" s="221"/>
      <c r="L1443" s="221"/>
      <c r="M1443" s="221"/>
      <c r="N1443" s="221"/>
      <c r="O1443" s="221"/>
      <c r="P1443" s="221"/>
      <c r="Q1443" s="221"/>
      <c r="R1443" s="221"/>
      <c r="S1443" s="221"/>
      <c r="T1443" s="221"/>
      <c r="U1443" s="221"/>
      <c r="V1443" s="221"/>
      <c r="W1443" s="221"/>
      <c r="X1443" s="221"/>
      <c r="Y1443" s="221"/>
      <c r="Z1443" s="221"/>
    </row>
    <row r="1444" ht="33.75" customHeight="1">
      <c r="A1444" s="11" t="s">
        <v>693</v>
      </c>
      <c r="B1444" s="22" t="s">
        <v>260</v>
      </c>
      <c r="C1444" s="11" t="s">
        <v>2133</v>
      </c>
      <c r="D1444" s="11"/>
      <c r="E1444" s="64">
        <v>46076.0</v>
      </c>
      <c r="F1444" s="14" t="s">
        <v>1133</v>
      </c>
      <c r="G1444" s="178">
        <v>10000.0</v>
      </c>
      <c r="H1444" s="16">
        <v>9297.0</v>
      </c>
      <c r="I1444" s="17">
        <f t="shared" si="44"/>
        <v>703</v>
      </c>
      <c r="J1444" s="220" t="s">
        <v>1</v>
      </c>
      <c r="K1444" s="221"/>
      <c r="L1444" s="221"/>
      <c r="M1444" s="221"/>
      <c r="N1444" s="221"/>
      <c r="O1444" s="221"/>
      <c r="P1444" s="221"/>
      <c r="Q1444" s="221"/>
      <c r="R1444" s="221"/>
      <c r="S1444" s="221"/>
      <c r="T1444" s="221"/>
      <c r="U1444" s="221"/>
      <c r="V1444" s="221"/>
      <c r="W1444" s="221"/>
      <c r="X1444" s="221"/>
      <c r="Y1444" s="221"/>
      <c r="Z1444" s="221"/>
    </row>
    <row r="1445" ht="33.75" customHeight="1">
      <c r="A1445" s="11" t="s">
        <v>695</v>
      </c>
      <c r="B1445" s="22" t="s">
        <v>260</v>
      </c>
      <c r="C1445" s="11" t="s">
        <v>2133</v>
      </c>
      <c r="D1445" s="11"/>
      <c r="E1445" s="64">
        <v>46076.0</v>
      </c>
      <c r="F1445" s="14" t="s">
        <v>1133</v>
      </c>
      <c r="G1445" s="178">
        <v>10000.0</v>
      </c>
      <c r="H1445" s="16">
        <v>9202.0</v>
      </c>
      <c r="I1445" s="17">
        <f t="shared" si="44"/>
        <v>798</v>
      </c>
      <c r="J1445" s="220" t="s">
        <v>1</v>
      </c>
      <c r="K1445" s="221"/>
      <c r="L1445" s="221"/>
      <c r="M1445" s="221"/>
      <c r="N1445" s="221"/>
      <c r="O1445" s="221"/>
      <c r="P1445" s="221"/>
      <c r="Q1445" s="221"/>
      <c r="R1445" s="221"/>
      <c r="S1445" s="221"/>
      <c r="T1445" s="221"/>
      <c r="U1445" s="221"/>
      <c r="V1445" s="221"/>
      <c r="W1445" s="221"/>
      <c r="X1445" s="221"/>
      <c r="Y1445" s="221"/>
      <c r="Z1445" s="221"/>
    </row>
    <row r="1446" ht="33.75" customHeight="1">
      <c r="A1446" s="11" t="s">
        <v>1550</v>
      </c>
      <c r="B1446" s="22" t="s">
        <v>260</v>
      </c>
      <c r="C1446" s="11" t="s">
        <v>2133</v>
      </c>
      <c r="D1446" s="11"/>
      <c r="E1446" s="64">
        <v>46076.0</v>
      </c>
      <c r="F1446" s="14" t="s">
        <v>1133</v>
      </c>
      <c r="G1446" s="178">
        <v>10000.0</v>
      </c>
      <c r="H1446" s="16">
        <v>7630.0</v>
      </c>
      <c r="I1446" s="17">
        <f t="shared" si="44"/>
        <v>2370</v>
      </c>
      <c r="J1446" s="220" t="s">
        <v>1</v>
      </c>
      <c r="K1446" s="221"/>
      <c r="L1446" s="221"/>
      <c r="M1446" s="221"/>
      <c r="N1446" s="221"/>
      <c r="O1446" s="221"/>
      <c r="P1446" s="221"/>
      <c r="Q1446" s="221"/>
      <c r="R1446" s="221"/>
      <c r="S1446" s="221"/>
      <c r="T1446" s="221"/>
      <c r="U1446" s="221"/>
      <c r="V1446" s="221"/>
      <c r="W1446" s="221"/>
      <c r="X1446" s="221"/>
      <c r="Y1446" s="221"/>
      <c r="Z1446" s="221"/>
    </row>
    <row r="1447" ht="33.75" customHeight="1">
      <c r="A1447" s="11" t="s">
        <v>2136</v>
      </c>
      <c r="B1447" s="22" t="s">
        <v>260</v>
      </c>
      <c r="C1447" s="11" t="s">
        <v>2133</v>
      </c>
      <c r="D1447" s="11"/>
      <c r="E1447" s="64">
        <v>46076.0</v>
      </c>
      <c r="F1447" s="14" t="s">
        <v>1133</v>
      </c>
      <c r="G1447" s="178">
        <v>10000.0</v>
      </c>
      <c r="H1447" s="16">
        <v>3845.0</v>
      </c>
      <c r="I1447" s="17">
        <f t="shared" si="44"/>
        <v>6155</v>
      </c>
      <c r="J1447" s="220" t="s">
        <v>1</v>
      </c>
      <c r="K1447" s="221"/>
      <c r="L1447" s="221"/>
      <c r="M1447" s="221"/>
      <c r="N1447" s="221"/>
      <c r="O1447" s="221"/>
      <c r="P1447" s="221"/>
      <c r="Q1447" s="221"/>
      <c r="R1447" s="221"/>
      <c r="S1447" s="221"/>
      <c r="T1447" s="221"/>
      <c r="U1447" s="221"/>
      <c r="V1447" s="221"/>
      <c r="W1447" s="221"/>
      <c r="X1447" s="221"/>
      <c r="Y1447" s="221"/>
      <c r="Z1447" s="221"/>
    </row>
    <row r="1448" ht="33.75" customHeight="1">
      <c r="A1448" s="11" t="s">
        <v>2137</v>
      </c>
      <c r="B1448" s="22" t="s">
        <v>31</v>
      </c>
      <c r="C1448" s="11" t="s">
        <v>2138</v>
      </c>
      <c r="D1448" s="11"/>
      <c r="E1448" s="64">
        <v>46076.0</v>
      </c>
      <c r="F1448" s="14" t="s">
        <v>17</v>
      </c>
      <c r="G1448" s="178">
        <v>52149.0</v>
      </c>
      <c r="H1448" s="28"/>
      <c r="I1448" s="17">
        <f t="shared" si="44"/>
        <v>52149</v>
      </c>
      <c r="J1448" s="220" t="s">
        <v>2139</v>
      </c>
      <c r="K1448" s="221"/>
      <c r="L1448" s="221"/>
      <c r="M1448" s="221"/>
      <c r="N1448" s="221"/>
      <c r="O1448" s="221"/>
      <c r="P1448" s="221"/>
      <c r="Q1448" s="221"/>
      <c r="R1448" s="221"/>
      <c r="S1448" s="221"/>
      <c r="T1448" s="221"/>
      <c r="U1448" s="221"/>
      <c r="V1448" s="221"/>
      <c r="W1448" s="221"/>
      <c r="X1448" s="221"/>
      <c r="Y1448" s="221"/>
      <c r="Z1448" s="221"/>
    </row>
    <row r="1449" ht="33.75" customHeight="1">
      <c r="A1449" s="11" t="s">
        <v>2018</v>
      </c>
      <c r="B1449" s="22" t="s">
        <v>2140</v>
      </c>
      <c r="C1449" s="11" t="s">
        <v>2141</v>
      </c>
      <c r="D1449" s="11"/>
      <c r="E1449" s="64">
        <v>46076.0</v>
      </c>
      <c r="F1449" s="14" t="s">
        <v>1141</v>
      </c>
      <c r="G1449" s="178">
        <v>10852.0</v>
      </c>
      <c r="H1449" s="16">
        <v>9580.0</v>
      </c>
      <c r="I1449" s="17">
        <f t="shared" si="44"/>
        <v>1272</v>
      </c>
      <c r="J1449" s="222" t="s">
        <v>1139</v>
      </c>
      <c r="K1449" s="223"/>
      <c r="L1449" s="223"/>
      <c r="M1449" s="223"/>
      <c r="N1449" s="223"/>
      <c r="O1449" s="223"/>
      <c r="P1449" s="223"/>
      <c r="Q1449" s="223"/>
      <c r="R1449" s="223"/>
      <c r="S1449" s="223"/>
      <c r="T1449" s="223"/>
      <c r="U1449" s="223"/>
      <c r="V1449" s="223"/>
      <c r="W1449" s="223"/>
      <c r="X1449" s="223"/>
      <c r="Y1449" s="223"/>
      <c r="Z1449" s="223"/>
    </row>
    <row r="1450" ht="33.0" customHeight="1">
      <c r="A1450" s="11" t="s">
        <v>1888</v>
      </c>
      <c r="B1450" s="22" t="s">
        <v>31</v>
      </c>
      <c r="C1450" s="11" t="s">
        <v>2142</v>
      </c>
      <c r="D1450" s="11"/>
      <c r="E1450" s="64">
        <v>46076.0</v>
      </c>
      <c r="F1450" s="14" t="s">
        <v>1133</v>
      </c>
      <c r="G1450" s="178">
        <v>20000.0</v>
      </c>
      <c r="H1450" s="16">
        <v>18532.0</v>
      </c>
      <c r="I1450" s="17">
        <f t="shared" si="44"/>
        <v>1468</v>
      </c>
      <c r="J1450" s="220" t="s">
        <v>1</v>
      </c>
      <c r="K1450" s="221"/>
      <c r="L1450" s="221"/>
      <c r="M1450" s="221"/>
      <c r="N1450" s="221"/>
      <c r="O1450" s="221"/>
      <c r="P1450" s="221"/>
      <c r="Q1450" s="221"/>
      <c r="R1450" s="221"/>
      <c r="S1450" s="221"/>
      <c r="T1450" s="221"/>
      <c r="U1450" s="221"/>
      <c r="V1450" s="221"/>
      <c r="W1450" s="221"/>
      <c r="X1450" s="221"/>
      <c r="Y1450" s="221"/>
      <c r="Z1450" s="221"/>
    </row>
    <row r="1451" ht="33.75" customHeight="1">
      <c r="A1451" s="11" t="s">
        <v>28</v>
      </c>
      <c r="B1451" s="22" t="s">
        <v>37</v>
      </c>
      <c r="C1451" s="11" t="s">
        <v>2127</v>
      </c>
      <c r="D1451" s="11"/>
      <c r="E1451" s="64">
        <v>46076.0</v>
      </c>
      <c r="F1451" s="14" t="s">
        <v>17</v>
      </c>
      <c r="G1451" s="178">
        <v>11000.0</v>
      </c>
      <c r="H1451" s="16">
        <v>8745.0</v>
      </c>
      <c r="I1451" s="17">
        <f t="shared" si="44"/>
        <v>2255</v>
      </c>
      <c r="J1451" s="220" t="s">
        <v>1</v>
      </c>
      <c r="K1451" s="221"/>
      <c r="L1451" s="221"/>
      <c r="M1451" s="221"/>
      <c r="N1451" s="221"/>
      <c r="O1451" s="221"/>
      <c r="P1451" s="221"/>
      <c r="Q1451" s="221"/>
      <c r="R1451" s="221"/>
      <c r="S1451" s="221"/>
      <c r="T1451" s="221"/>
      <c r="U1451" s="221"/>
      <c r="V1451" s="221"/>
      <c r="W1451" s="221"/>
      <c r="X1451" s="221"/>
      <c r="Y1451" s="221"/>
      <c r="Z1451" s="221"/>
    </row>
    <row r="1452" ht="33.75" customHeight="1">
      <c r="A1452" s="11" t="s">
        <v>2143</v>
      </c>
      <c r="B1452" s="22" t="s">
        <v>1074</v>
      </c>
      <c r="C1452" s="11" t="s">
        <v>2144</v>
      </c>
      <c r="D1452" s="11"/>
      <c r="E1452" s="64">
        <v>46076.0</v>
      </c>
      <c r="F1452" s="14" t="s">
        <v>287</v>
      </c>
      <c r="G1452" s="178">
        <v>1000.0</v>
      </c>
      <c r="H1452" s="16">
        <v>732.0</v>
      </c>
      <c r="I1452" s="17">
        <f t="shared" si="44"/>
        <v>268</v>
      </c>
      <c r="J1452" s="220" t="s">
        <v>1</v>
      </c>
      <c r="K1452" s="221"/>
      <c r="L1452" s="221"/>
      <c r="M1452" s="221"/>
      <c r="N1452" s="221"/>
      <c r="O1452" s="221"/>
      <c r="P1452" s="221"/>
      <c r="Q1452" s="221"/>
      <c r="R1452" s="221"/>
      <c r="S1452" s="221"/>
      <c r="T1452" s="221"/>
      <c r="U1452" s="221"/>
      <c r="V1452" s="221"/>
      <c r="W1452" s="221"/>
      <c r="X1452" s="221"/>
      <c r="Y1452" s="221"/>
      <c r="Z1452" s="221"/>
    </row>
    <row r="1453" ht="33.75" customHeight="1">
      <c r="A1453" s="11" t="s">
        <v>2145</v>
      </c>
      <c r="B1453" s="22" t="s">
        <v>34</v>
      </c>
      <c r="C1453" s="11" t="s">
        <v>2146</v>
      </c>
      <c r="D1453" s="11"/>
      <c r="E1453" s="64">
        <v>46076.0</v>
      </c>
      <c r="F1453" s="14" t="s">
        <v>1133</v>
      </c>
      <c r="G1453" s="178">
        <v>11000.0</v>
      </c>
      <c r="H1453" s="16">
        <v>9175.0</v>
      </c>
      <c r="I1453" s="17">
        <f t="shared" si="44"/>
        <v>1825</v>
      </c>
      <c r="J1453" s="220" t="s">
        <v>1</v>
      </c>
      <c r="K1453" s="221"/>
      <c r="L1453" s="221"/>
      <c r="M1453" s="221"/>
      <c r="N1453" s="221"/>
      <c r="O1453" s="221"/>
      <c r="P1453" s="221"/>
      <c r="Q1453" s="221"/>
      <c r="R1453" s="221"/>
      <c r="S1453" s="221"/>
      <c r="T1453" s="221"/>
      <c r="U1453" s="221"/>
      <c r="V1453" s="221"/>
      <c r="W1453" s="221"/>
      <c r="X1453" s="221"/>
      <c r="Y1453" s="221"/>
      <c r="Z1453" s="221"/>
    </row>
    <row r="1454" ht="33.75" customHeight="1">
      <c r="A1454" s="11" t="s">
        <v>489</v>
      </c>
      <c r="B1454" s="22"/>
      <c r="C1454" s="36"/>
      <c r="D1454" s="36"/>
      <c r="E1454" s="64">
        <v>46076.0</v>
      </c>
      <c r="F1454" s="14" t="s">
        <v>1141</v>
      </c>
      <c r="G1454" s="178">
        <v>53174.0</v>
      </c>
      <c r="H1454" s="16">
        <v>46854.0</v>
      </c>
      <c r="I1454" s="17">
        <f t="shared" si="44"/>
        <v>6320</v>
      </c>
      <c r="J1454" s="25" t="s">
        <v>1</v>
      </c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  <c r="W1454" s="26"/>
      <c r="X1454" s="26"/>
      <c r="Y1454" s="26"/>
      <c r="Z1454" s="26"/>
    </row>
    <row r="1455" ht="33.75" customHeight="1">
      <c r="A1455" s="11" t="s">
        <v>378</v>
      </c>
      <c r="B1455" s="22" t="s">
        <v>15</v>
      </c>
      <c r="C1455" s="11" t="s">
        <v>2147</v>
      </c>
      <c r="D1455" s="11"/>
      <c r="E1455" s="64">
        <v>46076.0</v>
      </c>
      <c r="F1455" s="14" t="s">
        <v>17</v>
      </c>
      <c r="G1455" s="178">
        <v>20000.0</v>
      </c>
      <c r="H1455" s="16">
        <v>18312.0</v>
      </c>
      <c r="I1455" s="17">
        <f t="shared" si="44"/>
        <v>1688</v>
      </c>
      <c r="J1455" s="220" t="s">
        <v>2139</v>
      </c>
      <c r="K1455" s="221"/>
      <c r="L1455" s="221"/>
      <c r="M1455" s="221"/>
      <c r="N1455" s="221"/>
      <c r="O1455" s="221"/>
      <c r="P1455" s="221"/>
      <c r="Q1455" s="221"/>
      <c r="R1455" s="221"/>
      <c r="S1455" s="221"/>
      <c r="T1455" s="221"/>
      <c r="U1455" s="221"/>
      <c r="V1455" s="221"/>
      <c r="W1455" s="221"/>
      <c r="X1455" s="221"/>
      <c r="Y1455" s="221"/>
      <c r="Z1455" s="221"/>
    </row>
    <row r="1456" ht="33.75" customHeight="1">
      <c r="A1456" s="11" t="s">
        <v>2148</v>
      </c>
      <c r="B1456" s="22" t="s">
        <v>15</v>
      </c>
      <c r="C1456" s="11" t="s">
        <v>2149</v>
      </c>
      <c r="D1456" s="11"/>
      <c r="E1456" s="64">
        <v>46076.0</v>
      </c>
      <c r="F1456" s="14" t="s">
        <v>287</v>
      </c>
      <c r="G1456" s="178">
        <v>20000.0</v>
      </c>
      <c r="H1456" s="16">
        <v>16491.0</v>
      </c>
      <c r="I1456" s="17">
        <f t="shared" si="44"/>
        <v>3509</v>
      </c>
      <c r="J1456" s="220" t="s">
        <v>2139</v>
      </c>
      <c r="K1456" s="221"/>
      <c r="L1456" s="221"/>
      <c r="M1456" s="221"/>
      <c r="N1456" s="221"/>
      <c r="O1456" s="221"/>
      <c r="P1456" s="221"/>
      <c r="Q1456" s="221"/>
      <c r="R1456" s="221"/>
      <c r="S1456" s="221"/>
      <c r="T1456" s="221"/>
      <c r="U1456" s="221"/>
      <c r="V1456" s="221"/>
      <c r="W1456" s="221"/>
      <c r="X1456" s="221"/>
      <c r="Y1456" s="221"/>
      <c r="Z1456" s="221"/>
    </row>
    <row r="1457" ht="33.75" customHeight="1">
      <c r="A1457" s="11" t="s">
        <v>1987</v>
      </c>
      <c r="B1457" s="22" t="s">
        <v>15</v>
      </c>
      <c r="C1457" s="11" t="s">
        <v>2087</v>
      </c>
      <c r="D1457" s="11"/>
      <c r="E1457" s="64">
        <v>46076.0</v>
      </c>
      <c r="F1457" s="14" t="s">
        <v>1141</v>
      </c>
      <c r="G1457" s="178">
        <v>11038.0</v>
      </c>
      <c r="H1457" s="16">
        <v>9674.0</v>
      </c>
      <c r="I1457" s="17">
        <f t="shared" si="44"/>
        <v>1364</v>
      </c>
      <c r="J1457" s="25" t="s">
        <v>1</v>
      </c>
      <c r="K1457" s="26"/>
      <c r="L1457" s="26"/>
      <c r="M1457" s="26"/>
      <c r="N1457" s="26"/>
      <c r="O1457" s="26"/>
      <c r="P1457" s="26"/>
      <c r="Q1457" s="26"/>
      <c r="R1457" s="26"/>
      <c r="S1457" s="26"/>
      <c r="T1457" s="26"/>
      <c r="U1457" s="26"/>
      <c r="V1457" s="26"/>
      <c r="W1457" s="26"/>
      <c r="X1457" s="26"/>
      <c r="Y1457" s="26"/>
      <c r="Z1457" s="26"/>
    </row>
    <row r="1458" ht="33.75" customHeight="1">
      <c r="A1458" s="11" t="s">
        <v>2150</v>
      </c>
      <c r="B1458" s="22" t="s">
        <v>15</v>
      </c>
      <c r="C1458" s="11" t="s">
        <v>2151</v>
      </c>
      <c r="D1458" s="11"/>
      <c r="E1458" s="64">
        <v>46076.0</v>
      </c>
      <c r="F1458" s="14" t="s">
        <v>1133</v>
      </c>
      <c r="G1458" s="178">
        <v>5990.0</v>
      </c>
      <c r="H1458" s="16">
        <v>5304.0</v>
      </c>
      <c r="I1458" s="17">
        <f t="shared" si="44"/>
        <v>686</v>
      </c>
      <c r="J1458" s="220" t="s">
        <v>1</v>
      </c>
      <c r="K1458" s="221"/>
      <c r="L1458" s="221"/>
      <c r="M1458" s="221"/>
      <c r="N1458" s="221"/>
      <c r="O1458" s="221"/>
      <c r="P1458" s="221"/>
      <c r="Q1458" s="221"/>
      <c r="R1458" s="221"/>
      <c r="S1458" s="221"/>
      <c r="T1458" s="221"/>
      <c r="U1458" s="221"/>
      <c r="V1458" s="221"/>
      <c r="W1458" s="221"/>
      <c r="X1458" s="221"/>
      <c r="Y1458" s="221"/>
      <c r="Z1458" s="221"/>
    </row>
    <row r="1459" ht="33.75" customHeight="1">
      <c r="A1459" s="11" t="s">
        <v>1587</v>
      </c>
      <c r="B1459" s="22" t="s">
        <v>55</v>
      </c>
      <c r="C1459" s="11" t="s">
        <v>2152</v>
      </c>
      <c r="D1459" s="11"/>
      <c r="E1459" s="64">
        <v>46077.0</v>
      </c>
      <c r="F1459" s="14" t="s">
        <v>287</v>
      </c>
      <c r="G1459" s="178">
        <v>37891.0</v>
      </c>
      <c r="H1459" s="16">
        <v>30515.0</v>
      </c>
      <c r="I1459" s="17">
        <f t="shared" si="44"/>
        <v>7376</v>
      </c>
      <c r="J1459" s="25" t="s">
        <v>1</v>
      </c>
      <c r="K1459" s="26"/>
      <c r="L1459" s="26"/>
      <c r="M1459" s="26"/>
      <c r="N1459" s="26"/>
      <c r="O1459" s="26"/>
      <c r="P1459" s="26"/>
      <c r="Q1459" s="26"/>
      <c r="R1459" s="26"/>
      <c r="S1459" s="26"/>
      <c r="T1459" s="26"/>
      <c r="U1459" s="26"/>
      <c r="V1459" s="26"/>
      <c r="W1459" s="26"/>
      <c r="X1459" s="26"/>
      <c r="Y1459" s="26"/>
      <c r="Z1459" s="26"/>
    </row>
    <row r="1460" ht="33.75" customHeight="1">
      <c r="A1460" s="11" t="s">
        <v>77</v>
      </c>
      <c r="B1460" s="22" t="s">
        <v>81</v>
      </c>
      <c r="C1460" s="11" t="s">
        <v>1820</v>
      </c>
      <c r="D1460" s="11"/>
      <c r="E1460" s="64">
        <v>46077.0</v>
      </c>
      <c r="F1460" s="14" t="s">
        <v>1141</v>
      </c>
      <c r="G1460" s="178">
        <v>34946.0</v>
      </c>
      <c r="H1460" s="16">
        <v>22972.0</v>
      </c>
      <c r="I1460" s="17">
        <f t="shared" si="44"/>
        <v>11974</v>
      </c>
      <c r="J1460" s="91" t="s">
        <v>700</v>
      </c>
      <c r="K1460" s="92"/>
      <c r="L1460" s="92"/>
      <c r="M1460" s="92"/>
      <c r="N1460" s="92"/>
      <c r="O1460" s="92"/>
      <c r="P1460" s="92"/>
      <c r="Q1460" s="92"/>
      <c r="R1460" s="92"/>
      <c r="S1460" s="92"/>
      <c r="T1460" s="92"/>
      <c r="U1460" s="92"/>
      <c r="V1460" s="92"/>
      <c r="W1460" s="92"/>
      <c r="X1460" s="92"/>
      <c r="Y1460" s="92"/>
      <c r="Z1460" s="92"/>
    </row>
    <row r="1461" ht="33.75" customHeight="1">
      <c r="A1461" s="11" t="s">
        <v>28</v>
      </c>
      <c r="B1461" s="22" t="s">
        <v>81</v>
      </c>
      <c r="C1461" s="11" t="s">
        <v>2153</v>
      </c>
      <c r="D1461" s="11"/>
      <c r="E1461" s="64">
        <v>46077.0</v>
      </c>
      <c r="F1461" s="14" t="s">
        <v>17</v>
      </c>
      <c r="G1461" s="178">
        <v>11000.0</v>
      </c>
      <c r="H1461" s="16">
        <v>9313.0</v>
      </c>
      <c r="I1461" s="17">
        <f t="shared" si="44"/>
        <v>1687</v>
      </c>
      <c r="J1461" s="220" t="s">
        <v>1</v>
      </c>
      <c r="K1461" s="221"/>
      <c r="L1461" s="221"/>
      <c r="M1461" s="221"/>
      <c r="N1461" s="221"/>
      <c r="O1461" s="221"/>
      <c r="P1461" s="221"/>
      <c r="Q1461" s="221"/>
      <c r="R1461" s="221"/>
      <c r="S1461" s="221"/>
      <c r="T1461" s="221"/>
      <c r="U1461" s="221"/>
      <c r="V1461" s="221"/>
      <c r="W1461" s="221"/>
      <c r="X1461" s="221"/>
      <c r="Y1461" s="221"/>
      <c r="Z1461" s="221"/>
    </row>
    <row r="1462" ht="33.75" customHeight="1">
      <c r="A1462" s="11" t="s">
        <v>1587</v>
      </c>
      <c r="B1462" s="22" t="s">
        <v>1627</v>
      </c>
      <c r="C1462" s="11" t="s">
        <v>2154</v>
      </c>
      <c r="D1462" s="11"/>
      <c r="E1462" s="64">
        <v>46077.0</v>
      </c>
      <c r="F1462" s="14" t="s">
        <v>287</v>
      </c>
      <c r="G1462" s="178">
        <v>37893.0</v>
      </c>
      <c r="H1462" s="16">
        <v>30490.0</v>
      </c>
      <c r="I1462" s="17">
        <f t="shared" si="44"/>
        <v>7403</v>
      </c>
      <c r="J1462" s="25" t="s">
        <v>1</v>
      </c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  <c r="W1462" s="26"/>
      <c r="X1462" s="26"/>
      <c r="Y1462" s="26"/>
      <c r="Z1462" s="26"/>
    </row>
    <row r="1463" ht="33.75" customHeight="1">
      <c r="A1463" s="11" t="s">
        <v>516</v>
      </c>
      <c r="B1463" s="22" t="s">
        <v>85</v>
      </c>
      <c r="C1463" s="11" t="s">
        <v>2155</v>
      </c>
      <c r="D1463" s="11"/>
      <c r="E1463" s="64">
        <v>46077.0</v>
      </c>
      <c r="F1463" s="14" t="s">
        <v>1133</v>
      </c>
      <c r="G1463" s="178">
        <v>10000.0</v>
      </c>
      <c r="H1463" s="16">
        <v>8115.0</v>
      </c>
      <c r="I1463" s="17">
        <f t="shared" si="44"/>
        <v>1885</v>
      </c>
      <c r="J1463" s="25" t="s">
        <v>1</v>
      </c>
      <c r="K1463" s="26"/>
      <c r="L1463" s="26"/>
      <c r="M1463" s="26"/>
      <c r="N1463" s="26"/>
      <c r="O1463" s="26"/>
      <c r="P1463" s="26"/>
      <c r="Q1463" s="26"/>
      <c r="R1463" s="26"/>
      <c r="S1463" s="26"/>
      <c r="T1463" s="26"/>
      <c r="U1463" s="26"/>
      <c r="V1463" s="26"/>
      <c r="W1463" s="26"/>
      <c r="X1463" s="26"/>
      <c r="Y1463" s="26"/>
      <c r="Z1463" s="26"/>
    </row>
    <row r="1464" ht="33.75" customHeight="1">
      <c r="A1464" s="11" t="s">
        <v>1527</v>
      </c>
      <c r="B1464" s="22" t="s">
        <v>85</v>
      </c>
      <c r="C1464" s="11" t="s">
        <v>2155</v>
      </c>
      <c r="D1464" s="11"/>
      <c r="E1464" s="64">
        <v>46077.0</v>
      </c>
      <c r="F1464" s="14" t="s">
        <v>1133</v>
      </c>
      <c r="G1464" s="178">
        <v>8000.0</v>
      </c>
      <c r="H1464" s="16">
        <v>4509.0</v>
      </c>
      <c r="I1464" s="17">
        <f t="shared" si="44"/>
        <v>3491</v>
      </c>
      <c r="J1464" s="25" t="s">
        <v>1</v>
      </c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  <c r="W1464" s="26"/>
      <c r="X1464" s="26"/>
      <c r="Y1464" s="26"/>
      <c r="Z1464" s="26"/>
    </row>
    <row r="1465" ht="33.75" customHeight="1">
      <c r="A1465" s="11" t="s">
        <v>1838</v>
      </c>
      <c r="B1465" s="22" t="s">
        <v>85</v>
      </c>
      <c r="C1465" s="11" t="s">
        <v>2155</v>
      </c>
      <c r="D1465" s="11"/>
      <c r="E1465" s="64">
        <v>46077.0</v>
      </c>
      <c r="F1465" s="14" t="s">
        <v>1133</v>
      </c>
      <c r="G1465" s="178">
        <v>5000.0</v>
      </c>
      <c r="H1465" s="16">
        <v>2476.0</v>
      </c>
      <c r="I1465" s="17">
        <f t="shared" si="44"/>
        <v>2524</v>
      </c>
      <c r="J1465" s="25" t="s">
        <v>1</v>
      </c>
      <c r="K1465" s="26"/>
      <c r="L1465" s="26"/>
      <c r="M1465" s="26"/>
      <c r="N1465" s="26"/>
      <c r="O1465" s="26"/>
      <c r="P1465" s="26"/>
      <c r="Q1465" s="26"/>
      <c r="R1465" s="26"/>
      <c r="S1465" s="26"/>
      <c r="T1465" s="26"/>
      <c r="U1465" s="26"/>
      <c r="V1465" s="26"/>
      <c r="W1465" s="26"/>
      <c r="X1465" s="26"/>
      <c r="Y1465" s="26"/>
      <c r="Z1465" s="26"/>
    </row>
    <row r="1466" ht="33.75" customHeight="1">
      <c r="A1466" s="11" t="s">
        <v>1839</v>
      </c>
      <c r="B1466" s="22" t="s">
        <v>85</v>
      </c>
      <c r="C1466" s="11" t="s">
        <v>2155</v>
      </c>
      <c r="D1466" s="11"/>
      <c r="E1466" s="64">
        <v>46077.0</v>
      </c>
      <c r="F1466" s="14" t="s">
        <v>1133</v>
      </c>
      <c r="G1466" s="178">
        <v>5000.0</v>
      </c>
      <c r="H1466" s="16">
        <v>2869.0</v>
      </c>
      <c r="I1466" s="17">
        <f t="shared" si="44"/>
        <v>2131</v>
      </c>
      <c r="J1466" s="25" t="s">
        <v>1</v>
      </c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  <c r="W1466" s="26"/>
      <c r="X1466" s="26"/>
      <c r="Y1466" s="26"/>
      <c r="Z1466" s="26"/>
    </row>
    <row r="1467" ht="33.75" customHeight="1">
      <c r="A1467" s="11" t="s">
        <v>1840</v>
      </c>
      <c r="B1467" s="22" t="s">
        <v>85</v>
      </c>
      <c r="C1467" s="11" t="s">
        <v>2155</v>
      </c>
      <c r="D1467" s="11"/>
      <c r="E1467" s="64">
        <v>46077.0</v>
      </c>
      <c r="F1467" s="14" t="s">
        <v>1133</v>
      </c>
      <c r="G1467" s="178">
        <v>5000.0</v>
      </c>
      <c r="H1467" s="16">
        <v>2720.0</v>
      </c>
      <c r="I1467" s="17">
        <f t="shared" si="44"/>
        <v>2280</v>
      </c>
      <c r="J1467" s="25" t="s">
        <v>1</v>
      </c>
      <c r="K1467" s="26"/>
      <c r="L1467" s="26"/>
      <c r="M1467" s="26"/>
      <c r="N1467" s="26"/>
      <c r="O1467" s="26"/>
      <c r="P1467" s="26"/>
      <c r="Q1467" s="26"/>
      <c r="R1467" s="26"/>
      <c r="S1467" s="26"/>
      <c r="T1467" s="26"/>
      <c r="U1467" s="26"/>
      <c r="V1467" s="26"/>
      <c r="W1467" s="26"/>
      <c r="X1467" s="26"/>
      <c r="Y1467" s="26"/>
      <c r="Z1467" s="26"/>
    </row>
    <row r="1468" ht="33.75" customHeight="1">
      <c r="A1468" s="11" t="s">
        <v>1545</v>
      </c>
      <c r="B1468" s="22" t="s">
        <v>85</v>
      </c>
      <c r="C1468" s="11" t="s">
        <v>2155</v>
      </c>
      <c r="D1468" s="11"/>
      <c r="E1468" s="64">
        <v>46077.0</v>
      </c>
      <c r="F1468" s="14" t="s">
        <v>1133</v>
      </c>
      <c r="G1468" s="178">
        <v>5000.0</v>
      </c>
      <c r="H1468" s="16">
        <v>3449.0</v>
      </c>
      <c r="I1468" s="17">
        <f t="shared" si="44"/>
        <v>1551</v>
      </c>
      <c r="J1468" s="25" t="s">
        <v>1</v>
      </c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  <c r="W1468" s="26"/>
      <c r="X1468" s="26"/>
      <c r="Y1468" s="26"/>
      <c r="Z1468" s="26"/>
    </row>
    <row r="1469" ht="33.75" customHeight="1">
      <c r="A1469" s="11" t="s">
        <v>1594</v>
      </c>
      <c r="B1469" s="22" t="s">
        <v>85</v>
      </c>
      <c r="C1469" s="11" t="s">
        <v>2155</v>
      </c>
      <c r="D1469" s="11"/>
      <c r="E1469" s="64">
        <v>46077.0</v>
      </c>
      <c r="F1469" s="14" t="s">
        <v>1133</v>
      </c>
      <c r="G1469" s="178">
        <v>5000.0</v>
      </c>
      <c r="H1469" s="16">
        <v>4114.0</v>
      </c>
      <c r="I1469" s="17">
        <f t="shared" si="44"/>
        <v>886</v>
      </c>
      <c r="J1469" s="25" t="s">
        <v>1</v>
      </c>
      <c r="K1469" s="26"/>
      <c r="L1469" s="26"/>
      <c r="M1469" s="26"/>
      <c r="N1469" s="26"/>
      <c r="O1469" s="26"/>
      <c r="P1469" s="26"/>
      <c r="Q1469" s="26"/>
      <c r="R1469" s="26"/>
      <c r="S1469" s="26"/>
      <c r="T1469" s="26"/>
      <c r="U1469" s="26"/>
      <c r="V1469" s="26"/>
      <c r="W1469" s="26"/>
      <c r="X1469" s="26"/>
      <c r="Y1469" s="26"/>
      <c r="Z1469" s="26"/>
    </row>
    <row r="1470" ht="33.75" customHeight="1">
      <c r="A1470" s="11" t="s">
        <v>1116</v>
      </c>
      <c r="B1470" s="22" t="s">
        <v>85</v>
      </c>
      <c r="C1470" s="11" t="s">
        <v>2155</v>
      </c>
      <c r="D1470" s="11"/>
      <c r="E1470" s="64">
        <v>46077.0</v>
      </c>
      <c r="F1470" s="14" t="s">
        <v>1133</v>
      </c>
      <c r="G1470" s="178">
        <v>10000.0</v>
      </c>
      <c r="H1470" s="16">
        <v>8300.0</v>
      </c>
      <c r="I1470" s="17">
        <f t="shared" si="44"/>
        <v>1700</v>
      </c>
      <c r="J1470" s="25" t="s">
        <v>1</v>
      </c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6"/>
    </row>
    <row r="1471" ht="33.75" customHeight="1">
      <c r="A1471" s="11" t="s">
        <v>1574</v>
      </c>
      <c r="B1471" s="22" t="s">
        <v>85</v>
      </c>
      <c r="C1471" s="11" t="s">
        <v>2156</v>
      </c>
      <c r="D1471" s="11"/>
      <c r="E1471" s="64">
        <v>46077.0</v>
      </c>
      <c r="F1471" s="14" t="s">
        <v>1133</v>
      </c>
      <c r="G1471" s="178">
        <v>5000.0</v>
      </c>
      <c r="H1471" s="16">
        <v>3907.0</v>
      </c>
      <c r="I1471" s="17">
        <f t="shared" si="44"/>
        <v>1093</v>
      </c>
      <c r="J1471" s="25" t="s">
        <v>1</v>
      </c>
      <c r="K1471" s="26"/>
      <c r="L1471" s="26"/>
      <c r="M1471" s="26"/>
      <c r="N1471" s="26"/>
      <c r="O1471" s="26"/>
      <c r="P1471" s="26"/>
      <c r="Q1471" s="26"/>
      <c r="R1471" s="26"/>
      <c r="S1471" s="26"/>
      <c r="T1471" s="26"/>
      <c r="U1471" s="26"/>
      <c r="V1471" s="26"/>
      <c r="W1471" s="26"/>
      <c r="X1471" s="26"/>
      <c r="Y1471" s="26"/>
      <c r="Z1471" s="26"/>
    </row>
    <row r="1472" ht="33.75" customHeight="1">
      <c r="A1472" s="11" t="s">
        <v>2157</v>
      </c>
      <c r="B1472" s="22" t="s">
        <v>85</v>
      </c>
      <c r="C1472" s="11" t="s">
        <v>2156</v>
      </c>
      <c r="D1472" s="11"/>
      <c r="E1472" s="64">
        <v>46077.0</v>
      </c>
      <c r="F1472" s="14" t="s">
        <v>1133</v>
      </c>
      <c r="G1472" s="178">
        <v>5000.0</v>
      </c>
      <c r="H1472" s="16">
        <v>3518.0</v>
      </c>
      <c r="I1472" s="17">
        <f t="shared" si="44"/>
        <v>1482</v>
      </c>
      <c r="J1472" s="25" t="s">
        <v>1</v>
      </c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  <c r="W1472" s="26"/>
      <c r="X1472" s="26"/>
      <c r="Y1472" s="26"/>
      <c r="Z1472" s="26"/>
    </row>
    <row r="1473" ht="33.75" customHeight="1">
      <c r="A1473" s="11" t="s">
        <v>1508</v>
      </c>
      <c r="B1473" s="22" t="s">
        <v>85</v>
      </c>
      <c r="C1473" s="11" t="s">
        <v>2156</v>
      </c>
      <c r="D1473" s="11"/>
      <c r="E1473" s="64">
        <v>46077.0</v>
      </c>
      <c r="F1473" s="14" t="s">
        <v>1133</v>
      </c>
      <c r="G1473" s="178">
        <v>5000.0</v>
      </c>
      <c r="H1473" s="16">
        <v>5919.0</v>
      </c>
      <c r="I1473" s="17">
        <f t="shared" si="44"/>
        <v>-919</v>
      </c>
      <c r="J1473" s="25" t="s">
        <v>1</v>
      </c>
      <c r="K1473" s="26"/>
      <c r="L1473" s="26"/>
      <c r="M1473" s="26"/>
      <c r="N1473" s="26"/>
      <c r="O1473" s="26"/>
      <c r="P1473" s="26"/>
      <c r="Q1473" s="26"/>
      <c r="R1473" s="26"/>
      <c r="S1473" s="26"/>
      <c r="T1473" s="26"/>
      <c r="U1473" s="26"/>
      <c r="V1473" s="26"/>
      <c r="W1473" s="26"/>
      <c r="X1473" s="26"/>
      <c r="Y1473" s="26"/>
      <c r="Z1473" s="26"/>
    </row>
    <row r="1474" ht="33.75" customHeight="1">
      <c r="A1474" s="11" t="s">
        <v>2158</v>
      </c>
      <c r="B1474" s="22" t="s">
        <v>85</v>
      </c>
      <c r="C1474" s="11" t="s">
        <v>2156</v>
      </c>
      <c r="D1474" s="11"/>
      <c r="E1474" s="64">
        <v>46077.0</v>
      </c>
      <c r="F1474" s="14" t="s">
        <v>1133</v>
      </c>
      <c r="G1474" s="178">
        <v>10000.0</v>
      </c>
      <c r="H1474" s="16">
        <v>8378.0</v>
      </c>
      <c r="I1474" s="17">
        <f t="shared" si="44"/>
        <v>1622</v>
      </c>
      <c r="J1474" s="25" t="s">
        <v>1</v>
      </c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  <c r="W1474" s="26"/>
      <c r="X1474" s="26"/>
      <c r="Y1474" s="26"/>
      <c r="Z1474" s="26"/>
    </row>
    <row r="1475" ht="33.75" customHeight="1">
      <c r="A1475" s="11" t="s">
        <v>1294</v>
      </c>
      <c r="B1475" s="22" t="s">
        <v>85</v>
      </c>
      <c r="C1475" s="11" t="s">
        <v>2156</v>
      </c>
      <c r="D1475" s="11"/>
      <c r="E1475" s="64">
        <v>46077.0</v>
      </c>
      <c r="F1475" s="14" t="s">
        <v>1133</v>
      </c>
      <c r="G1475" s="178">
        <v>5000.0</v>
      </c>
      <c r="H1475" s="16">
        <v>4592.0</v>
      </c>
      <c r="I1475" s="17">
        <f t="shared" si="44"/>
        <v>408</v>
      </c>
      <c r="J1475" s="25" t="s">
        <v>1</v>
      </c>
      <c r="K1475" s="26"/>
      <c r="L1475" s="26"/>
      <c r="M1475" s="26"/>
      <c r="N1475" s="26"/>
      <c r="O1475" s="26"/>
      <c r="P1475" s="26"/>
      <c r="Q1475" s="26"/>
      <c r="R1475" s="26"/>
      <c r="S1475" s="26"/>
      <c r="T1475" s="26"/>
      <c r="U1475" s="26"/>
      <c r="V1475" s="26"/>
      <c r="W1475" s="26"/>
      <c r="X1475" s="26"/>
      <c r="Y1475" s="26"/>
      <c r="Z1475" s="26"/>
    </row>
    <row r="1476" ht="33.75" customHeight="1">
      <c r="A1476" s="11" t="s">
        <v>1991</v>
      </c>
      <c r="B1476" s="22" t="s">
        <v>85</v>
      </c>
      <c r="C1476" s="11" t="s">
        <v>2156</v>
      </c>
      <c r="D1476" s="11"/>
      <c r="E1476" s="64">
        <v>46077.0</v>
      </c>
      <c r="F1476" s="14" t="s">
        <v>1133</v>
      </c>
      <c r="G1476" s="178">
        <v>5000.0</v>
      </c>
      <c r="H1476" s="16">
        <v>4650.0</v>
      </c>
      <c r="I1476" s="17">
        <f t="shared" si="44"/>
        <v>350</v>
      </c>
      <c r="J1476" s="25" t="s">
        <v>1</v>
      </c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  <c r="W1476" s="26"/>
      <c r="X1476" s="26"/>
      <c r="Y1476" s="26"/>
      <c r="Z1476" s="26"/>
    </row>
    <row r="1477" ht="33.75" customHeight="1">
      <c r="A1477" s="11" t="s">
        <v>1709</v>
      </c>
      <c r="B1477" s="22" t="s">
        <v>85</v>
      </c>
      <c r="C1477" s="11" t="s">
        <v>2156</v>
      </c>
      <c r="D1477" s="11"/>
      <c r="E1477" s="64">
        <v>46077.0</v>
      </c>
      <c r="F1477" s="14" t="s">
        <v>1133</v>
      </c>
      <c r="G1477" s="178">
        <v>5000.0</v>
      </c>
      <c r="H1477" s="16">
        <v>4535.0</v>
      </c>
      <c r="I1477" s="17">
        <f t="shared" si="44"/>
        <v>465</v>
      </c>
      <c r="J1477" s="25" t="s">
        <v>1</v>
      </c>
      <c r="K1477" s="26"/>
      <c r="L1477" s="26"/>
      <c r="M1477" s="26"/>
      <c r="N1477" s="26"/>
      <c r="O1477" s="26"/>
      <c r="P1477" s="26"/>
      <c r="Q1477" s="26"/>
      <c r="R1477" s="26"/>
      <c r="S1477" s="26"/>
      <c r="T1477" s="26"/>
      <c r="U1477" s="26"/>
      <c r="V1477" s="26"/>
      <c r="W1477" s="26"/>
      <c r="X1477" s="26"/>
      <c r="Y1477" s="26"/>
      <c r="Z1477" s="26"/>
    </row>
    <row r="1478" ht="33.75" customHeight="1">
      <c r="A1478" s="11" t="s">
        <v>1863</v>
      </c>
      <c r="B1478" s="22" t="s">
        <v>85</v>
      </c>
      <c r="C1478" s="11" t="s">
        <v>2159</v>
      </c>
      <c r="D1478" s="11"/>
      <c r="E1478" s="64">
        <v>46077.0</v>
      </c>
      <c r="F1478" s="14" t="s">
        <v>1133</v>
      </c>
      <c r="G1478" s="178">
        <v>5000.0</v>
      </c>
      <c r="H1478" s="16">
        <v>1697.0</v>
      </c>
      <c r="I1478" s="17">
        <f t="shared" si="44"/>
        <v>3303</v>
      </c>
      <c r="J1478" s="25" t="s">
        <v>1</v>
      </c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  <c r="W1478" s="26"/>
      <c r="X1478" s="26"/>
      <c r="Y1478" s="26"/>
      <c r="Z1478" s="26"/>
    </row>
    <row r="1479" ht="33.75" customHeight="1">
      <c r="A1479" s="11" t="s">
        <v>1551</v>
      </c>
      <c r="B1479" s="22" t="s">
        <v>85</v>
      </c>
      <c r="C1479" s="11" t="s">
        <v>2159</v>
      </c>
      <c r="D1479" s="11"/>
      <c r="E1479" s="64">
        <v>46077.0</v>
      </c>
      <c r="F1479" s="14" t="s">
        <v>1133</v>
      </c>
      <c r="G1479" s="178">
        <v>10000.0</v>
      </c>
      <c r="H1479" s="16">
        <v>7434.0</v>
      </c>
      <c r="I1479" s="17">
        <f t="shared" si="44"/>
        <v>2566</v>
      </c>
      <c r="J1479" s="25" t="s">
        <v>1</v>
      </c>
      <c r="K1479" s="26"/>
      <c r="L1479" s="26"/>
      <c r="M1479" s="26"/>
      <c r="N1479" s="26"/>
      <c r="O1479" s="26"/>
      <c r="P1479" s="26"/>
      <c r="Q1479" s="26"/>
      <c r="R1479" s="26"/>
      <c r="S1479" s="26"/>
      <c r="T1479" s="26"/>
      <c r="U1479" s="26"/>
      <c r="V1479" s="26"/>
      <c r="W1479" s="26"/>
      <c r="X1479" s="26"/>
      <c r="Y1479" s="26"/>
      <c r="Z1479" s="26"/>
    </row>
    <row r="1480" ht="33.75" customHeight="1">
      <c r="A1480" s="11" t="s">
        <v>374</v>
      </c>
      <c r="B1480" s="22" t="s">
        <v>85</v>
      </c>
      <c r="C1480" s="11" t="s">
        <v>2159</v>
      </c>
      <c r="D1480" s="11"/>
      <c r="E1480" s="64">
        <v>46077.0</v>
      </c>
      <c r="F1480" s="14" t="s">
        <v>1133</v>
      </c>
      <c r="G1480" s="178">
        <v>10000.0</v>
      </c>
      <c r="H1480" s="16">
        <v>7869.0</v>
      </c>
      <c r="I1480" s="17">
        <f t="shared" si="44"/>
        <v>2131</v>
      </c>
      <c r="J1480" s="25" t="s">
        <v>1</v>
      </c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  <c r="W1480" s="26"/>
      <c r="X1480" s="26"/>
      <c r="Y1480" s="26"/>
      <c r="Z1480" s="26"/>
    </row>
    <row r="1481" ht="33.75" customHeight="1">
      <c r="A1481" s="11" t="s">
        <v>1241</v>
      </c>
      <c r="B1481" s="22" t="s">
        <v>85</v>
      </c>
      <c r="C1481" s="11" t="s">
        <v>2159</v>
      </c>
      <c r="D1481" s="11"/>
      <c r="E1481" s="64">
        <v>46077.0</v>
      </c>
      <c r="F1481" s="14" t="s">
        <v>1133</v>
      </c>
      <c r="G1481" s="178">
        <v>10000.0</v>
      </c>
      <c r="H1481" s="16">
        <v>7416.0</v>
      </c>
      <c r="I1481" s="17">
        <f t="shared" si="44"/>
        <v>2584</v>
      </c>
      <c r="J1481" s="25" t="s">
        <v>1</v>
      </c>
      <c r="K1481" s="26"/>
      <c r="L1481" s="26"/>
      <c r="M1481" s="26"/>
      <c r="N1481" s="26"/>
      <c r="O1481" s="26"/>
      <c r="P1481" s="26"/>
      <c r="Q1481" s="26"/>
      <c r="R1481" s="26"/>
      <c r="S1481" s="26"/>
      <c r="T1481" s="26"/>
      <c r="U1481" s="26"/>
      <c r="V1481" s="26"/>
      <c r="W1481" s="26"/>
      <c r="X1481" s="26"/>
      <c r="Y1481" s="26"/>
      <c r="Z1481" s="26"/>
    </row>
    <row r="1482" ht="33.75" customHeight="1">
      <c r="A1482" s="195" t="s">
        <v>1173</v>
      </c>
      <c r="B1482" s="196" t="s">
        <v>85</v>
      </c>
      <c r="C1482" s="195" t="s">
        <v>2156</v>
      </c>
      <c r="D1482" s="195"/>
      <c r="E1482" s="197">
        <v>46077.0</v>
      </c>
      <c r="F1482" s="198" t="s">
        <v>1133</v>
      </c>
      <c r="G1482" s="199">
        <v>10000.0</v>
      </c>
      <c r="H1482" s="282"/>
      <c r="I1482" s="201">
        <f t="shared" si="44"/>
        <v>10000</v>
      </c>
      <c r="J1482" s="302" t="s">
        <v>2160</v>
      </c>
      <c r="K1482" s="303"/>
      <c r="L1482" s="303"/>
      <c r="M1482" s="303"/>
      <c r="N1482" s="303"/>
      <c r="O1482" s="303"/>
      <c r="P1482" s="303"/>
      <c r="Q1482" s="303"/>
      <c r="R1482" s="303"/>
      <c r="S1482" s="303"/>
      <c r="T1482" s="303"/>
      <c r="U1482" s="303"/>
      <c r="V1482" s="303"/>
      <c r="W1482" s="303"/>
      <c r="X1482" s="303"/>
      <c r="Y1482" s="303"/>
      <c r="Z1482" s="303"/>
    </row>
    <row r="1483" ht="33.75" customHeight="1">
      <c r="A1483" s="195" t="s">
        <v>1842</v>
      </c>
      <c r="B1483" s="196" t="s">
        <v>85</v>
      </c>
      <c r="C1483" s="195" t="s">
        <v>2155</v>
      </c>
      <c r="D1483" s="195"/>
      <c r="E1483" s="197">
        <v>46077.0</v>
      </c>
      <c r="F1483" s="198" t="s">
        <v>1133</v>
      </c>
      <c r="G1483" s="199">
        <v>5000.0</v>
      </c>
      <c r="H1483" s="282"/>
      <c r="I1483" s="201">
        <f t="shared" si="44"/>
        <v>5000</v>
      </c>
      <c r="J1483" s="302" t="s">
        <v>2160</v>
      </c>
      <c r="K1483" s="303"/>
      <c r="L1483" s="303"/>
      <c r="M1483" s="303"/>
      <c r="N1483" s="303"/>
      <c r="O1483" s="303"/>
      <c r="P1483" s="303"/>
      <c r="Q1483" s="303"/>
      <c r="R1483" s="303"/>
      <c r="S1483" s="303"/>
      <c r="T1483" s="303"/>
      <c r="U1483" s="303"/>
      <c r="V1483" s="303"/>
      <c r="W1483" s="303"/>
      <c r="X1483" s="303"/>
      <c r="Y1483" s="303"/>
      <c r="Z1483" s="303"/>
    </row>
    <row r="1484" ht="33.75" customHeight="1">
      <c r="A1484" s="11" t="s">
        <v>1451</v>
      </c>
      <c r="B1484" s="22" t="s">
        <v>1753</v>
      </c>
      <c r="C1484" s="11" t="s">
        <v>2125</v>
      </c>
      <c r="D1484" s="11"/>
      <c r="E1484" s="64">
        <v>46136.0</v>
      </c>
      <c r="F1484" s="14" t="s">
        <v>1191</v>
      </c>
      <c r="G1484" s="178">
        <v>2426.0</v>
      </c>
      <c r="H1484" s="16">
        <v>2049.0</v>
      </c>
      <c r="I1484" s="17">
        <f t="shared" si="44"/>
        <v>377</v>
      </c>
      <c r="J1484" s="25" t="s">
        <v>1</v>
      </c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  <c r="W1484" s="26"/>
      <c r="X1484" s="26"/>
      <c r="Y1484" s="26"/>
      <c r="Z1484" s="26"/>
    </row>
    <row r="1485" ht="33.75" customHeight="1">
      <c r="A1485" s="11" t="s">
        <v>109</v>
      </c>
      <c r="B1485" s="22" t="s">
        <v>62</v>
      </c>
      <c r="C1485" s="11" t="s">
        <v>2013</v>
      </c>
      <c r="D1485" s="11"/>
      <c r="E1485" s="64">
        <v>46136.0</v>
      </c>
      <c r="F1485" s="14" t="s">
        <v>287</v>
      </c>
      <c r="G1485" s="178">
        <v>544.0</v>
      </c>
      <c r="H1485" s="16">
        <v>530.0</v>
      </c>
      <c r="I1485" s="17">
        <f t="shared" si="44"/>
        <v>14</v>
      </c>
      <c r="J1485" s="25" t="s">
        <v>1</v>
      </c>
      <c r="K1485" s="26"/>
      <c r="L1485" s="26"/>
      <c r="M1485" s="26"/>
      <c r="N1485" s="26"/>
      <c r="O1485" s="26"/>
      <c r="P1485" s="26"/>
      <c r="Q1485" s="26"/>
      <c r="R1485" s="26"/>
      <c r="S1485" s="26"/>
      <c r="T1485" s="26"/>
      <c r="U1485" s="26"/>
      <c r="V1485" s="26"/>
      <c r="W1485" s="26"/>
      <c r="X1485" s="26"/>
      <c r="Y1485" s="26"/>
      <c r="Z1485" s="26"/>
    </row>
    <row r="1486" ht="33.75" customHeight="1">
      <c r="A1486" s="11" t="s">
        <v>109</v>
      </c>
      <c r="B1486" s="22" t="s">
        <v>62</v>
      </c>
      <c r="C1486" s="11" t="s">
        <v>2013</v>
      </c>
      <c r="D1486" s="11"/>
      <c r="E1486" s="64">
        <v>46136.0</v>
      </c>
      <c r="F1486" s="14" t="s">
        <v>287</v>
      </c>
      <c r="G1486" s="178">
        <v>597.0</v>
      </c>
      <c r="H1486" s="16">
        <v>550.0</v>
      </c>
      <c r="I1486" s="17">
        <f t="shared" si="44"/>
        <v>47</v>
      </c>
      <c r="J1486" s="25" t="s">
        <v>1</v>
      </c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  <c r="W1486" s="26"/>
      <c r="X1486" s="26"/>
      <c r="Y1486" s="26"/>
      <c r="Z1486" s="26"/>
    </row>
    <row r="1487" ht="33.75" customHeight="1">
      <c r="A1487" s="11" t="s">
        <v>2018</v>
      </c>
      <c r="B1487" s="22" t="s">
        <v>2161</v>
      </c>
      <c r="C1487" s="11" t="s">
        <v>2141</v>
      </c>
      <c r="D1487" s="11"/>
      <c r="E1487" s="64">
        <v>46136.0</v>
      </c>
      <c r="F1487" s="14" t="s">
        <v>17</v>
      </c>
      <c r="G1487" s="178">
        <v>10000.0</v>
      </c>
      <c r="H1487" s="16">
        <v>7818.0</v>
      </c>
      <c r="I1487" s="17">
        <f t="shared" si="44"/>
        <v>2182</v>
      </c>
      <c r="J1487" s="25" t="s">
        <v>1</v>
      </c>
      <c r="K1487" s="26"/>
      <c r="L1487" s="26"/>
      <c r="M1487" s="26"/>
      <c r="N1487" s="26"/>
      <c r="O1487" s="26"/>
      <c r="P1487" s="26"/>
      <c r="Q1487" s="26"/>
      <c r="R1487" s="26"/>
      <c r="S1487" s="26"/>
      <c r="T1487" s="26"/>
      <c r="U1487" s="26"/>
      <c r="V1487" s="26"/>
      <c r="W1487" s="26"/>
      <c r="X1487" s="26"/>
      <c r="Y1487" s="26"/>
      <c r="Z1487" s="26"/>
    </row>
    <row r="1488" ht="33.75" customHeight="1">
      <c r="A1488" s="11" t="s">
        <v>489</v>
      </c>
      <c r="B1488" s="22" t="s">
        <v>85</v>
      </c>
      <c r="C1488" s="11" t="s">
        <v>2162</v>
      </c>
      <c r="D1488" s="11"/>
      <c r="E1488" s="64">
        <v>46136.0</v>
      </c>
      <c r="F1488" s="14" t="s">
        <v>1141</v>
      </c>
      <c r="G1488" s="178">
        <v>40000.0</v>
      </c>
      <c r="H1488" s="16">
        <v>34448.0</v>
      </c>
      <c r="I1488" s="17">
        <f t="shared" si="44"/>
        <v>5552</v>
      </c>
      <c r="J1488" s="25" t="s">
        <v>1</v>
      </c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  <c r="W1488" s="26"/>
      <c r="X1488" s="26"/>
      <c r="Y1488" s="26"/>
      <c r="Z1488" s="26"/>
    </row>
    <row r="1489" ht="33.75" customHeight="1">
      <c r="A1489" s="11" t="s">
        <v>1587</v>
      </c>
      <c r="B1489" s="22" t="s">
        <v>88</v>
      </c>
      <c r="C1489" s="11" t="s">
        <v>2163</v>
      </c>
      <c r="D1489" s="11"/>
      <c r="E1489" s="64">
        <v>46077.0</v>
      </c>
      <c r="F1489" s="14" t="s">
        <v>287</v>
      </c>
      <c r="G1489" s="178">
        <v>37892.0</v>
      </c>
      <c r="H1489" s="16">
        <v>31270.0</v>
      </c>
      <c r="I1489" s="17">
        <f t="shared" si="44"/>
        <v>6622</v>
      </c>
      <c r="J1489" s="25" t="s">
        <v>1</v>
      </c>
      <c r="K1489" s="26"/>
      <c r="L1489" s="26"/>
      <c r="M1489" s="26"/>
      <c r="N1489" s="26"/>
      <c r="O1489" s="26"/>
      <c r="P1489" s="26"/>
      <c r="Q1489" s="26"/>
      <c r="R1489" s="26"/>
      <c r="S1489" s="26"/>
      <c r="T1489" s="26"/>
      <c r="U1489" s="26"/>
      <c r="V1489" s="26"/>
      <c r="W1489" s="26"/>
      <c r="X1489" s="26"/>
      <c r="Y1489" s="26"/>
      <c r="Z1489" s="26"/>
    </row>
    <row r="1490" ht="33.75" customHeight="1">
      <c r="A1490" s="11" t="s">
        <v>28</v>
      </c>
      <c r="B1490" s="22" t="s">
        <v>37</v>
      </c>
      <c r="C1490" s="11" t="s">
        <v>2153</v>
      </c>
      <c r="D1490" s="11"/>
      <c r="E1490" s="64">
        <v>46077.0</v>
      </c>
      <c r="F1490" s="14" t="s">
        <v>17</v>
      </c>
      <c r="G1490" s="15" t="s">
        <v>336</v>
      </c>
      <c r="H1490" s="16">
        <v>10084.0</v>
      </c>
      <c r="I1490" s="17">
        <f t="shared" si="44"/>
        <v>916</v>
      </c>
      <c r="J1490" s="25" t="s">
        <v>1</v>
      </c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  <c r="W1490" s="26"/>
      <c r="X1490" s="26"/>
      <c r="Y1490" s="26"/>
      <c r="Z1490" s="26"/>
    </row>
    <row r="1491" ht="33.75" customHeight="1">
      <c r="A1491" s="11" t="s">
        <v>2137</v>
      </c>
      <c r="B1491" s="22" t="s">
        <v>2164</v>
      </c>
      <c r="C1491" s="11" t="s">
        <v>2165</v>
      </c>
      <c r="D1491" s="11"/>
      <c r="E1491" s="64">
        <v>46077.0</v>
      </c>
      <c r="F1491" s="14" t="s">
        <v>17</v>
      </c>
      <c r="G1491" s="15" t="s">
        <v>2166</v>
      </c>
      <c r="H1491" s="28"/>
      <c r="I1491" s="17">
        <f t="shared" si="44"/>
        <v>52149</v>
      </c>
      <c r="J1491" s="25" t="s">
        <v>2139</v>
      </c>
      <c r="K1491" s="26"/>
      <c r="L1491" s="26"/>
      <c r="M1491" s="26"/>
      <c r="N1491" s="26"/>
      <c r="O1491" s="26"/>
      <c r="P1491" s="26"/>
      <c r="Q1491" s="26"/>
      <c r="R1491" s="26"/>
      <c r="S1491" s="26"/>
      <c r="T1491" s="26"/>
      <c r="U1491" s="26"/>
      <c r="V1491" s="26"/>
      <c r="W1491" s="26"/>
      <c r="X1491" s="26"/>
      <c r="Y1491" s="26"/>
      <c r="Z1491" s="26"/>
    </row>
    <row r="1492" ht="33.75" customHeight="1">
      <c r="A1492" s="11" t="s">
        <v>489</v>
      </c>
      <c r="B1492" s="22" t="s">
        <v>2167</v>
      </c>
      <c r="C1492" s="11" t="s">
        <v>2168</v>
      </c>
      <c r="D1492" s="11"/>
      <c r="E1492" s="64">
        <v>46077.0</v>
      </c>
      <c r="F1492" s="14" t="s">
        <v>287</v>
      </c>
      <c r="G1492" s="15" t="s">
        <v>2169</v>
      </c>
      <c r="H1492" s="16">
        <v>40345.0</v>
      </c>
      <c r="I1492" s="17">
        <f t="shared" si="44"/>
        <v>6234</v>
      </c>
      <c r="J1492" s="25" t="s">
        <v>1</v>
      </c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  <c r="W1492" s="26"/>
      <c r="X1492" s="26"/>
      <c r="Y1492" s="26"/>
      <c r="Z1492" s="26"/>
    </row>
    <row r="1493" ht="33.75" customHeight="1">
      <c r="A1493" s="11" t="s">
        <v>1442</v>
      </c>
      <c r="B1493" s="22" t="s">
        <v>15</v>
      </c>
      <c r="C1493" s="11" t="s">
        <v>2170</v>
      </c>
      <c r="D1493" s="33"/>
      <c r="E1493" s="76">
        <v>46077.0</v>
      </c>
      <c r="F1493" s="14" t="s">
        <v>17</v>
      </c>
      <c r="G1493" s="15" t="s">
        <v>2171</v>
      </c>
      <c r="H1493" s="16">
        <v>10212.0</v>
      </c>
      <c r="I1493" s="17">
        <f t="shared" si="44"/>
        <v>2034</v>
      </c>
      <c r="J1493" s="25" t="s">
        <v>1</v>
      </c>
      <c r="K1493" s="26"/>
      <c r="L1493" s="26"/>
      <c r="M1493" s="26"/>
      <c r="N1493" s="26"/>
      <c r="O1493" s="26"/>
      <c r="P1493" s="26"/>
      <c r="Q1493" s="26"/>
      <c r="R1493" s="26"/>
      <c r="S1493" s="26"/>
      <c r="T1493" s="26"/>
      <c r="U1493" s="26"/>
      <c r="V1493" s="26"/>
      <c r="W1493" s="26"/>
      <c r="X1493" s="26"/>
      <c r="Y1493" s="26"/>
      <c r="Z1493" s="26"/>
    </row>
    <row r="1494" ht="33.75" customHeight="1">
      <c r="A1494" s="25" t="s">
        <v>2172</v>
      </c>
      <c r="B1494" s="25" t="s">
        <v>15</v>
      </c>
      <c r="C1494" s="25" t="s">
        <v>2173</v>
      </c>
      <c r="D1494" s="152"/>
      <c r="E1494" s="136">
        <v>46077.0</v>
      </c>
      <c r="F1494" s="25" t="s">
        <v>1141</v>
      </c>
      <c r="G1494" s="25">
        <v>30449.0</v>
      </c>
      <c r="H1494" s="25">
        <v>24843.0</v>
      </c>
      <c r="I1494" s="25">
        <f t="shared" si="44"/>
        <v>5606</v>
      </c>
      <c r="J1494" s="25" t="s">
        <v>1</v>
      </c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  <c r="W1494" s="26"/>
      <c r="X1494" s="26"/>
      <c r="Y1494" s="26"/>
      <c r="Z1494" s="26"/>
    </row>
    <row r="1495" ht="33.75" customHeight="1">
      <c r="A1495" s="25" t="s">
        <v>2028</v>
      </c>
      <c r="B1495" s="25" t="s">
        <v>1011</v>
      </c>
      <c r="C1495" s="25" t="s">
        <v>2029</v>
      </c>
      <c r="D1495" s="26"/>
      <c r="E1495" s="76">
        <v>46078.0</v>
      </c>
      <c r="F1495" s="25" t="s">
        <v>1141</v>
      </c>
      <c r="G1495" s="25">
        <v>992.0</v>
      </c>
      <c r="H1495" s="25">
        <v>719.0</v>
      </c>
      <c r="I1495" s="25">
        <f t="shared" si="44"/>
        <v>273</v>
      </c>
      <c r="J1495" s="25" t="s">
        <v>1</v>
      </c>
      <c r="K1495" s="26"/>
      <c r="L1495" s="26"/>
      <c r="M1495" s="26"/>
      <c r="N1495" s="26"/>
      <c r="O1495" s="26"/>
      <c r="P1495" s="26"/>
      <c r="Q1495" s="26"/>
      <c r="R1495" s="26"/>
      <c r="S1495" s="26"/>
      <c r="T1495" s="26"/>
      <c r="U1495" s="26"/>
      <c r="V1495" s="26"/>
      <c r="W1495" s="26"/>
      <c r="X1495" s="26"/>
      <c r="Y1495" s="26"/>
      <c r="Z1495" s="26"/>
    </row>
    <row r="1496" ht="33.75" customHeight="1">
      <c r="A1496" s="11" t="s">
        <v>28</v>
      </c>
      <c r="B1496" s="22" t="s">
        <v>85</v>
      </c>
      <c r="C1496" s="11" t="s">
        <v>2174</v>
      </c>
      <c r="D1496" s="11"/>
      <c r="E1496" s="64">
        <v>46078.0</v>
      </c>
      <c r="F1496" s="14" t="s">
        <v>17</v>
      </c>
      <c r="G1496" s="15" t="s">
        <v>336</v>
      </c>
      <c r="H1496" s="16">
        <v>8234.0</v>
      </c>
      <c r="I1496" s="17">
        <f t="shared" si="44"/>
        <v>2766</v>
      </c>
      <c r="J1496" s="25" t="s">
        <v>1</v>
      </c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  <c r="W1496" s="26"/>
      <c r="X1496" s="26"/>
      <c r="Y1496" s="26"/>
      <c r="Z1496" s="26"/>
    </row>
    <row r="1497" ht="33.75" customHeight="1">
      <c r="A1497" s="11" t="s">
        <v>1533</v>
      </c>
      <c r="B1497" s="22" t="s">
        <v>44</v>
      </c>
      <c r="C1497" s="11" t="s">
        <v>2005</v>
      </c>
      <c r="D1497" s="11"/>
      <c r="E1497" s="64">
        <v>46078.0</v>
      </c>
      <c r="F1497" s="14" t="s">
        <v>17</v>
      </c>
      <c r="G1497" s="15" t="s">
        <v>2175</v>
      </c>
      <c r="H1497" s="16">
        <v>1622.0</v>
      </c>
      <c r="I1497" s="17">
        <f t="shared" si="44"/>
        <v>883</v>
      </c>
      <c r="J1497" s="25" t="s">
        <v>1</v>
      </c>
      <c r="K1497" s="26"/>
      <c r="L1497" s="26"/>
      <c r="M1497" s="26"/>
      <c r="N1497" s="26"/>
      <c r="O1497" s="26"/>
      <c r="P1497" s="26"/>
      <c r="Q1497" s="26"/>
      <c r="R1497" s="26"/>
      <c r="S1497" s="26"/>
      <c r="T1497" s="26"/>
      <c r="U1497" s="26"/>
      <c r="V1497" s="26"/>
      <c r="W1497" s="26"/>
      <c r="X1497" s="26"/>
      <c r="Y1497" s="26"/>
      <c r="Z1497" s="26"/>
    </row>
    <row r="1498" ht="33.75" customHeight="1">
      <c r="A1498" s="11" t="s">
        <v>77</v>
      </c>
      <c r="B1498" s="22" t="s">
        <v>49</v>
      </c>
      <c r="C1498" s="11" t="s">
        <v>2176</v>
      </c>
      <c r="D1498" s="11"/>
      <c r="E1498" s="64">
        <v>46078.0</v>
      </c>
      <c r="F1498" s="14" t="s">
        <v>1141</v>
      </c>
      <c r="G1498" s="15" t="s">
        <v>684</v>
      </c>
      <c r="H1498" s="16">
        <v>14028.0</v>
      </c>
      <c r="I1498" s="17">
        <f t="shared" si="44"/>
        <v>20972</v>
      </c>
      <c r="J1498" s="25" t="s">
        <v>1</v>
      </c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  <c r="W1498" s="26"/>
      <c r="X1498" s="26"/>
      <c r="Y1498" s="26"/>
      <c r="Z1498" s="26"/>
    </row>
    <row r="1499" ht="33.75" customHeight="1">
      <c r="A1499" s="11" t="s">
        <v>1587</v>
      </c>
      <c r="B1499" s="22" t="s">
        <v>2177</v>
      </c>
      <c r="C1499" s="11" t="s">
        <v>2178</v>
      </c>
      <c r="D1499" s="11"/>
      <c r="E1499" s="64">
        <v>46078.0</v>
      </c>
      <c r="F1499" s="14" t="s">
        <v>287</v>
      </c>
      <c r="G1499" s="15" t="s">
        <v>2179</v>
      </c>
      <c r="H1499" s="16">
        <v>22234.0</v>
      </c>
      <c r="I1499" s="17">
        <f t="shared" si="44"/>
        <v>11252</v>
      </c>
      <c r="J1499" s="220" t="s">
        <v>1</v>
      </c>
      <c r="K1499" s="221"/>
      <c r="L1499" s="221"/>
      <c r="M1499" s="221"/>
      <c r="N1499" s="221"/>
      <c r="O1499" s="221"/>
      <c r="P1499" s="221"/>
      <c r="Q1499" s="221"/>
      <c r="R1499" s="221"/>
      <c r="S1499" s="221"/>
      <c r="T1499" s="221"/>
      <c r="U1499" s="221"/>
      <c r="V1499" s="221"/>
      <c r="W1499" s="221"/>
      <c r="X1499" s="221"/>
      <c r="Y1499" s="221"/>
      <c r="Z1499" s="221"/>
    </row>
    <row r="1500" ht="33.75" customHeight="1">
      <c r="A1500" s="11" t="s">
        <v>1587</v>
      </c>
      <c r="B1500" s="22" t="s">
        <v>1244</v>
      </c>
      <c r="C1500" s="11" t="s">
        <v>2180</v>
      </c>
      <c r="D1500" s="11"/>
      <c r="E1500" s="64">
        <v>46078.0</v>
      </c>
      <c r="F1500" s="14" t="s">
        <v>287</v>
      </c>
      <c r="G1500" s="178">
        <v>33486.0</v>
      </c>
      <c r="H1500" s="16">
        <v>27885.0</v>
      </c>
      <c r="I1500" s="17">
        <f t="shared" si="44"/>
        <v>5601</v>
      </c>
      <c r="J1500" s="220" t="s">
        <v>1</v>
      </c>
      <c r="K1500" s="221"/>
      <c r="L1500" s="221"/>
      <c r="M1500" s="221"/>
      <c r="N1500" s="221"/>
      <c r="O1500" s="221"/>
      <c r="P1500" s="221"/>
      <c r="Q1500" s="221"/>
      <c r="R1500" s="221"/>
      <c r="S1500" s="221"/>
      <c r="T1500" s="221"/>
      <c r="U1500" s="221"/>
      <c r="V1500" s="221"/>
      <c r="W1500" s="221"/>
      <c r="X1500" s="221"/>
      <c r="Y1500" s="221"/>
      <c r="Z1500" s="221"/>
    </row>
    <row r="1501" ht="33.75" customHeight="1">
      <c r="A1501" s="11" t="s">
        <v>1587</v>
      </c>
      <c r="B1501" s="22" t="s">
        <v>91</v>
      </c>
      <c r="C1501" s="11" t="s">
        <v>2181</v>
      </c>
      <c r="D1501" s="33"/>
      <c r="E1501" s="64">
        <v>46078.0</v>
      </c>
      <c r="F1501" s="14" t="s">
        <v>287</v>
      </c>
      <c r="G1501" s="178">
        <v>33486.0</v>
      </c>
      <c r="H1501" s="16">
        <v>28794.0</v>
      </c>
      <c r="I1501" s="17">
        <f t="shared" si="44"/>
        <v>4692</v>
      </c>
      <c r="J1501" s="220" t="s">
        <v>1</v>
      </c>
      <c r="K1501" s="221"/>
      <c r="L1501" s="221"/>
      <c r="M1501" s="221"/>
      <c r="N1501" s="221"/>
      <c r="O1501" s="221"/>
      <c r="P1501" s="221"/>
      <c r="Q1501" s="221"/>
      <c r="R1501" s="221"/>
      <c r="S1501" s="221"/>
      <c r="T1501" s="221"/>
      <c r="U1501" s="221"/>
      <c r="V1501" s="221"/>
      <c r="W1501" s="221"/>
      <c r="X1501" s="221"/>
      <c r="Y1501" s="221"/>
      <c r="Z1501" s="221"/>
    </row>
    <row r="1502" ht="33.75" customHeight="1">
      <c r="A1502" s="11" t="s">
        <v>1587</v>
      </c>
      <c r="B1502" s="22" t="s">
        <v>15</v>
      </c>
      <c r="C1502" s="66" t="s">
        <v>2182</v>
      </c>
      <c r="D1502" s="34"/>
      <c r="E1502" s="78">
        <v>46078.0</v>
      </c>
      <c r="F1502" s="14" t="s">
        <v>287</v>
      </c>
      <c r="G1502" s="178">
        <v>33486.0</v>
      </c>
      <c r="H1502" s="16">
        <v>32177.0</v>
      </c>
      <c r="I1502" s="17">
        <f t="shared" si="44"/>
        <v>1309</v>
      </c>
      <c r="J1502" s="25" t="s">
        <v>1</v>
      </c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  <c r="W1502" s="26"/>
      <c r="X1502" s="26"/>
      <c r="Y1502" s="26"/>
      <c r="Z1502" s="26"/>
    </row>
    <row r="1503" ht="33.75" customHeight="1">
      <c r="A1503" s="25" t="s">
        <v>2183</v>
      </c>
      <c r="B1503" s="25" t="s">
        <v>1011</v>
      </c>
      <c r="C1503" s="25" t="s">
        <v>2184</v>
      </c>
      <c r="D1503" s="152"/>
      <c r="E1503" s="136">
        <v>46078.0</v>
      </c>
      <c r="F1503" s="25" t="s">
        <v>1133</v>
      </c>
      <c r="G1503" s="25">
        <v>20000.0</v>
      </c>
      <c r="H1503" s="25">
        <v>8034.0</v>
      </c>
      <c r="I1503" s="25">
        <f t="shared" si="44"/>
        <v>11966</v>
      </c>
      <c r="J1503" s="25" t="s">
        <v>1</v>
      </c>
      <c r="K1503" s="26"/>
      <c r="L1503" s="26"/>
      <c r="M1503" s="26"/>
      <c r="N1503" s="26"/>
      <c r="O1503" s="26"/>
      <c r="P1503" s="26"/>
      <c r="Q1503" s="26"/>
      <c r="R1503" s="26"/>
      <c r="S1503" s="26"/>
      <c r="T1503" s="26"/>
      <c r="U1503" s="26"/>
      <c r="V1503" s="26"/>
      <c r="W1503" s="26"/>
      <c r="X1503" s="26"/>
      <c r="Y1503" s="26"/>
      <c r="Z1503" s="26"/>
    </row>
    <row r="1504" ht="33.75" customHeight="1">
      <c r="A1504" s="25" t="s">
        <v>1524</v>
      </c>
      <c r="B1504" s="25" t="s">
        <v>85</v>
      </c>
      <c r="C1504" s="25" t="s">
        <v>2184</v>
      </c>
      <c r="D1504" s="152"/>
      <c r="E1504" s="136">
        <v>46078.0</v>
      </c>
      <c r="F1504" s="25" t="s">
        <v>1133</v>
      </c>
      <c r="G1504" s="25">
        <v>10000.0</v>
      </c>
      <c r="H1504" s="25">
        <v>4288.0</v>
      </c>
      <c r="I1504" s="25">
        <f t="shared" si="44"/>
        <v>5712</v>
      </c>
      <c r="J1504" s="25" t="s">
        <v>1</v>
      </c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  <c r="W1504" s="26"/>
      <c r="X1504" s="26"/>
      <c r="Y1504" s="26"/>
      <c r="Z1504" s="26"/>
    </row>
    <row r="1505" ht="33.75" customHeight="1">
      <c r="A1505" s="25" t="s">
        <v>2185</v>
      </c>
      <c r="B1505" s="25" t="s">
        <v>1011</v>
      </c>
      <c r="C1505" s="25" t="s">
        <v>2184</v>
      </c>
      <c r="D1505" s="152"/>
      <c r="E1505" s="136">
        <v>46078.0</v>
      </c>
      <c r="F1505" s="25" t="s">
        <v>1133</v>
      </c>
      <c r="G1505" s="25">
        <v>10000.0</v>
      </c>
      <c r="H1505" s="25">
        <v>5276.0</v>
      </c>
      <c r="I1505" s="25">
        <f t="shared" si="44"/>
        <v>4724</v>
      </c>
      <c r="J1505" s="25" t="s">
        <v>1</v>
      </c>
      <c r="K1505" s="26"/>
      <c r="L1505" s="26"/>
      <c r="M1505" s="26"/>
      <c r="N1505" s="26"/>
      <c r="O1505" s="26"/>
      <c r="P1505" s="26"/>
      <c r="Q1505" s="26"/>
      <c r="R1505" s="26"/>
      <c r="S1505" s="26"/>
      <c r="T1505" s="26"/>
      <c r="U1505" s="26"/>
      <c r="V1505" s="26"/>
      <c r="W1505" s="26"/>
      <c r="X1505" s="26"/>
      <c r="Y1505" s="26"/>
      <c r="Z1505" s="26"/>
    </row>
    <row r="1506" ht="33.75" customHeight="1">
      <c r="A1506" s="25" t="s">
        <v>1594</v>
      </c>
      <c r="B1506" s="25" t="s">
        <v>85</v>
      </c>
      <c r="C1506" s="25" t="s">
        <v>2184</v>
      </c>
      <c r="D1506" s="152"/>
      <c r="E1506" s="136">
        <v>46078.0</v>
      </c>
      <c r="F1506" s="25" t="s">
        <v>1133</v>
      </c>
      <c r="G1506" s="25">
        <v>5000.0</v>
      </c>
      <c r="H1506" s="25">
        <v>2959.0</v>
      </c>
      <c r="I1506" s="25">
        <f t="shared" si="44"/>
        <v>2041</v>
      </c>
      <c r="J1506" s="25" t="s">
        <v>1</v>
      </c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  <c r="W1506" s="26"/>
      <c r="X1506" s="26"/>
      <c r="Y1506" s="26"/>
      <c r="Z1506" s="26"/>
    </row>
    <row r="1507" ht="33.75" customHeight="1">
      <c r="A1507" s="25" t="s">
        <v>2186</v>
      </c>
      <c r="B1507" s="25" t="s">
        <v>85</v>
      </c>
      <c r="C1507" s="25" t="s">
        <v>2184</v>
      </c>
      <c r="D1507" s="152"/>
      <c r="E1507" s="136">
        <v>46078.0</v>
      </c>
      <c r="F1507" s="25" t="s">
        <v>1133</v>
      </c>
      <c r="G1507" s="25">
        <v>10000.0</v>
      </c>
      <c r="H1507" s="25">
        <v>8797.0</v>
      </c>
      <c r="I1507" s="25">
        <f t="shared" si="44"/>
        <v>1203</v>
      </c>
      <c r="J1507" s="25" t="s">
        <v>1</v>
      </c>
      <c r="K1507" s="26"/>
      <c r="L1507" s="26"/>
      <c r="M1507" s="26"/>
      <c r="N1507" s="26"/>
      <c r="O1507" s="26"/>
      <c r="P1507" s="26"/>
      <c r="Q1507" s="26"/>
      <c r="R1507" s="26"/>
      <c r="S1507" s="26"/>
      <c r="T1507" s="26"/>
      <c r="U1507" s="26"/>
      <c r="V1507" s="26"/>
      <c r="W1507" s="26"/>
      <c r="X1507" s="26"/>
      <c r="Y1507" s="26"/>
      <c r="Z1507" s="26"/>
    </row>
    <row r="1508" ht="33.75" customHeight="1">
      <c r="A1508" s="25" t="s">
        <v>2187</v>
      </c>
      <c r="B1508" s="25" t="s">
        <v>85</v>
      </c>
      <c r="C1508" s="25" t="s">
        <v>2188</v>
      </c>
      <c r="D1508" s="152"/>
      <c r="E1508" s="136">
        <v>46078.0</v>
      </c>
      <c r="F1508" s="25" t="s">
        <v>1133</v>
      </c>
      <c r="G1508" s="25">
        <v>10000.0</v>
      </c>
      <c r="H1508" s="25">
        <v>4489.0</v>
      </c>
      <c r="I1508" s="25">
        <f t="shared" si="44"/>
        <v>5511</v>
      </c>
      <c r="J1508" s="25" t="s">
        <v>1</v>
      </c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6"/>
    </row>
    <row r="1509" ht="33.75" customHeight="1">
      <c r="A1509" s="25" t="s">
        <v>2189</v>
      </c>
      <c r="B1509" s="25" t="s">
        <v>85</v>
      </c>
      <c r="C1509" s="25" t="s">
        <v>2188</v>
      </c>
      <c r="D1509" s="152"/>
      <c r="E1509" s="136">
        <v>46078.0</v>
      </c>
      <c r="F1509" s="25" t="s">
        <v>1133</v>
      </c>
      <c r="G1509" s="25">
        <v>8000.0</v>
      </c>
      <c r="H1509" s="25">
        <v>5318.0</v>
      </c>
      <c r="I1509" s="25">
        <f t="shared" si="44"/>
        <v>2682</v>
      </c>
      <c r="J1509" s="25" t="s">
        <v>1</v>
      </c>
      <c r="K1509" s="26"/>
      <c r="L1509" s="26"/>
      <c r="M1509" s="26"/>
      <c r="N1509" s="26"/>
      <c r="O1509" s="26"/>
      <c r="P1509" s="26"/>
      <c r="Q1509" s="26"/>
      <c r="R1509" s="26"/>
      <c r="S1509" s="26"/>
      <c r="T1509" s="26"/>
      <c r="U1509" s="26"/>
      <c r="V1509" s="26"/>
      <c r="W1509" s="26"/>
      <c r="X1509" s="26"/>
      <c r="Y1509" s="26"/>
      <c r="Z1509" s="26"/>
    </row>
    <row r="1510" ht="33.75" customHeight="1">
      <c r="A1510" s="25" t="s">
        <v>1842</v>
      </c>
      <c r="B1510" s="25" t="s">
        <v>85</v>
      </c>
      <c r="C1510" s="25" t="s">
        <v>2188</v>
      </c>
      <c r="D1510" s="152"/>
      <c r="E1510" s="136">
        <v>46078.0</v>
      </c>
      <c r="F1510" s="25" t="s">
        <v>1133</v>
      </c>
      <c r="G1510" s="25">
        <v>5000.0</v>
      </c>
      <c r="H1510" s="25">
        <v>3244.0</v>
      </c>
      <c r="I1510" s="25">
        <f t="shared" si="44"/>
        <v>1756</v>
      </c>
      <c r="J1510" s="25" t="s">
        <v>1</v>
      </c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  <c r="W1510" s="26"/>
      <c r="X1510" s="26"/>
      <c r="Y1510" s="26"/>
      <c r="Z1510" s="26"/>
    </row>
    <row r="1511" ht="33.75" customHeight="1">
      <c r="A1511" s="25" t="s">
        <v>516</v>
      </c>
      <c r="B1511" s="25" t="s">
        <v>1011</v>
      </c>
      <c r="C1511" s="25" t="s">
        <v>2188</v>
      </c>
      <c r="D1511" s="152"/>
      <c r="E1511" s="136">
        <v>46078.0</v>
      </c>
      <c r="F1511" s="25" t="s">
        <v>1133</v>
      </c>
      <c r="G1511" s="25">
        <v>10000.0</v>
      </c>
      <c r="H1511" s="25">
        <v>4841.0</v>
      </c>
      <c r="I1511" s="25">
        <f t="shared" si="44"/>
        <v>5159</v>
      </c>
      <c r="J1511" s="25" t="s">
        <v>1</v>
      </c>
      <c r="K1511" s="26"/>
      <c r="L1511" s="26"/>
      <c r="M1511" s="26"/>
      <c r="N1511" s="26"/>
      <c r="O1511" s="26"/>
      <c r="P1511" s="26"/>
      <c r="Q1511" s="26"/>
      <c r="R1511" s="26"/>
      <c r="S1511" s="26"/>
      <c r="T1511" s="26"/>
      <c r="U1511" s="26"/>
      <c r="V1511" s="26"/>
      <c r="W1511" s="26"/>
      <c r="X1511" s="26"/>
      <c r="Y1511" s="26"/>
      <c r="Z1511" s="26"/>
    </row>
    <row r="1512" ht="33.75" customHeight="1">
      <c r="A1512" s="25" t="s">
        <v>1527</v>
      </c>
      <c r="B1512" s="25" t="s">
        <v>1011</v>
      </c>
      <c r="C1512" s="25" t="s">
        <v>2184</v>
      </c>
      <c r="D1512" s="152"/>
      <c r="E1512" s="136">
        <v>46078.0</v>
      </c>
      <c r="F1512" s="25" t="s">
        <v>1133</v>
      </c>
      <c r="G1512" s="25">
        <v>10000.0</v>
      </c>
      <c r="H1512" s="25">
        <v>5123.0</v>
      </c>
      <c r="I1512" s="25">
        <f t="shared" si="44"/>
        <v>4877</v>
      </c>
      <c r="J1512" s="25" t="s">
        <v>1</v>
      </c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  <c r="W1512" s="26"/>
      <c r="X1512" s="26"/>
      <c r="Y1512" s="26"/>
      <c r="Z1512" s="26"/>
    </row>
    <row r="1513" ht="33.75" customHeight="1">
      <c r="A1513" s="25" t="s">
        <v>2190</v>
      </c>
      <c r="B1513" s="25" t="s">
        <v>1011</v>
      </c>
      <c r="C1513" s="25" t="s">
        <v>2188</v>
      </c>
      <c r="D1513" s="152"/>
      <c r="E1513" s="136">
        <v>46078.0</v>
      </c>
      <c r="F1513" s="25" t="s">
        <v>1133</v>
      </c>
      <c r="G1513" s="25">
        <v>10000.0</v>
      </c>
      <c r="H1513" s="25">
        <v>5131.0</v>
      </c>
      <c r="I1513" s="25">
        <f t="shared" si="44"/>
        <v>4869</v>
      </c>
      <c r="J1513" s="25" t="s">
        <v>1</v>
      </c>
      <c r="K1513" s="26"/>
      <c r="L1513" s="26"/>
      <c r="M1513" s="26"/>
      <c r="N1513" s="26"/>
      <c r="O1513" s="26"/>
      <c r="P1513" s="26"/>
      <c r="Q1513" s="26"/>
      <c r="R1513" s="26"/>
      <c r="S1513" s="26"/>
      <c r="T1513" s="26"/>
      <c r="U1513" s="26"/>
      <c r="V1513" s="26"/>
      <c r="W1513" s="26"/>
      <c r="X1513" s="26"/>
      <c r="Y1513" s="26"/>
      <c r="Z1513" s="26"/>
    </row>
    <row r="1514" ht="33.75" customHeight="1">
      <c r="A1514" s="25" t="s">
        <v>667</v>
      </c>
      <c r="B1514" s="25" t="s">
        <v>1011</v>
      </c>
      <c r="C1514" s="25" t="s">
        <v>2184</v>
      </c>
      <c r="D1514" s="152"/>
      <c r="E1514" s="136">
        <v>46078.0</v>
      </c>
      <c r="F1514" s="25" t="s">
        <v>1133</v>
      </c>
      <c r="G1514" s="25">
        <v>10000.0</v>
      </c>
      <c r="H1514" s="25">
        <v>5100.0</v>
      </c>
      <c r="I1514" s="25">
        <f t="shared" si="44"/>
        <v>4900</v>
      </c>
      <c r="J1514" s="25" t="s">
        <v>1</v>
      </c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  <c r="W1514" s="26"/>
      <c r="X1514" s="26"/>
      <c r="Y1514" s="26"/>
      <c r="Z1514" s="26"/>
    </row>
    <row r="1515" ht="33.75" customHeight="1">
      <c r="A1515" s="25" t="s">
        <v>2038</v>
      </c>
      <c r="B1515" s="25" t="s">
        <v>85</v>
      </c>
      <c r="C1515" s="25" t="s">
        <v>2191</v>
      </c>
      <c r="D1515" s="152"/>
      <c r="E1515" s="136">
        <v>46078.0</v>
      </c>
      <c r="F1515" s="25" t="s">
        <v>1141</v>
      </c>
      <c r="G1515" s="25">
        <v>7228.0</v>
      </c>
      <c r="H1515" s="25">
        <v>6641.0</v>
      </c>
      <c r="I1515" s="25">
        <f t="shared" si="44"/>
        <v>587</v>
      </c>
      <c r="J1515" s="25" t="s">
        <v>1</v>
      </c>
      <c r="K1515" s="26"/>
      <c r="L1515" s="26"/>
      <c r="M1515" s="26"/>
      <c r="N1515" s="26"/>
      <c r="O1515" s="26"/>
      <c r="P1515" s="26"/>
      <c r="Q1515" s="26"/>
      <c r="R1515" s="26"/>
      <c r="S1515" s="26"/>
      <c r="T1515" s="26"/>
      <c r="U1515" s="26"/>
      <c r="V1515" s="26"/>
      <c r="W1515" s="26"/>
      <c r="X1515" s="26"/>
      <c r="Y1515" s="26"/>
      <c r="Z1515" s="26"/>
    </row>
    <row r="1516" ht="33.75" customHeight="1">
      <c r="A1516" s="25" t="s">
        <v>210</v>
      </c>
      <c r="B1516" s="25" t="s">
        <v>88</v>
      </c>
      <c r="C1516" s="25" t="s">
        <v>1912</v>
      </c>
      <c r="D1516" s="152"/>
      <c r="E1516" s="136">
        <v>46078.0</v>
      </c>
      <c r="F1516" s="25" t="s">
        <v>1141</v>
      </c>
      <c r="G1516" s="25">
        <v>11729.0</v>
      </c>
      <c r="H1516" s="25">
        <v>9961.0</v>
      </c>
      <c r="I1516" s="25">
        <f t="shared" si="44"/>
        <v>1768</v>
      </c>
      <c r="J1516" s="25" t="s">
        <v>1</v>
      </c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  <c r="W1516" s="26"/>
      <c r="X1516" s="26"/>
      <c r="Y1516" s="26"/>
      <c r="Z1516" s="26"/>
    </row>
    <row r="1517" ht="33.75" customHeight="1">
      <c r="A1517" s="11" t="s">
        <v>2192</v>
      </c>
      <c r="B1517" s="22" t="s">
        <v>31</v>
      </c>
      <c r="C1517" s="11" t="s">
        <v>2193</v>
      </c>
      <c r="D1517" s="77"/>
      <c r="E1517" s="64">
        <v>46078.0</v>
      </c>
      <c r="F1517" s="14" t="s">
        <v>1133</v>
      </c>
      <c r="G1517" s="15" t="s">
        <v>2194</v>
      </c>
      <c r="H1517" s="16">
        <v>29286.0</v>
      </c>
      <c r="I1517" s="17">
        <f t="shared" si="44"/>
        <v>17164</v>
      </c>
      <c r="J1517" s="25" t="s">
        <v>1</v>
      </c>
      <c r="K1517" s="26"/>
      <c r="L1517" s="26"/>
      <c r="M1517" s="26"/>
      <c r="N1517" s="26"/>
      <c r="O1517" s="26"/>
      <c r="P1517" s="26"/>
      <c r="Q1517" s="26"/>
      <c r="R1517" s="26"/>
      <c r="S1517" s="26"/>
      <c r="T1517" s="26"/>
      <c r="U1517" s="26"/>
      <c r="V1517" s="26"/>
      <c r="W1517" s="26"/>
      <c r="X1517" s="26"/>
      <c r="Y1517" s="26"/>
      <c r="Z1517" s="26"/>
    </row>
    <row r="1518" ht="33.75" customHeight="1">
      <c r="A1518" s="11" t="s">
        <v>2195</v>
      </c>
      <c r="B1518" s="22" t="s">
        <v>31</v>
      </c>
      <c r="C1518" s="11" t="s">
        <v>2196</v>
      </c>
      <c r="D1518" s="11"/>
      <c r="E1518" s="64">
        <v>46078.0</v>
      </c>
      <c r="F1518" s="14" t="s">
        <v>1141</v>
      </c>
      <c r="G1518" s="15" t="s">
        <v>1777</v>
      </c>
      <c r="H1518" s="16">
        <v>16395.0</v>
      </c>
      <c r="I1518" s="17">
        <f t="shared" si="44"/>
        <v>-395</v>
      </c>
      <c r="J1518" s="25" t="s">
        <v>1</v>
      </c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  <c r="W1518" s="26"/>
      <c r="X1518" s="26"/>
      <c r="Y1518" s="26"/>
      <c r="Z1518" s="26"/>
    </row>
    <row r="1519" ht="33.75" customHeight="1">
      <c r="A1519" s="11" t="s">
        <v>28</v>
      </c>
      <c r="B1519" s="22" t="s">
        <v>37</v>
      </c>
      <c r="C1519" s="11" t="s">
        <v>2174</v>
      </c>
      <c r="D1519" s="11"/>
      <c r="E1519" s="64">
        <v>46078.0</v>
      </c>
      <c r="F1519" s="14" t="s">
        <v>17</v>
      </c>
      <c r="G1519" s="15" t="s">
        <v>336</v>
      </c>
      <c r="H1519" s="16">
        <v>9313.0</v>
      </c>
      <c r="I1519" s="17">
        <f t="shared" si="44"/>
        <v>1687</v>
      </c>
      <c r="J1519" s="25" t="s">
        <v>1</v>
      </c>
      <c r="K1519" s="26"/>
      <c r="L1519" s="26"/>
      <c r="M1519" s="26"/>
      <c r="N1519" s="26"/>
      <c r="O1519" s="26"/>
      <c r="P1519" s="26"/>
      <c r="Q1519" s="26"/>
      <c r="R1519" s="26"/>
      <c r="S1519" s="26"/>
      <c r="T1519" s="26"/>
      <c r="U1519" s="26"/>
      <c r="V1519" s="26"/>
      <c r="W1519" s="26"/>
      <c r="X1519" s="26"/>
      <c r="Y1519" s="26"/>
      <c r="Z1519" s="26"/>
    </row>
    <row r="1520" ht="33.75" customHeight="1">
      <c r="A1520" s="11" t="s">
        <v>210</v>
      </c>
      <c r="B1520" s="22" t="s">
        <v>125</v>
      </c>
      <c r="C1520" s="11" t="s">
        <v>1912</v>
      </c>
      <c r="D1520" s="33"/>
      <c r="E1520" s="64">
        <v>46078.0</v>
      </c>
      <c r="F1520" s="14" t="s">
        <v>1141</v>
      </c>
      <c r="G1520" s="15" t="s">
        <v>2197</v>
      </c>
      <c r="H1520" s="16">
        <v>9960.0</v>
      </c>
      <c r="I1520" s="17">
        <f t="shared" si="44"/>
        <v>844</v>
      </c>
      <c r="J1520" s="25" t="s">
        <v>1</v>
      </c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  <c r="W1520" s="26"/>
      <c r="X1520" s="26"/>
      <c r="Y1520" s="26"/>
      <c r="Z1520" s="26"/>
    </row>
    <row r="1521" ht="33.75" customHeight="1">
      <c r="A1521" s="25" t="s">
        <v>109</v>
      </c>
      <c r="B1521" s="25"/>
      <c r="C1521" s="25" t="s">
        <v>2198</v>
      </c>
      <c r="D1521" s="152"/>
      <c r="E1521" s="78">
        <v>46078.0</v>
      </c>
      <c r="F1521" s="25" t="s">
        <v>1141</v>
      </c>
      <c r="G1521" s="25" t="s">
        <v>2199</v>
      </c>
      <c r="H1521" s="25">
        <v>1232.0</v>
      </c>
      <c r="I1521" s="25">
        <f t="shared" si="44"/>
        <v>83</v>
      </c>
      <c r="J1521" s="25" t="s">
        <v>1</v>
      </c>
      <c r="K1521" s="26"/>
      <c r="L1521" s="26"/>
      <c r="M1521" s="26"/>
      <c r="N1521" s="26"/>
      <c r="O1521" s="26"/>
      <c r="P1521" s="26"/>
      <c r="Q1521" s="26"/>
      <c r="R1521" s="26"/>
      <c r="S1521" s="26"/>
      <c r="T1521" s="26"/>
      <c r="U1521" s="26"/>
      <c r="V1521" s="26"/>
      <c r="W1521" s="26"/>
      <c r="X1521" s="26"/>
      <c r="Y1521" s="26"/>
      <c r="Z1521" s="26"/>
    </row>
    <row r="1522" ht="33.75" customHeight="1">
      <c r="A1522" s="25" t="s">
        <v>2018</v>
      </c>
      <c r="B1522" s="301">
        <v>0.5048611111111111</v>
      </c>
      <c r="C1522" s="25" t="s">
        <v>2141</v>
      </c>
      <c r="D1522" s="152"/>
      <c r="E1522" s="78">
        <v>46078.0</v>
      </c>
      <c r="F1522" s="25" t="s">
        <v>1141</v>
      </c>
      <c r="G1522" s="25" t="s">
        <v>2200</v>
      </c>
      <c r="H1522" s="25">
        <v>10784.0</v>
      </c>
      <c r="I1522" s="25">
        <f t="shared" si="44"/>
        <v>1256</v>
      </c>
      <c r="J1522" s="25" t="s">
        <v>1</v>
      </c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  <c r="W1522" s="26"/>
      <c r="X1522" s="26"/>
      <c r="Y1522" s="26"/>
      <c r="Z1522" s="26"/>
    </row>
    <row r="1523" ht="33.75" customHeight="1">
      <c r="A1523" s="25" t="s">
        <v>2150</v>
      </c>
      <c r="B1523" s="301"/>
      <c r="C1523" s="25" t="s">
        <v>2201</v>
      </c>
      <c r="D1523" s="152"/>
      <c r="E1523" s="78">
        <v>46078.0</v>
      </c>
      <c r="F1523" s="25" t="s">
        <v>1133</v>
      </c>
      <c r="G1523" s="25" t="s">
        <v>2202</v>
      </c>
      <c r="H1523" s="25">
        <v>3256.0</v>
      </c>
      <c r="I1523" s="25">
        <f t="shared" si="44"/>
        <v>2496</v>
      </c>
      <c r="J1523" s="25" t="s">
        <v>1</v>
      </c>
      <c r="K1523" s="26"/>
      <c r="L1523" s="26"/>
      <c r="M1523" s="26"/>
      <c r="N1523" s="26"/>
      <c r="O1523" s="26"/>
      <c r="P1523" s="26"/>
      <c r="Q1523" s="26"/>
      <c r="R1523" s="26"/>
      <c r="S1523" s="26"/>
      <c r="T1523" s="26"/>
      <c r="U1523" s="26"/>
      <c r="V1523" s="26"/>
      <c r="W1523" s="26"/>
      <c r="X1523" s="26"/>
      <c r="Y1523" s="26"/>
      <c r="Z1523" s="26"/>
    </row>
    <row r="1524" ht="33.75" customHeight="1">
      <c r="A1524" s="11" t="s">
        <v>1987</v>
      </c>
      <c r="B1524" s="22" t="s">
        <v>2203</v>
      </c>
      <c r="C1524" s="11" t="s">
        <v>2204</v>
      </c>
      <c r="D1524" s="77"/>
      <c r="E1524" s="64">
        <v>46078.0</v>
      </c>
      <c r="F1524" s="14" t="s">
        <v>17</v>
      </c>
      <c r="G1524" s="177" t="s">
        <v>2205</v>
      </c>
      <c r="H1524" s="16">
        <v>10312.0</v>
      </c>
      <c r="I1524" s="17">
        <f t="shared" si="44"/>
        <v>772</v>
      </c>
      <c r="J1524" s="25" t="s">
        <v>1</v>
      </c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  <c r="W1524" s="26"/>
      <c r="X1524" s="26"/>
      <c r="Y1524" s="26"/>
      <c r="Z1524" s="26"/>
    </row>
    <row r="1525" ht="33.75" customHeight="1">
      <c r="A1525" s="11" t="s">
        <v>489</v>
      </c>
      <c r="B1525" s="12"/>
      <c r="C1525" s="11" t="s">
        <v>2206</v>
      </c>
      <c r="D1525" s="11"/>
      <c r="E1525" s="64">
        <v>46078.0</v>
      </c>
      <c r="F1525" s="14" t="s">
        <v>1141</v>
      </c>
      <c r="G1525" s="15" t="s">
        <v>21</v>
      </c>
      <c r="H1525" s="16">
        <v>9374.0</v>
      </c>
      <c r="I1525" s="17">
        <f t="shared" si="44"/>
        <v>626</v>
      </c>
      <c r="J1525" s="25" t="s">
        <v>1</v>
      </c>
      <c r="K1525" s="26"/>
      <c r="L1525" s="26"/>
      <c r="M1525" s="26"/>
      <c r="N1525" s="26"/>
      <c r="O1525" s="26"/>
      <c r="P1525" s="26"/>
      <c r="Q1525" s="26"/>
      <c r="R1525" s="26"/>
      <c r="S1525" s="26"/>
      <c r="T1525" s="26"/>
      <c r="U1525" s="26"/>
      <c r="V1525" s="26"/>
      <c r="W1525" s="26"/>
      <c r="X1525" s="26"/>
      <c r="Y1525" s="26"/>
      <c r="Z1525" s="26"/>
    </row>
    <row r="1526" ht="33.75" customHeight="1">
      <c r="A1526" s="11" t="s">
        <v>1381</v>
      </c>
      <c r="B1526" s="12" t="s">
        <v>1011</v>
      </c>
      <c r="C1526" s="11" t="s">
        <v>2207</v>
      </c>
      <c r="D1526" s="11"/>
      <c r="E1526" s="64">
        <v>46079.0</v>
      </c>
      <c r="F1526" s="14" t="s">
        <v>1141</v>
      </c>
      <c r="G1526" s="15">
        <v>1000.0</v>
      </c>
      <c r="H1526" s="16">
        <v>802.0</v>
      </c>
      <c r="I1526" s="17">
        <f t="shared" si="44"/>
        <v>198</v>
      </c>
      <c r="J1526" s="25" t="s">
        <v>1</v>
      </c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  <c r="W1526" s="26"/>
      <c r="X1526" s="26"/>
      <c r="Y1526" s="26"/>
      <c r="Z1526" s="26"/>
    </row>
    <row r="1527" ht="33.75" customHeight="1">
      <c r="A1527" s="11" t="s">
        <v>1587</v>
      </c>
      <c r="B1527" s="22" t="s">
        <v>1835</v>
      </c>
      <c r="C1527" s="11" t="s">
        <v>2208</v>
      </c>
      <c r="D1527" s="11"/>
      <c r="E1527" s="64">
        <v>46079.0</v>
      </c>
      <c r="F1527" s="14" t="s">
        <v>287</v>
      </c>
      <c r="G1527" s="178">
        <v>50001.0</v>
      </c>
      <c r="H1527" s="28"/>
      <c r="I1527" s="17">
        <f t="shared" si="44"/>
        <v>50001</v>
      </c>
      <c r="J1527" s="220" t="s">
        <v>1</v>
      </c>
      <c r="K1527" s="221"/>
      <c r="L1527" s="221"/>
      <c r="M1527" s="221"/>
      <c r="N1527" s="221"/>
      <c r="O1527" s="221"/>
      <c r="P1527" s="221"/>
      <c r="Q1527" s="221"/>
      <c r="R1527" s="221"/>
      <c r="S1527" s="221"/>
      <c r="T1527" s="221"/>
      <c r="U1527" s="221"/>
      <c r="V1527" s="221"/>
      <c r="W1527" s="221"/>
      <c r="X1527" s="221"/>
      <c r="Y1527" s="221"/>
      <c r="Z1527" s="221"/>
    </row>
    <row r="1528" ht="33.75" customHeight="1">
      <c r="A1528" s="11" t="s">
        <v>77</v>
      </c>
      <c r="B1528" s="12" t="s">
        <v>49</v>
      </c>
      <c r="C1528" s="11" t="s">
        <v>2209</v>
      </c>
      <c r="D1528" s="11"/>
      <c r="E1528" s="64">
        <v>46079.0</v>
      </c>
      <c r="F1528" s="14" t="s">
        <v>1141</v>
      </c>
      <c r="G1528" s="15" t="s">
        <v>684</v>
      </c>
      <c r="H1528" s="16">
        <v>22309.0</v>
      </c>
      <c r="I1528" s="17">
        <f t="shared" si="44"/>
        <v>12691</v>
      </c>
      <c r="J1528" s="25" t="s">
        <v>1</v>
      </c>
      <c r="K1528" s="26"/>
      <c r="L1528" s="26"/>
      <c r="M1528" s="26"/>
      <c r="N1528" s="26"/>
      <c r="O1528" s="26"/>
      <c r="P1528" s="26"/>
      <c r="Q1528" s="26"/>
      <c r="R1528" s="26"/>
      <c r="S1528" s="26"/>
      <c r="T1528" s="26"/>
      <c r="U1528" s="26"/>
      <c r="V1528" s="26"/>
      <c r="W1528" s="26"/>
      <c r="X1528" s="26"/>
      <c r="Y1528" s="26"/>
      <c r="Z1528" s="26"/>
    </row>
    <row r="1529" ht="33.75" customHeight="1">
      <c r="A1529" s="11" t="s">
        <v>1451</v>
      </c>
      <c r="B1529" s="12" t="s">
        <v>49</v>
      </c>
      <c r="C1529" s="11" t="s">
        <v>2210</v>
      </c>
      <c r="D1529" s="11"/>
      <c r="E1529" s="64">
        <v>46079.0</v>
      </c>
      <c r="F1529" s="14" t="s">
        <v>1141</v>
      </c>
      <c r="G1529" s="15">
        <v>2499.0</v>
      </c>
      <c r="H1529" s="16">
        <v>2206.0</v>
      </c>
      <c r="I1529" s="17">
        <f t="shared" si="44"/>
        <v>293</v>
      </c>
      <c r="J1529" s="25" t="s">
        <v>1</v>
      </c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  <c r="W1529" s="26"/>
      <c r="X1529" s="26"/>
      <c r="Y1529" s="26"/>
      <c r="Z1529" s="26"/>
    </row>
    <row r="1530" ht="33.75" customHeight="1">
      <c r="A1530" s="11" t="s">
        <v>28</v>
      </c>
      <c r="B1530" s="22" t="s">
        <v>81</v>
      </c>
      <c r="C1530" s="11" t="s">
        <v>2211</v>
      </c>
      <c r="D1530" s="11"/>
      <c r="E1530" s="64">
        <v>46079.0</v>
      </c>
      <c r="F1530" s="14" t="s">
        <v>17</v>
      </c>
      <c r="G1530" s="178">
        <v>11000.0</v>
      </c>
      <c r="H1530" s="28"/>
      <c r="I1530" s="17">
        <f t="shared" si="44"/>
        <v>11000</v>
      </c>
      <c r="J1530" s="25" t="s">
        <v>1</v>
      </c>
      <c r="K1530" s="26"/>
      <c r="L1530" s="26"/>
      <c r="M1530" s="26"/>
      <c r="N1530" s="26"/>
      <c r="O1530" s="26"/>
      <c r="P1530" s="26"/>
      <c r="Q1530" s="26"/>
      <c r="R1530" s="26"/>
      <c r="S1530" s="26"/>
      <c r="T1530" s="26"/>
      <c r="U1530" s="26"/>
      <c r="V1530" s="26"/>
      <c r="W1530" s="26"/>
      <c r="X1530" s="26"/>
      <c r="Y1530" s="26"/>
      <c r="Z1530" s="26"/>
    </row>
    <row r="1531" ht="33.75" customHeight="1">
      <c r="A1531" s="11" t="s">
        <v>2018</v>
      </c>
      <c r="B1531" s="22" t="s">
        <v>81</v>
      </c>
      <c r="C1531" s="11" t="s">
        <v>2212</v>
      </c>
      <c r="D1531" s="11"/>
      <c r="E1531" s="64">
        <v>46079.0</v>
      </c>
      <c r="F1531" s="14" t="s">
        <v>1141</v>
      </c>
      <c r="G1531" s="178">
        <v>12140.0</v>
      </c>
      <c r="H1531" s="28"/>
      <c r="I1531" s="17">
        <f t="shared" si="44"/>
        <v>12140</v>
      </c>
      <c r="J1531" s="220" t="s">
        <v>1</v>
      </c>
      <c r="K1531" s="221"/>
      <c r="L1531" s="221"/>
      <c r="M1531" s="221"/>
      <c r="N1531" s="221"/>
      <c r="O1531" s="221"/>
      <c r="P1531" s="221"/>
      <c r="Q1531" s="221"/>
      <c r="R1531" s="221"/>
      <c r="S1531" s="221"/>
      <c r="T1531" s="221"/>
      <c r="U1531" s="221"/>
      <c r="V1531" s="221"/>
      <c r="W1531" s="221"/>
      <c r="X1531" s="221"/>
      <c r="Y1531" s="221"/>
      <c r="Z1531" s="221"/>
    </row>
    <row r="1532" ht="33.75" customHeight="1">
      <c r="A1532" s="11" t="s">
        <v>1587</v>
      </c>
      <c r="B1532" s="22" t="s">
        <v>1819</v>
      </c>
      <c r="C1532" s="11" t="s">
        <v>2213</v>
      </c>
      <c r="D1532" s="11"/>
      <c r="E1532" s="64">
        <v>46079.0</v>
      </c>
      <c r="F1532" s="14" t="s">
        <v>287</v>
      </c>
      <c r="G1532" s="178">
        <v>50001.0</v>
      </c>
      <c r="H1532" s="28"/>
      <c r="I1532" s="17">
        <f t="shared" si="44"/>
        <v>50001</v>
      </c>
      <c r="J1532" s="220" t="s">
        <v>1</v>
      </c>
      <c r="K1532" s="221"/>
      <c r="L1532" s="221"/>
      <c r="M1532" s="221"/>
      <c r="N1532" s="221"/>
      <c r="O1532" s="221"/>
      <c r="P1532" s="221"/>
      <c r="Q1532" s="221"/>
      <c r="R1532" s="221"/>
      <c r="S1532" s="221"/>
      <c r="T1532" s="221"/>
      <c r="U1532" s="221"/>
      <c r="V1532" s="221"/>
      <c r="W1532" s="221"/>
      <c r="X1532" s="221"/>
      <c r="Y1532" s="221"/>
      <c r="Z1532" s="221"/>
    </row>
    <row r="1533" ht="33.75" customHeight="1">
      <c r="A1533" s="11" t="s">
        <v>1587</v>
      </c>
      <c r="B1533" s="22" t="s">
        <v>2214</v>
      </c>
      <c r="C1533" s="11" t="s">
        <v>2215</v>
      </c>
      <c r="D1533" s="11"/>
      <c r="E1533" s="64">
        <v>46079.0</v>
      </c>
      <c r="F1533" s="14" t="s">
        <v>287</v>
      </c>
      <c r="G1533" s="178">
        <v>50001.0</v>
      </c>
      <c r="H1533" s="28"/>
      <c r="I1533" s="17">
        <f t="shared" si="44"/>
        <v>50001</v>
      </c>
      <c r="J1533" s="220" t="s">
        <v>1</v>
      </c>
      <c r="K1533" s="221"/>
      <c r="L1533" s="221"/>
      <c r="M1533" s="221"/>
      <c r="N1533" s="221"/>
      <c r="O1533" s="221"/>
      <c r="P1533" s="221"/>
      <c r="Q1533" s="221"/>
      <c r="R1533" s="221"/>
      <c r="S1533" s="221"/>
      <c r="T1533" s="221"/>
      <c r="U1533" s="221"/>
      <c r="V1533" s="221"/>
      <c r="W1533" s="221"/>
      <c r="X1533" s="221"/>
      <c r="Y1533" s="221"/>
      <c r="Z1533" s="221"/>
    </row>
    <row r="1534" ht="33.75" customHeight="1">
      <c r="A1534" s="11" t="s">
        <v>489</v>
      </c>
      <c r="B1534" s="22"/>
      <c r="C1534" s="11" t="s">
        <v>2216</v>
      </c>
      <c r="D1534" s="11"/>
      <c r="E1534" s="64">
        <v>46079.0</v>
      </c>
      <c r="F1534" s="14" t="s">
        <v>1141</v>
      </c>
      <c r="G1534" s="178">
        <v>10000.0</v>
      </c>
      <c r="H1534" s="16">
        <v>9227.0</v>
      </c>
      <c r="I1534" s="17">
        <f t="shared" si="44"/>
        <v>773</v>
      </c>
      <c r="J1534" s="25" t="s">
        <v>1</v>
      </c>
      <c r="K1534" s="26"/>
      <c r="L1534" s="26"/>
      <c r="M1534" s="26"/>
      <c r="N1534" s="26"/>
      <c r="O1534" s="26"/>
      <c r="P1534" s="26"/>
      <c r="Q1534" s="26"/>
      <c r="R1534" s="26"/>
      <c r="S1534" s="26"/>
      <c r="T1534" s="26"/>
      <c r="U1534" s="26"/>
      <c r="V1534" s="26"/>
      <c r="W1534" s="26"/>
      <c r="X1534" s="26"/>
      <c r="Y1534" s="26"/>
      <c r="Z1534" s="26"/>
    </row>
    <row r="1535" ht="33.75" customHeight="1">
      <c r="A1535" s="11" t="s">
        <v>2217</v>
      </c>
      <c r="B1535" s="12" t="s">
        <v>85</v>
      </c>
      <c r="C1535" s="11" t="s">
        <v>2218</v>
      </c>
      <c r="D1535" s="11"/>
      <c r="E1535" s="64">
        <v>46079.0</v>
      </c>
      <c r="F1535" s="14" t="s">
        <v>1133</v>
      </c>
      <c r="G1535" s="15">
        <v>10000.0</v>
      </c>
      <c r="H1535" s="16">
        <v>6999.0</v>
      </c>
      <c r="I1535" s="17">
        <f t="shared" si="44"/>
        <v>3001</v>
      </c>
      <c r="J1535" s="25" t="s">
        <v>1</v>
      </c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  <c r="W1535" s="26"/>
      <c r="X1535" s="26"/>
      <c r="Y1535" s="26"/>
      <c r="Z1535" s="26"/>
    </row>
    <row r="1536" ht="33.75" customHeight="1">
      <c r="A1536" s="11" t="s">
        <v>2219</v>
      </c>
      <c r="B1536" s="12" t="s">
        <v>85</v>
      </c>
      <c r="C1536" s="11" t="s">
        <v>2218</v>
      </c>
      <c r="D1536" s="11"/>
      <c r="E1536" s="64">
        <v>46079.0</v>
      </c>
      <c r="F1536" s="14" t="s">
        <v>1133</v>
      </c>
      <c r="G1536" s="15">
        <v>10000.0</v>
      </c>
      <c r="H1536" s="16">
        <v>6531.0</v>
      </c>
      <c r="I1536" s="17">
        <f t="shared" si="44"/>
        <v>3469</v>
      </c>
      <c r="J1536" s="25" t="s">
        <v>1</v>
      </c>
      <c r="K1536" s="26"/>
      <c r="L1536" s="26"/>
      <c r="M1536" s="26"/>
      <c r="N1536" s="26"/>
      <c r="O1536" s="26"/>
      <c r="P1536" s="26"/>
      <c r="Q1536" s="26"/>
      <c r="R1536" s="26"/>
      <c r="S1536" s="26"/>
      <c r="T1536" s="26"/>
      <c r="U1536" s="26"/>
      <c r="V1536" s="26"/>
      <c r="W1536" s="26"/>
      <c r="X1536" s="26"/>
      <c r="Y1536" s="26"/>
      <c r="Z1536" s="26"/>
    </row>
    <row r="1537" ht="33.75" customHeight="1">
      <c r="A1537" s="11" t="s">
        <v>2220</v>
      </c>
      <c r="B1537" s="12" t="s">
        <v>85</v>
      </c>
      <c r="C1537" s="11" t="s">
        <v>2218</v>
      </c>
      <c r="D1537" s="11"/>
      <c r="E1537" s="64">
        <v>46079.0</v>
      </c>
      <c r="F1537" s="14" t="s">
        <v>1133</v>
      </c>
      <c r="G1537" s="15">
        <v>10000.0</v>
      </c>
      <c r="H1537" s="16">
        <v>7834.0</v>
      </c>
      <c r="I1537" s="17">
        <f t="shared" si="44"/>
        <v>2166</v>
      </c>
      <c r="J1537" s="25" t="s">
        <v>1</v>
      </c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  <c r="W1537" s="26"/>
      <c r="X1537" s="26"/>
      <c r="Y1537" s="26"/>
      <c r="Z1537" s="26"/>
    </row>
    <row r="1538" ht="33.75" customHeight="1">
      <c r="A1538" s="11" t="s">
        <v>2221</v>
      </c>
      <c r="B1538" s="12" t="s">
        <v>85</v>
      </c>
      <c r="C1538" s="11" t="s">
        <v>2218</v>
      </c>
      <c r="D1538" s="11"/>
      <c r="E1538" s="64">
        <v>46079.0</v>
      </c>
      <c r="F1538" s="14" t="s">
        <v>1133</v>
      </c>
      <c r="G1538" s="15">
        <v>10000.0</v>
      </c>
      <c r="H1538" s="16">
        <v>6549.0</v>
      </c>
      <c r="I1538" s="17">
        <f t="shared" si="44"/>
        <v>3451</v>
      </c>
      <c r="J1538" s="25" t="s">
        <v>1</v>
      </c>
      <c r="K1538" s="26"/>
      <c r="L1538" s="26"/>
      <c r="M1538" s="26"/>
      <c r="N1538" s="26"/>
      <c r="O1538" s="26"/>
      <c r="P1538" s="26"/>
      <c r="Q1538" s="26"/>
      <c r="R1538" s="26"/>
      <c r="S1538" s="26"/>
      <c r="T1538" s="26"/>
      <c r="U1538" s="26"/>
      <c r="V1538" s="26"/>
      <c r="W1538" s="26"/>
      <c r="X1538" s="26"/>
      <c r="Y1538" s="26"/>
      <c r="Z1538" s="26"/>
    </row>
    <row r="1539" ht="33.75" customHeight="1">
      <c r="A1539" s="11" t="s">
        <v>2222</v>
      </c>
      <c r="B1539" s="12" t="s">
        <v>85</v>
      </c>
      <c r="C1539" s="11" t="s">
        <v>2218</v>
      </c>
      <c r="D1539" s="11"/>
      <c r="E1539" s="64">
        <v>46079.0</v>
      </c>
      <c r="F1539" s="14" t="s">
        <v>1133</v>
      </c>
      <c r="G1539" s="15">
        <v>5000.0</v>
      </c>
      <c r="H1539" s="16">
        <v>3093.0</v>
      </c>
      <c r="I1539" s="17">
        <f t="shared" si="44"/>
        <v>1907</v>
      </c>
      <c r="J1539" s="25" t="s">
        <v>1</v>
      </c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  <c r="W1539" s="26"/>
      <c r="X1539" s="26"/>
      <c r="Y1539" s="26"/>
      <c r="Z1539" s="26"/>
    </row>
    <row r="1540" ht="33.75" customHeight="1">
      <c r="A1540" s="11" t="s">
        <v>2136</v>
      </c>
      <c r="B1540" s="12" t="s">
        <v>85</v>
      </c>
      <c r="C1540" s="11" t="s">
        <v>2218</v>
      </c>
      <c r="D1540" s="11"/>
      <c r="E1540" s="64">
        <v>46079.0</v>
      </c>
      <c r="F1540" s="14" t="s">
        <v>1133</v>
      </c>
      <c r="G1540" s="15">
        <v>5000.0</v>
      </c>
      <c r="H1540" s="16">
        <v>2548.0</v>
      </c>
      <c r="I1540" s="17">
        <f t="shared" si="44"/>
        <v>2452</v>
      </c>
      <c r="J1540" s="25" t="s">
        <v>1</v>
      </c>
      <c r="K1540" s="26"/>
      <c r="L1540" s="26"/>
      <c r="M1540" s="26"/>
      <c r="N1540" s="26"/>
      <c r="O1540" s="26"/>
      <c r="P1540" s="26"/>
      <c r="Q1540" s="26"/>
      <c r="R1540" s="26"/>
      <c r="S1540" s="26"/>
      <c r="T1540" s="26"/>
      <c r="U1540" s="26"/>
      <c r="V1540" s="26"/>
      <c r="W1540" s="26"/>
      <c r="X1540" s="26"/>
      <c r="Y1540" s="26"/>
      <c r="Z1540" s="26"/>
    </row>
    <row r="1541" ht="33.75" customHeight="1">
      <c r="A1541" s="11" t="s">
        <v>2223</v>
      </c>
      <c r="B1541" s="12" t="s">
        <v>85</v>
      </c>
      <c r="C1541" s="11" t="s">
        <v>2224</v>
      </c>
      <c r="D1541" s="11"/>
      <c r="E1541" s="64">
        <v>46079.0</v>
      </c>
      <c r="F1541" s="14" t="s">
        <v>1133</v>
      </c>
      <c r="G1541" s="15">
        <v>5000.0</v>
      </c>
      <c r="H1541" s="16">
        <v>2537.0</v>
      </c>
      <c r="I1541" s="17">
        <f t="shared" si="44"/>
        <v>2463</v>
      </c>
      <c r="J1541" s="25" t="s">
        <v>1</v>
      </c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  <c r="W1541" s="26"/>
      <c r="X1541" s="26"/>
      <c r="Y1541" s="26"/>
      <c r="Z1541" s="26"/>
    </row>
    <row r="1542" ht="33.75" customHeight="1">
      <c r="A1542" s="11" t="s">
        <v>2225</v>
      </c>
      <c r="B1542" s="12" t="s">
        <v>85</v>
      </c>
      <c r="C1542" s="11" t="s">
        <v>2224</v>
      </c>
      <c r="D1542" s="11"/>
      <c r="E1542" s="64">
        <v>46079.0</v>
      </c>
      <c r="F1542" s="14" t="s">
        <v>1133</v>
      </c>
      <c r="G1542" s="15">
        <v>5000.0</v>
      </c>
      <c r="H1542" s="16">
        <v>2852.0</v>
      </c>
      <c r="I1542" s="17">
        <f t="shared" si="44"/>
        <v>2148</v>
      </c>
      <c r="J1542" s="25" t="s">
        <v>1</v>
      </c>
      <c r="K1542" s="26"/>
      <c r="L1542" s="26"/>
      <c r="M1542" s="26"/>
      <c r="N1542" s="26"/>
      <c r="O1542" s="26"/>
      <c r="P1542" s="26"/>
      <c r="Q1542" s="26"/>
      <c r="R1542" s="26"/>
      <c r="S1542" s="26"/>
      <c r="T1542" s="26"/>
      <c r="U1542" s="26"/>
      <c r="V1542" s="26"/>
      <c r="W1542" s="26"/>
      <c r="X1542" s="26"/>
      <c r="Y1542" s="26"/>
      <c r="Z1542" s="26"/>
    </row>
    <row r="1543" ht="33.75" customHeight="1">
      <c r="A1543" s="11" t="s">
        <v>2226</v>
      </c>
      <c r="B1543" s="12" t="s">
        <v>85</v>
      </c>
      <c r="C1543" s="11" t="s">
        <v>2224</v>
      </c>
      <c r="D1543" s="11"/>
      <c r="E1543" s="64">
        <v>46079.0</v>
      </c>
      <c r="F1543" s="14" t="s">
        <v>1133</v>
      </c>
      <c r="G1543" s="15">
        <v>5000.0</v>
      </c>
      <c r="H1543" s="16">
        <v>3380.0</v>
      </c>
      <c r="I1543" s="17">
        <f t="shared" si="44"/>
        <v>1620</v>
      </c>
      <c r="J1543" s="25" t="s">
        <v>1</v>
      </c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  <c r="W1543" s="26"/>
      <c r="X1543" s="26"/>
      <c r="Y1543" s="26"/>
      <c r="Z1543" s="26"/>
    </row>
    <row r="1544" ht="33.75" customHeight="1">
      <c r="A1544" s="11" t="s">
        <v>2227</v>
      </c>
      <c r="B1544" s="12" t="s">
        <v>85</v>
      </c>
      <c r="C1544" s="11" t="s">
        <v>2224</v>
      </c>
      <c r="D1544" s="11"/>
      <c r="E1544" s="64">
        <v>46079.0</v>
      </c>
      <c r="F1544" s="14" t="s">
        <v>1133</v>
      </c>
      <c r="G1544" s="15">
        <v>5000.0</v>
      </c>
      <c r="H1544" s="16">
        <v>2946.0</v>
      </c>
      <c r="I1544" s="17">
        <f t="shared" si="44"/>
        <v>2054</v>
      </c>
      <c r="J1544" s="25" t="s">
        <v>1</v>
      </c>
      <c r="K1544" s="26"/>
      <c r="L1544" s="26"/>
      <c r="M1544" s="26"/>
      <c r="N1544" s="26"/>
      <c r="O1544" s="26"/>
      <c r="P1544" s="26"/>
      <c r="Q1544" s="26"/>
      <c r="R1544" s="26"/>
      <c r="S1544" s="26"/>
      <c r="T1544" s="26"/>
      <c r="U1544" s="26"/>
      <c r="V1544" s="26"/>
      <c r="W1544" s="26"/>
      <c r="X1544" s="26"/>
      <c r="Y1544" s="26"/>
      <c r="Z1544" s="26"/>
    </row>
    <row r="1545" ht="33.75" customHeight="1">
      <c r="A1545" s="11" t="s">
        <v>2228</v>
      </c>
      <c r="B1545" s="12" t="s">
        <v>85</v>
      </c>
      <c r="C1545" s="11" t="s">
        <v>2224</v>
      </c>
      <c r="D1545" s="11"/>
      <c r="E1545" s="64">
        <v>46079.0</v>
      </c>
      <c r="F1545" s="14" t="s">
        <v>1133</v>
      </c>
      <c r="G1545" s="15">
        <v>5000.0</v>
      </c>
      <c r="H1545" s="16">
        <v>3607.0</v>
      </c>
      <c r="I1545" s="17">
        <f t="shared" si="44"/>
        <v>1393</v>
      </c>
      <c r="J1545" s="25" t="s">
        <v>1</v>
      </c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  <c r="W1545" s="26"/>
      <c r="X1545" s="26"/>
      <c r="Y1545" s="26"/>
      <c r="Z1545" s="26"/>
    </row>
    <row r="1546" ht="33.75" customHeight="1">
      <c r="A1546" s="11" t="s">
        <v>2229</v>
      </c>
      <c r="B1546" s="12" t="s">
        <v>85</v>
      </c>
      <c r="C1546" s="11" t="s">
        <v>2224</v>
      </c>
      <c r="D1546" s="11"/>
      <c r="E1546" s="64">
        <v>46079.0</v>
      </c>
      <c r="F1546" s="14" t="s">
        <v>1133</v>
      </c>
      <c r="G1546" s="15">
        <v>5000.0</v>
      </c>
      <c r="H1546" s="16">
        <v>3789.0</v>
      </c>
      <c r="I1546" s="17">
        <f t="shared" si="44"/>
        <v>1211</v>
      </c>
      <c r="J1546" s="25" t="s">
        <v>1</v>
      </c>
      <c r="K1546" s="26"/>
      <c r="L1546" s="26"/>
      <c r="M1546" s="26"/>
      <c r="N1546" s="26"/>
      <c r="O1546" s="26"/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6"/>
    </row>
    <row r="1547" ht="33.75" customHeight="1">
      <c r="A1547" s="11" t="s">
        <v>693</v>
      </c>
      <c r="B1547" s="12" t="s">
        <v>85</v>
      </c>
      <c r="C1547" s="11" t="s">
        <v>2224</v>
      </c>
      <c r="D1547" s="11"/>
      <c r="E1547" s="64">
        <v>46079.0</v>
      </c>
      <c r="F1547" s="14" t="s">
        <v>1133</v>
      </c>
      <c r="G1547" s="15" t="s">
        <v>21</v>
      </c>
      <c r="H1547" s="16">
        <v>7230.0</v>
      </c>
      <c r="I1547" s="17">
        <f t="shared" si="44"/>
        <v>2770</v>
      </c>
      <c r="J1547" s="25" t="s">
        <v>1</v>
      </c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  <c r="W1547" s="26"/>
      <c r="X1547" s="26"/>
      <c r="Y1547" s="26"/>
      <c r="Z1547" s="26"/>
    </row>
    <row r="1548" ht="33.75" customHeight="1">
      <c r="A1548" s="11" t="s">
        <v>695</v>
      </c>
      <c r="B1548" s="12" t="s">
        <v>85</v>
      </c>
      <c r="C1548" s="11" t="s">
        <v>2224</v>
      </c>
      <c r="D1548" s="11"/>
      <c r="E1548" s="64">
        <v>46079.0</v>
      </c>
      <c r="F1548" s="14" t="s">
        <v>1133</v>
      </c>
      <c r="G1548" s="15" t="s">
        <v>21</v>
      </c>
      <c r="H1548" s="16">
        <v>6071.0</v>
      </c>
      <c r="I1548" s="17">
        <f t="shared" si="44"/>
        <v>3929</v>
      </c>
      <c r="J1548" s="25" t="s">
        <v>1</v>
      </c>
      <c r="K1548" s="26"/>
      <c r="L1548" s="26"/>
      <c r="M1548" s="26"/>
      <c r="N1548" s="26"/>
      <c r="O1548" s="26"/>
      <c r="P1548" s="26"/>
      <c r="Q1548" s="26"/>
      <c r="R1548" s="26"/>
      <c r="S1548" s="26"/>
      <c r="T1548" s="26"/>
      <c r="U1548" s="26"/>
      <c r="V1548" s="26"/>
      <c r="W1548" s="26"/>
      <c r="X1548" s="26"/>
      <c r="Y1548" s="26"/>
      <c r="Z1548" s="26"/>
    </row>
    <row r="1549" ht="33.75" customHeight="1">
      <c r="A1549" s="11" t="s">
        <v>2230</v>
      </c>
      <c r="B1549" s="12" t="s">
        <v>85</v>
      </c>
      <c r="C1549" s="11" t="s">
        <v>2231</v>
      </c>
      <c r="D1549" s="11"/>
      <c r="E1549" s="64">
        <v>46079.0</v>
      </c>
      <c r="F1549" s="14" t="s">
        <v>1133</v>
      </c>
      <c r="G1549" s="15" t="s">
        <v>21</v>
      </c>
      <c r="H1549" s="16">
        <v>7380.0</v>
      </c>
      <c r="I1549" s="17">
        <f t="shared" si="44"/>
        <v>2620</v>
      </c>
      <c r="J1549" s="25" t="s">
        <v>1</v>
      </c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  <c r="W1549" s="26"/>
      <c r="X1549" s="26"/>
      <c r="Y1549" s="26"/>
      <c r="Z1549" s="26"/>
    </row>
    <row r="1550" ht="33.75" customHeight="1">
      <c r="A1550" s="11" t="s">
        <v>2232</v>
      </c>
      <c r="B1550" s="12" t="s">
        <v>85</v>
      </c>
      <c r="C1550" s="11" t="s">
        <v>2231</v>
      </c>
      <c r="D1550" s="11"/>
      <c r="E1550" s="64">
        <v>46079.0</v>
      </c>
      <c r="F1550" s="14" t="s">
        <v>1133</v>
      </c>
      <c r="G1550" s="15" t="s">
        <v>21</v>
      </c>
      <c r="H1550" s="16">
        <v>6269.0</v>
      </c>
      <c r="I1550" s="17">
        <f t="shared" si="44"/>
        <v>3731</v>
      </c>
      <c r="J1550" s="25" t="s">
        <v>1</v>
      </c>
      <c r="K1550" s="26"/>
      <c r="L1550" s="26"/>
      <c r="M1550" s="26"/>
      <c r="N1550" s="26"/>
      <c r="O1550" s="26"/>
      <c r="P1550" s="26"/>
      <c r="Q1550" s="26"/>
      <c r="R1550" s="26"/>
      <c r="S1550" s="26"/>
      <c r="T1550" s="26"/>
      <c r="U1550" s="26"/>
      <c r="V1550" s="26"/>
      <c r="W1550" s="26"/>
      <c r="X1550" s="26"/>
      <c r="Y1550" s="26"/>
      <c r="Z1550" s="26"/>
    </row>
    <row r="1551" ht="33.75" customHeight="1">
      <c r="A1551" s="11" t="s">
        <v>2233</v>
      </c>
      <c r="B1551" s="12" t="s">
        <v>85</v>
      </c>
      <c r="C1551" s="11" t="s">
        <v>2231</v>
      </c>
      <c r="D1551" s="11"/>
      <c r="E1551" s="64">
        <v>46079.0</v>
      </c>
      <c r="F1551" s="14" t="s">
        <v>1133</v>
      </c>
      <c r="G1551" s="15" t="s">
        <v>21</v>
      </c>
      <c r="H1551" s="16">
        <v>6311.0</v>
      </c>
      <c r="I1551" s="17">
        <f t="shared" si="44"/>
        <v>3689</v>
      </c>
      <c r="J1551" s="25" t="s">
        <v>1</v>
      </c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  <c r="W1551" s="26"/>
      <c r="X1551" s="26"/>
      <c r="Y1551" s="26"/>
      <c r="Z1551" s="26"/>
    </row>
    <row r="1552" ht="33.75" customHeight="1">
      <c r="A1552" s="11" t="s">
        <v>2234</v>
      </c>
      <c r="B1552" s="12" t="s">
        <v>85</v>
      </c>
      <c r="C1552" s="11" t="s">
        <v>2231</v>
      </c>
      <c r="D1552" s="11"/>
      <c r="E1552" s="64">
        <v>46079.0</v>
      </c>
      <c r="F1552" s="14" t="s">
        <v>1133</v>
      </c>
      <c r="G1552" s="15" t="s">
        <v>21</v>
      </c>
      <c r="H1552" s="16">
        <v>6228.0</v>
      </c>
      <c r="I1552" s="17">
        <f t="shared" si="44"/>
        <v>3772</v>
      </c>
      <c r="J1552" s="25" t="s">
        <v>1</v>
      </c>
      <c r="K1552" s="26"/>
      <c r="L1552" s="26"/>
      <c r="M1552" s="26"/>
      <c r="N1552" s="26"/>
      <c r="O1552" s="26"/>
      <c r="P1552" s="26"/>
      <c r="Q1552" s="26"/>
      <c r="R1552" s="26"/>
      <c r="S1552" s="26"/>
      <c r="T1552" s="26"/>
      <c r="U1552" s="26"/>
      <c r="V1552" s="26"/>
      <c r="W1552" s="26"/>
      <c r="X1552" s="26"/>
      <c r="Y1552" s="26"/>
      <c r="Z1552" s="26"/>
    </row>
    <row r="1553" ht="33.75" customHeight="1">
      <c r="A1553" s="11" t="s">
        <v>2235</v>
      </c>
      <c r="B1553" s="12" t="s">
        <v>85</v>
      </c>
      <c r="C1553" s="11" t="s">
        <v>2231</v>
      </c>
      <c r="D1553" s="11"/>
      <c r="E1553" s="64">
        <v>46079.0</v>
      </c>
      <c r="F1553" s="14" t="s">
        <v>1133</v>
      </c>
      <c r="G1553" s="15" t="s">
        <v>21</v>
      </c>
      <c r="H1553" s="16">
        <v>1124.0</v>
      </c>
      <c r="I1553" s="17">
        <f t="shared" si="44"/>
        <v>8876</v>
      </c>
      <c r="J1553" s="25" t="s">
        <v>1</v>
      </c>
      <c r="K1553" s="26"/>
      <c r="L1553" s="26"/>
      <c r="M1553" s="26"/>
      <c r="N1553" s="26"/>
      <c r="O1553" s="26"/>
      <c r="P1553" s="26"/>
      <c r="Q1553" s="26"/>
      <c r="R1553" s="26"/>
      <c r="S1553" s="26"/>
      <c r="T1553" s="26"/>
      <c r="U1553" s="26"/>
      <c r="V1553" s="26"/>
      <c r="W1553" s="26"/>
      <c r="X1553" s="26"/>
      <c r="Y1553" s="26"/>
      <c r="Z1553" s="26"/>
    </row>
    <row r="1554" ht="33.75" customHeight="1">
      <c r="A1554" s="11" t="s">
        <v>1983</v>
      </c>
      <c r="B1554" s="22" t="s">
        <v>2236</v>
      </c>
      <c r="C1554" s="11" t="s">
        <v>2237</v>
      </c>
      <c r="D1554" s="11"/>
      <c r="E1554" s="64">
        <v>46079.0</v>
      </c>
      <c r="F1554" s="14" t="s">
        <v>17</v>
      </c>
      <c r="G1554" s="178">
        <v>19390.0</v>
      </c>
      <c r="H1554" s="28"/>
      <c r="I1554" s="17">
        <f t="shared" si="44"/>
        <v>19390</v>
      </c>
      <c r="J1554" s="25" t="s">
        <v>1</v>
      </c>
      <c r="K1554" s="26"/>
      <c r="L1554" s="26"/>
      <c r="M1554" s="26"/>
      <c r="N1554" s="26"/>
      <c r="O1554" s="26"/>
      <c r="P1554" s="26"/>
      <c r="Q1554" s="26"/>
      <c r="R1554" s="26"/>
      <c r="S1554" s="26"/>
      <c r="T1554" s="26"/>
      <c r="U1554" s="26"/>
      <c r="V1554" s="26"/>
      <c r="W1554" s="26"/>
      <c r="X1554" s="26"/>
      <c r="Y1554" s="26"/>
      <c r="Z1554" s="26"/>
    </row>
    <row r="1555" ht="33.75" customHeight="1">
      <c r="A1555" s="11" t="s">
        <v>28</v>
      </c>
      <c r="B1555" s="22" t="s">
        <v>37</v>
      </c>
      <c r="C1555" s="11" t="s">
        <v>2211</v>
      </c>
      <c r="D1555" s="11"/>
      <c r="E1555" s="64">
        <v>46079.0</v>
      </c>
      <c r="F1555" s="14" t="s">
        <v>17</v>
      </c>
      <c r="G1555" s="15" t="s">
        <v>336</v>
      </c>
      <c r="H1555" s="28"/>
      <c r="I1555" s="17">
        <f t="shared" si="44"/>
        <v>11000</v>
      </c>
      <c r="J1555" s="25" t="s">
        <v>1</v>
      </c>
      <c r="K1555" s="26"/>
      <c r="L1555" s="26"/>
      <c r="M1555" s="26"/>
      <c r="N1555" s="26"/>
      <c r="O1555" s="26"/>
      <c r="P1555" s="26"/>
      <c r="Q1555" s="26"/>
      <c r="R1555" s="26"/>
      <c r="S1555" s="26"/>
      <c r="T1555" s="26"/>
      <c r="U1555" s="26"/>
      <c r="V1555" s="26"/>
      <c r="W1555" s="26"/>
      <c r="X1555" s="26"/>
      <c r="Y1555" s="26"/>
      <c r="Z1555" s="26"/>
    </row>
    <row r="1556" ht="33.75" customHeight="1">
      <c r="A1556" s="11" t="s">
        <v>109</v>
      </c>
      <c r="B1556" s="22"/>
      <c r="C1556" s="11" t="s">
        <v>2238</v>
      </c>
      <c r="D1556" s="11">
        <v>9.34553269088932E14</v>
      </c>
      <c r="E1556" s="64">
        <v>46079.0</v>
      </c>
      <c r="F1556" s="14" t="s">
        <v>1133</v>
      </c>
      <c r="G1556" s="15" t="s">
        <v>2239</v>
      </c>
      <c r="H1556" s="16">
        <v>466.0</v>
      </c>
      <c r="I1556" s="17">
        <f t="shared" si="44"/>
        <v>34</v>
      </c>
      <c r="J1556" s="25" t="s">
        <v>1</v>
      </c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  <c r="W1556" s="26"/>
      <c r="X1556" s="26"/>
      <c r="Y1556" s="26"/>
      <c r="Z1556" s="26"/>
    </row>
    <row r="1557" ht="33.75" customHeight="1">
      <c r="A1557" s="11" t="s">
        <v>1587</v>
      </c>
      <c r="B1557" s="22" t="s">
        <v>34</v>
      </c>
      <c r="C1557" s="11" t="s">
        <v>2240</v>
      </c>
      <c r="D1557" s="11"/>
      <c r="E1557" s="64">
        <v>46079.0</v>
      </c>
      <c r="F1557" s="14" t="s">
        <v>287</v>
      </c>
      <c r="G1557" s="178">
        <v>50001.0</v>
      </c>
      <c r="H1557" s="28"/>
      <c r="I1557" s="17">
        <f t="shared" si="44"/>
        <v>50001</v>
      </c>
      <c r="J1557" s="220" t="s">
        <v>1</v>
      </c>
      <c r="K1557" s="221"/>
      <c r="L1557" s="221"/>
      <c r="M1557" s="221"/>
      <c r="N1557" s="221"/>
      <c r="O1557" s="221"/>
      <c r="P1557" s="221"/>
      <c r="Q1557" s="221"/>
      <c r="R1557" s="221"/>
      <c r="S1557" s="221"/>
      <c r="T1557" s="221"/>
      <c r="U1557" s="221"/>
      <c r="V1557" s="221"/>
      <c r="W1557" s="221"/>
      <c r="X1557" s="221"/>
      <c r="Y1557" s="221"/>
      <c r="Z1557" s="221"/>
    </row>
    <row r="1558" ht="33.75" customHeight="1">
      <c r="A1558" s="11" t="s">
        <v>1587</v>
      </c>
      <c r="B1558" s="22" t="s">
        <v>15</v>
      </c>
      <c r="C1558" s="11" t="s">
        <v>2241</v>
      </c>
      <c r="D1558" s="11"/>
      <c r="E1558" s="64">
        <v>46079.0</v>
      </c>
      <c r="F1558" s="14" t="s">
        <v>287</v>
      </c>
      <c r="G1558" s="178">
        <v>50001.0</v>
      </c>
      <c r="H1558" s="28"/>
      <c r="I1558" s="17">
        <f t="shared" si="44"/>
        <v>50001</v>
      </c>
      <c r="J1558" s="220" t="s">
        <v>1</v>
      </c>
      <c r="K1558" s="221"/>
      <c r="L1558" s="221"/>
      <c r="M1558" s="221"/>
      <c r="N1558" s="221"/>
      <c r="O1558" s="221"/>
      <c r="P1558" s="221"/>
      <c r="Q1558" s="221"/>
      <c r="R1558" s="221"/>
      <c r="S1558" s="221"/>
      <c r="T1558" s="221"/>
      <c r="U1558" s="221"/>
      <c r="V1558" s="221"/>
      <c r="W1558" s="221"/>
      <c r="X1558" s="221"/>
      <c r="Y1558" s="221"/>
      <c r="Z1558" s="221"/>
    </row>
    <row r="1559" ht="33.75" customHeight="1">
      <c r="A1559" s="24" t="s">
        <v>534</v>
      </c>
      <c r="B1559" s="22" t="s">
        <v>34</v>
      </c>
      <c r="C1559" s="11" t="s">
        <v>2242</v>
      </c>
      <c r="D1559" s="24" t="s">
        <v>2243</v>
      </c>
      <c r="E1559" s="76">
        <v>46079.0</v>
      </c>
      <c r="F1559" s="21" t="s">
        <v>17</v>
      </c>
      <c r="G1559" s="178">
        <v>10307.0</v>
      </c>
      <c r="H1559" s="28"/>
      <c r="I1559" s="17">
        <v>0.0</v>
      </c>
      <c r="J1559" s="25" t="s">
        <v>1</v>
      </c>
      <c r="K1559" s="26"/>
      <c r="L1559" s="26"/>
      <c r="M1559" s="26"/>
      <c r="N1559" s="26"/>
      <c r="O1559" s="26"/>
      <c r="P1559" s="26"/>
      <c r="Q1559" s="26"/>
      <c r="R1559" s="26"/>
      <c r="S1559" s="26"/>
      <c r="T1559" s="26"/>
      <c r="U1559" s="26"/>
      <c r="V1559" s="26"/>
      <c r="W1559" s="26"/>
      <c r="X1559" s="26"/>
      <c r="Y1559" s="26"/>
      <c r="Z1559" s="26"/>
    </row>
    <row r="1560" ht="33.75" customHeight="1">
      <c r="A1560" s="24" t="s">
        <v>785</v>
      </c>
      <c r="B1560" s="20"/>
      <c r="C1560" s="11" t="s">
        <v>2244</v>
      </c>
      <c r="D1560" s="304">
        <v>1.84292198641706E15</v>
      </c>
      <c r="E1560" s="76">
        <v>46079.0</v>
      </c>
      <c r="F1560" s="21" t="s">
        <v>1141</v>
      </c>
      <c r="G1560" s="178">
        <v>14976.0</v>
      </c>
      <c r="H1560" s="28"/>
      <c r="I1560" s="17">
        <v>0.0</v>
      </c>
      <c r="J1560" s="305" t="s">
        <v>3</v>
      </c>
      <c r="K1560" s="306"/>
      <c r="L1560" s="306"/>
      <c r="M1560" s="306"/>
      <c r="N1560" s="306"/>
      <c r="O1560" s="306"/>
      <c r="P1560" s="306"/>
      <c r="Q1560" s="306"/>
      <c r="R1560" s="306"/>
      <c r="S1560" s="306"/>
      <c r="T1560" s="306"/>
      <c r="U1560" s="306"/>
      <c r="V1560" s="306"/>
      <c r="W1560" s="306"/>
      <c r="X1560" s="306"/>
      <c r="Y1560" s="306"/>
      <c r="Z1560" s="306"/>
    </row>
    <row r="1561" ht="33.75" customHeight="1">
      <c r="A1561" s="11" t="s">
        <v>2245</v>
      </c>
      <c r="B1561" s="22" t="s">
        <v>2246</v>
      </c>
      <c r="C1561" s="11" t="s">
        <v>2247</v>
      </c>
      <c r="D1561" s="11" t="s">
        <v>2248</v>
      </c>
      <c r="E1561" s="76">
        <v>46079.0</v>
      </c>
      <c r="F1561" s="21" t="s">
        <v>17</v>
      </c>
      <c r="G1561" s="178">
        <v>10037.0</v>
      </c>
      <c r="H1561" s="28"/>
      <c r="I1561" s="17">
        <v>10000.0</v>
      </c>
      <c r="J1561" s="25" t="s">
        <v>1</v>
      </c>
      <c r="K1561" s="26"/>
      <c r="L1561" s="26"/>
      <c r="M1561" s="26"/>
      <c r="N1561" s="26"/>
      <c r="O1561" s="26"/>
      <c r="P1561" s="26"/>
      <c r="Q1561" s="26"/>
      <c r="R1561" s="26"/>
      <c r="S1561" s="26"/>
      <c r="T1561" s="26"/>
      <c r="U1561" s="26"/>
      <c r="V1561" s="26"/>
      <c r="W1561" s="26"/>
      <c r="X1561" s="26"/>
      <c r="Y1561" s="26"/>
      <c r="Z1561" s="26"/>
    </row>
    <row r="1562" ht="33.75" customHeight="1">
      <c r="A1562" s="24" t="s">
        <v>2249</v>
      </c>
      <c r="B1562" s="22" t="s">
        <v>15</v>
      </c>
      <c r="C1562" s="24" t="s">
        <v>2250</v>
      </c>
      <c r="D1562" s="24" t="s">
        <v>2251</v>
      </c>
      <c r="E1562" s="76">
        <v>46079.0</v>
      </c>
      <c r="F1562" s="21" t="s">
        <v>1133</v>
      </c>
      <c r="G1562" s="178">
        <v>1800.0</v>
      </c>
      <c r="H1562" s="16">
        <v>1696.0</v>
      </c>
      <c r="I1562" s="17">
        <f t="shared" ref="I1562:I1572" si="45">G1562-H1562</f>
        <v>104</v>
      </c>
      <c r="J1562" s="25" t="s">
        <v>1</v>
      </c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  <c r="W1562" s="26"/>
      <c r="X1562" s="26"/>
      <c r="Y1562" s="26"/>
      <c r="Z1562" s="26"/>
    </row>
    <row r="1563" ht="33.75" customHeight="1">
      <c r="A1563" s="24" t="s">
        <v>2249</v>
      </c>
      <c r="B1563" s="22" t="s">
        <v>198</v>
      </c>
      <c r="C1563" s="11" t="s">
        <v>2250</v>
      </c>
      <c r="D1563" s="24" t="s">
        <v>2251</v>
      </c>
      <c r="E1563" s="76">
        <v>46079.0</v>
      </c>
      <c r="F1563" s="21" t="s">
        <v>1133</v>
      </c>
      <c r="G1563" s="178">
        <v>1800.0</v>
      </c>
      <c r="H1563" s="16">
        <v>1688.0</v>
      </c>
      <c r="I1563" s="17">
        <f t="shared" si="45"/>
        <v>112</v>
      </c>
      <c r="J1563" s="25" t="s">
        <v>1</v>
      </c>
      <c r="K1563" s="26"/>
      <c r="L1563" s="26"/>
      <c r="M1563" s="26"/>
      <c r="N1563" s="26"/>
      <c r="O1563" s="26"/>
      <c r="P1563" s="26"/>
      <c r="Q1563" s="26"/>
      <c r="R1563" s="26"/>
      <c r="S1563" s="26"/>
      <c r="T1563" s="26"/>
      <c r="U1563" s="26"/>
      <c r="V1563" s="26"/>
      <c r="W1563" s="26"/>
      <c r="X1563" s="26"/>
      <c r="Y1563" s="26"/>
      <c r="Z1563" s="26"/>
    </row>
    <row r="1564" ht="33.75" customHeight="1">
      <c r="A1564" s="24" t="s">
        <v>2249</v>
      </c>
      <c r="B1564" s="22" t="s">
        <v>2252</v>
      </c>
      <c r="C1564" s="24" t="s">
        <v>2250</v>
      </c>
      <c r="D1564" s="24" t="s">
        <v>2251</v>
      </c>
      <c r="E1564" s="76">
        <v>46079.0</v>
      </c>
      <c r="F1564" s="21" t="s">
        <v>1133</v>
      </c>
      <c r="G1564" s="178">
        <v>1800.0</v>
      </c>
      <c r="H1564" s="16">
        <v>1678.0</v>
      </c>
      <c r="I1564" s="17">
        <f t="shared" si="45"/>
        <v>122</v>
      </c>
      <c r="J1564" s="25" t="s">
        <v>1</v>
      </c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  <c r="W1564" s="26"/>
      <c r="X1564" s="26"/>
      <c r="Y1564" s="26"/>
      <c r="Z1564" s="26"/>
    </row>
    <row r="1565" ht="33.75" customHeight="1">
      <c r="A1565" s="24" t="s">
        <v>2249</v>
      </c>
      <c r="B1565" s="22" t="s">
        <v>248</v>
      </c>
      <c r="C1565" s="11" t="s">
        <v>2253</v>
      </c>
      <c r="D1565" s="24" t="s">
        <v>2254</v>
      </c>
      <c r="E1565" s="76">
        <v>46079.0</v>
      </c>
      <c r="F1565" s="21" t="s">
        <v>1133</v>
      </c>
      <c r="G1565" s="178">
        <v>1600.0</v>
      </c>
      <c r="H1565" s="16">
        <v>1465.0</v>
      </c>
      <c r="I1565" s="17">
        <f t="shared" si="45"/>
        <v>135</v>
      </c>
      <c r="J1565" s="25" t="s">
        <v>1</v>
      </c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</row>
    <row r="1566" ht="33.75" customHeight="1">
      <c r="A1566" s="24" t="s">
        <v>2249</v>
      </c>
      <c r="B1566" s="22" t="s">
        <v>1355</v>
      </c>
      <c r="C1566" s="11" t="s">
        <v>2253</v>
      </c>
      <c r="D1566" s="24" t="s">
        <v>2251</v>
      </c>
      <c r="E1566" s="76">
        <v>46079.0</v>
      </c>
      <c r="F1566" s="21" t="s">
        <v>1133</v>
      </c>
      <c r="G1566" s="178">
        <v>1800.0</v>
      </c>
      <c r="H1566" s="16">
        <v>1672.0</v>
      </c>
      <c r="I1566" s="17">
        <f t="shared" si="45"/>
        <v>128</v>
      </c>
      <c r="J1566" s="25" t="s">
        <v>1</v>
      </c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  <c r="W1566" s="26"/>
      <c r="X1566" s="26"/>
      <c r="Y1566" s="26"/>
      <c r="Z1566" s="26"/>
    </row>
    <row r="1567" ht="33.75" customHeight="1">
      <c r="A1567" s="24" t="s">
        <v>2249</v>
      </c>
      <c r="B1567" s="22" t="s">
        <v>2255</v>
      </c>
      <c r="C1567" s="11" t="s">
        <v>2250</v>
      </c>
      <c r="D1567" s="24" t="s">
        <v>2251</v>
      </c>
      <c r="E1567" s="76">
        <v>46079.0</v>
      </c>
      <c r="F1567" s="21" t="s">
        <v>1133</v>
      </c>
      <c r="G1567" s="178">
        <v>1800.0</v>
      </c>
      <c r="H1567" s="16">
        <v>1623.0</v>
      </c>
      <c r="I1567" s="17">
        <f t="shared" si="45"/>
        <v>177</v>
      </c>
      <c r="J1567" s="25" t="s">
        <v>1</v>
      </c>
      <c r="K1567" s="26"/>
      <c r="L1567" s="26"/>
      <c r="M1567" s="26"/>
      <c r="N1567" s="26"/>
      <c r="O1567" s="26"/>
      <c r="P1567" s="26"/>
      <c r="Q1567" s="26"/>
      <c r="R1567" s="26"/>
      <c r="S1567" s="26"/>
      <c r="T1567" s="26"/>
      <c r="U1567" s="26"/>
      <c r="V1567" s="26"/>
      <c r="W1567" s="26"/>
      <c r="X1567" s="26"/>
      <c r="Y1567" s="26"/>
      <c r="Z1567" s="26"/>
    </row>
    <row r="1568" ht="33.75" customHeight="1">
      <c r="A1568" s="44" t="s">
        <v>2256</v>
      </c>
      <c r="B1568" s="45" t="s">
        <v>49</v>
      </c>
      <c r="C1568" s="44" t="s">
        <v>2257</v>
      </c>
      <c r="D1568" s="44" t="s">
        <v>2258</v>
      </c>
      <c r="E1568" s="307">
        <v>46080.0</v>
      </c>
      <c r="F1568" s="46" t="s">
        <v>1141</v>
      </c>
      <c r="G1568" s="308"/>
      <c r="H1568" s="309"/>
      <c r="I1568" s="48">
        <f t="shared" si="45"/>
        <v>0</v>
      </c>
      <c r="J1568" s="91" t="s">
        <v>2259</v>
      </c>
      <c r="K1568" s="92"/>
      <c r="L1568" s="92"/>
      <c r="M1568" s="92"/>
      <c r="N1568" s="92"/>
      <c r="O1568" s="92"/>
      <c r="P1568" s="92"/>
      <c r="Q1568" s="92"/>
      <c r="R1568" s="92"/>
      <c r="S1568" s="92"/>
      <c r="T1568" s="92"/>
      <c r="U1568" s="92"/>
      <c r="V1568" s="92"/>
      <c r="W1568" s="92"/>
      <c r="X1568" s="92"/>
      <c r="Y1568" s="92"/>
      <c r="Z1568" s="92"/>
    </row>
    <row r="1569" ht="33.75" customHeight="1">
      <c r="A1569" s="11" t="s">
        <v>1587</v>
      </c>
      <c r="B1569" s="22" t="s">
        <v>81</v>
      </c>
      <c r="C1569" s="11" t="s">
        <v>2260</v>
      </c>
      <c r="D1569" s="310" t="s">
        <v>4</v>
      </c>
      <c r="E1569" s="13">
        <v>46080.0</v>
      </c>
      <c r="F1569" s="14" t="s">
        <v>287</v>
      </c>
      <c r="G1569" s="178">
        <v>35684.0</v>
      </c>
      <c r="H1569" s="28"/>
      <c r="I1569" s="17">
        <f t="shared" si="45"/>
        <v>35684</v>
      </c>
      <c r="J1569" s="25" t="s">
        <v>1</v>
      </c>
      <c r="K1569" s="26"/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  <c r="Y1569" s="26"/>
      <c r="Z1569" s="26"/>
    </row>
    <row r="1570" ht="33.75" customHeight="1">
      <c r="A1570" s="11" t="s">
        <v>28</v>
      </c>
      <c r="B1570" s="22" t="s">
        <v>1835</v>
      </c>
      <c r="C1570" s="11" t="s">
        <v>2261</v>
      </c>
      <c r="D1570" s="11">
        <v>7.48555344785532E14</v>
      </c>
      <c r="E1570" s="13">
        <v>46080.0</v>
      </c>
      <c r="F1570" s="14" t="s">
        <v>17</v>
      </c>
      <c r="G1570" s="178">
        <v>11000.0</v>
      </c>
      <c r="H1570" s="28"/>
      <c r="I1570" s="17">
        <f t="shared" si="45"/>
        <v>11000</v>
      </c>
      <c r="J1570" s="25" t="s">
        <v>1</v>
      </c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  <c r="W1570" s="26"/>
      <c r="X1570" s="26"/>
      <c r="Y1570" s="26"/>
      <c r="Z1570" s="26"/>
    </row>
    <row r="1571" ht="33.75" customHeight="1">
      <c r="A1571" s="11" t="s">
        <v>1587</v>
      </c>
      <c r="B1571" s="22" t="s">
        <v>85</v>
      </c>
      <c r="C1571" s="11" t="s">
        <v>2262</v>
      </c>
      <c r="D1571" s="310" t="s">
        <v>4</v>
      </c>
      <c r="E1571" s="13">
        <v>46080.0</v>
      </c>
      <c r="F1571" s="14" t="s">
        <v>287</v>
      </c>
      <c r="G1571" s="178">
        <v>35684.0</v>
      </c>
      <c r="H1571" s="28"/>
      <c r="I1571" s="17">
        <f t="shared" si="45"/>
        <v>35684</v>
      </c>
      <c r="J1571" s="25" t="s">
        <v>1</v>
      </c>
      <c r="K1571" s="26"/>
      <c r="L1571" s="26"/>
      <c r="M1571" s="26"/>
      <c r="N1571" s="26"/>
      <c r="O1571" s="26"/>
      <c r="P1571" s="26"/>
      <c r="Q1571" s="26"/>
      <c r="R1571" s="26"/>
      <c r="S1571" s="26"/>
      <c r="T1571" s="26"/>
      <c r="U1571" s="26"/>
      <c r="V1571" s="26"/>
      <c r="W1571" s="26"/>
      <c r="X1571" s="26"/>
      <c r="Y1571" s="26"/>
      <c r="Z1571" s="26"/>
    </row>
    <row r="1572" ht="33.75" customHeight="1">
      <c r="A1572" s="11" t="s">
        <v>2249</v>
      </c>
      <c r="B1572" s="22" t="s">
        <v>85</v>
      </c>
      <c r="C1572" s="11" t="s">
        <v>2250</v>
      </c>
      <c r="D1572" s="11" t="s">
        <v>2251</v>
      </c>
      <c r="E1572" s="13">
        <v>46079.0</v>
      </c>
      <c r="F1572" s="14" t="s">
        <v>1133</v>
      </c>
      <c r="G1572" s="178">
        <v>1800.0</v>
      </c>
      <c r="H1572" s="16">
        <v>1625.0</v>
      </c>
      <c r="I1572" s="17">
        <f t="shared" si="45"/>
        <v>175</v>
      </c>
      <c r="J1572" s="25" t="s">
        <v>1</v>
      </c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  <c r="W1572" s="26"/>
      <c r="X1572" s="26"/>
      <c r="Y1572" s="26"/>
      <c r="Z1572" s="26"/>
    </row>
    <row r="1573" ht="33.75" customHeight="1">
      <c r="A1573" s="11" t="s">
        <v>2116</v>
      </c>
      <c r="B1573" s="22" t="s">
        <v>2203</v>
      </c>
      <c r="C1573" s="11" t="s">
        <v>2263</v>
      </c>
      <c r="D1573" s="11">
        <v>9.71394991879035E14</v>
      </c>
      <c r="E1573" s="64">
        <v>46079.0</v>
      </c>
      <c r="F1573" s="14" t="s">
        <v>17</v>
      </c>
      <c r="G1573" s="178">
        <v>9000.0</v>
      </c>
      <c r="H1573" s="28"/>
      <c r="I1573" s="17"/>
      <c r="J1573" s="25" t="s">
        <v>1</v>
      </c>
      <c r="K1573" s="26"/>
      <c r="L1573" s="26"/>
      <c r="M1573" s="26"/>
      <c r="N1573" s="26"/>
      <c r="O1573" s="26"/>
      <c r="P1573" s="26"/>
      <c r="Q1573" s="26"/>
      <c r="R1573" s="26"/>
      <c r="S1573" s="26"/>
      <c r="T1573" s="26"/>
      <c r="U1573" s="26"/>
      <c r="V1573" s="26"/>
      <c r="W1573" s="26"/>
      <c r="X1573" s="26"/>
      <c r="Y1573" s="26"/>
      <c r="Z1573" s="26"/>
    </row>
    <row r="1574" ht="33.75" customHeight="1">
      <c r="A1574" s="11" t="s">
        <v>2217</v>
      </c>
      <c r="B1574" s="22" t="s">
        <v>81</v>
      </c>
      <c r="C1574" s="11" t="s">
        <v>2264</v>
      </c>
      <c r="D1574" s="11">
        <v>7.88725190396896E14</v>
      </c>
      <c r="E1574" s="13">
        <v>46080.0</v>
      </c>
      <c r="F1574" s="14" t="s">
        <v>1133</v>
      </c>
      <c r="G1574" s="178">
        <v>10000.0</v>
      </c>
      <c r="H1574" s="16">
        <v>9244.0</v>
      </c>
      <c r="I1574" s="17">
        <f t="shared" ref="I1574:I1585" si="46">G1574-H1574</f>
        <v>756</v>
      </c>
      <c r="J1574" s="25" t="s">
        <v>1</v>
      </c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  <c r="W1574" s="26"/>
      <c r="X1574" s="26"/>
      <c r="Y1574" s="26"/>
      <c r="Z1574" s="26"/>
    </row>
    <row r="1575" ht="33.75" customHeight="1">
      <c r="A1575" s="11" t="s">
        <v>2265</v>
      </c>
      <c r="B1575" s="22" t="s">
        <v>81</v>
      </c>
      <c r="C1575" s="11" t="s">
        <v>2264</v>
      </c>
      <c r="D1575" s="11">
        <v>7.88725190396896E14</v>
      </c>
      <c r="E1575" s="13">
        <v>46080.0</v>
      </c>
      <c r="F1575" s="14" t="s">
        <v>1133</v>
      </c>
      <c r="G1575" s="178">
        <v>5000.0</v>
      </c>
      <c r="H1575" s="16">
        <v>3219.0</v>
      </c>
      <c r="I1575" s="17">
        <f t="shared" si="46"/>
        <v>1781</v>
      </c>
      <c r="J1575" s="25" t="s">
        <v>1</v>
      </c>
      <c r="K1575" s="26"/>
      <c r="L1575" s="26"/>
      <c r="M1575" s="26"/>
      <c r="N1575" s="26"/>
      <c r="O1575" s="26"/>
      <c r="P1575" s="26"/>
      <c r="Q1575" s="26"/>
      <c r="R1575" s="26"/>
      <c r="S1575" s="26"/>
      <c r="T1575" s="26"/>
      <c r="U1575" s="26"/>
      <c r="V1575" s="26"/>
      <c r="W1575" s="26"/>
      <c r="X1575" s="26"/>
      <c r="Y1575" s="26"/>
      <c r="Z1575" s="26"/>
    </row>
    <row r="1576" ht="33.75" customHeight="1">
      <c r="A1576" s="11" t="s">
        <v>2266</v>
      </c>
      <c r="B1576" s="22" t="s">
        <v>81</v>
      </c>
      <c r="C1576" s="11" t="s">
        <v>2264</v>
      </c>
      <c r="D1576" s="11">
        <v>7.88725190396896E14</v>
      </c>
      <c r="E1576" s="13">
        <v>46080.0</v>
      </c>
      <c r="F1576" s="14" t="s">
        <v>1133</v>
      </c>
      <c r="G1576" s="178">
        <v>6000.0</v>
      </c>
      <c r="H1576" s="16">
        <v>1039.0</v>
      </c>
      <c r="I1576" s="17">
        <f t="shared" si="46"/>
        <v>4961</v>
      </c>
      <c r="J1576" s="25" t="s">
        <v>1</v>
      </c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  <c r="W1576" s="26"/>
      <c r="X1576" s="26"/>
      <c r="Y1576" s="26"/>
      <c r="Z1576" s="26"/>
    </row>
    <row r="1577" ht="33.75" customHeight="1">
      <c r="A1577" s="11" t="s">
        <v>2267</v>
      </c>
      <c r="B1577" s="22" t="s">
        <v>81</v>
      </c>
      <c r="C1577" s="11" t="s">
        <v>2264</v>
      </c>
      <c r="D1577" s="11">
        <v>7.88725190396896E14</v>
      </c>
      <c r="E1577" s="13">
        <v>46080.0</v>
      </c>
      <c r="F1577" s="14" t="s">
        <v>1133</v>
      </c>
      <c r="G1577" s="178">
        <v>7000.0</v>
      </c>
      <c r="H1577" s="16">
        <v>5093.0</v>
      </c>
      <c r="I1577" s="17">
        <f t="shared" si="46"/>
        <v>1907</v>
      </c>
      <c r="J1577" s="25" t="s">
        <v>1</v>
      </c>
      <c r="K1577" s="26"/>
      <c r="L1577" s="26"/>
      <c r="M1577" s="26"/>
      <c r="N1577" s="26"/>
      <c r="O1577" s="26"/>
      <c r="P1577" s="26"/>
      <c r="Q1577" s="26"/>
      <c r="R1577" s="26"/>
      <c r="S1577" s="26"/>
      <c r="T1577" s="26"/>
      <c r="U1577" s="26"/>
      <c r="V1577" s="26"/>
      <c r="W1577" s="26"/>
      <c r="X1577" s="26"/>
      <c r="Y1577" s="26"/>
      <c r="Z1577" s="26"/>
    </row>
    <row r="1578" ht="33.75" customHeight="1">
      <c r="A1578" s="11" t="s">
        <v>489</v>
      </c>
      <c r="B1578" s="22" t="s">
        <v>2268</v>
      </c>
      <c r="C1578" s="11" t="s">
        <v>2216</v>
      </c>
      <c r="D1578" s="310" t="s">
        <v>4</v>
      </c>
      <c r="E1578" s="13">
        <v>46080.0</v>
      </c>
      <c r="F1578" s="14" t="s">
        <v>17</v>
      </c>
      <c r="G1578" s="178">
        <v>10000.0</v>
      </c>
      <c r="H1578" s="28"/>
      <c r="I1578" s="17">
        <f t="shared" si="46"/>
        <v>10000</v>
      </c>
      <c r="J1578" s="25" t="s">
        <v>1</v>
      </c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  <c r="W1578" s="26"/>
      <c r="X1578" s="26"/>
      <c r="Y1578" s="26"/>
      <c r="Z1578" s="26"/>
    </row>
    <row r="1579" ht="33.75" customHeight="1">
      <c r="A1579" s="11" t="s">
        <v>2038</v>
      </c>
      <c r="B1579" s="22" t="s">
        <v>88</v>
      </c>
      <c r="C1579" s="11" t="s">
        <v>2269</v>
      </c>
      <c r="D1579" s="11" t="s">
        <v>2270</v>
      </c>
      <c r="E1579" s="13">
        <v>46080.0</v>
      </c>
      <c r="F1579" s="14" t="s">
        <v>1141</v>
      </c>
      <c r="G1579" s="178">
        <v>7228.0</v>
      </c>
      <c r="H1579" s="16">
        <v>6555.0</v>
      </c>
      <c r="I1579" s="17">
        <f t="shared" si="46"/>
        <v>673</v>
      </c>
      <c r="J1579" s="25" t="s">
        <v>1</v>
      </c>
      <c r="K1579" s="26"/>
      <c r="L1579" s="26"/>
      <c r="M1579" s="26"/>
      <c r="N1579" s="26"/>
      <c r="O1579" s="26"/>
      <c r="P1579" s="26"/>
      <c r="Q1579" s="26"/>
      <c r="R1579" s="26"/>
      <c r="S1579" s="26"/>
      <c r="T1579" s="26"/>
      <c r="U1579" s="26"/>
      <c r="V1579" s="26"/>
      <c r="W1579" s="26"/>
      <c r="X1579" s="26"/>
      <c r="Y1579" s="26"/>
      <c r="Z1579" s="26"/>
    </row>
    <row r="1580" ht="33.75" customHeight="1">
      <c r="A1580" s="11" t="s">
        <v>1587</v>
      </c>
      <c r="B1580" s="22" t="s">
        <v>88</v>
      </c>
      <c r="C1580" s="11" t="s">
        <v>2271</v>
      </c>
      <c r="D1580" s="310" t="s">
        <v>4</v>
      </c>
      <c r="E1580" s="13">
        <v>46080.0</v>
      </c>
      <c r="F1580" s="14" t="s">
        <v>287</v>
      </c>
      <c r="G1580" s="178">
        <v>35684.0</v>
      </c>
      <c r="H1580" s="28"/>
      <c r="I1580" s="17">
        <f t="shared" si="46"/>
        <v>35684</v>
      </c>
      <c r="J1580" s="220" t="s">
        <v>1</v>
      </c>
      <c r="K1580" s="221"/>
      <c r="L1580" s="221"/>
      <c r="M1580" s="221"/>
      <c r="N1580" s="221"/>
      <c r="O1580" s="221"/>
      <c r="P1580" s="221"/>
      <c r="Q1580" s="221"/>
      <c r="R1580" s="221"/>
      <c r="S1580" s="221"/>
      <c r="T1580" s="221"/>
      <c r="U1580" s="221"/>
      <c r="V1580" s="221"/>
      <c r="W1580" s="221"/>
      <c r="X1580" s="221"/>
      <c r="Y1580" s="221"/>
      <c r="Z1580" s="221"/>
    </row>
    <row r="1581" ht="33.75" customHeight="1">
      <c r="A1581" s="11" t="s">
        <v>1587</v>
      </c>
      <c r="B1581" s="22" t="s">
        <v>31</v>
      </c>
      <c r="C1581" s="11" t="s">
        <v>2272</v>
      </c>
      <c r="D1581" s="310" t="s">
        <v>4</v>
      </c>
      <c r="E1581" s="64">
        <v>46080.0</v>
      </c>
      <c r="F1581" s="14" t="s">
        <v>287</v>
      </c>
      <c r="G1581" s="178">
        <v>35685.0</v>
      </c>
      <c r="H1581" s="28"/>
      <c r="I1581" s="17">
        <f t="shared" si="46"/>
        <v>35685</v>
      </c>
      <c r="J1581" s="220" t="s">
        <v>1</v>
      </c>
      <c r="K1581" s="221"/>
      <c r="L1581" s="221"/>
      <c r="M1581" s="221"/>
      <c r="N1581" s="221"/>
      <c r="O1581" s="221"/>
      <c r="P1581" s="221"/>
      <c r="Q1581" s="221"/>
      <c r="R1581" s="221"/>
      <c r="S1581" s="221"/>
      <c r="T1581" s="221"/>
      <c r="U1581" s="221"/>
      <c r="V1581" s="221"/>
      <c r="W1581" s="221"/>
      <c r="X1581" s="221"/>
      <c r="Y1581" s="221"/>
      <c r="Z1581" s="221"/>
    </row>
    <row r="1582" ht="33.75" customHeight="1">
      <c r="A1582" s="11" t="s">
        <v>1809</v>
      </c>
      <c r="B1582" s="22" t="s">
        <v>260</v>
      </c>
      <c r="C1582" s="11" t="s">
        <v>2273</v>
      </c>
      <c r="D1582" s="11" t="s">
        <v>2274</v>
      </c>
      <c r="E1582" s="13">
        <v>46080.0</v>
      </c>
      <c r="F1582" s="14" t="s">
        <v>1191</v>
      </c>
      <c r="G1582" s="178">
        <v>1209.0</v>
      </c>
      <c r="H1582" s="16">
        <v>1044.0</v>
      </c>
      <c r="I1582" s="17">
        <f t="shared" si="46"/>
        <v>165</v>
      </c>
      <c r="J1582" s="25" t="s">
        <v>1</v>
      </c>
      <c r="K1582" s="26"/>
      <c r="L1582" s="26"/>
      <c r="M1582" s="26"/>
      <c r="N1582" s="26"/>
      <c r="O1582" s="26"/>
      <c r="P1582" s="26"/>
      <c r="Q1582" s="26"/>
      <c r="R1582" s="26"/>
      <c r="S1582" s="26"/>
      <c r="T1582" s="26"/>
      <c r="U1582" s="26"/>
      <c r="V1582" s="26"/>
      <c r="W1582" s="26"/>
      <c r="X1582" s="26"/>
      <c r="Y1582" s="26"/>
      <c r="Z1582" s="26"/>
    </row>
    <row r="1583" ht="33.75" customHeight="1">
      <c r="A1583" s="11" t="s">
        <v>1987</v>
      </c>
      <c r="B1583" s="22" t="s">
        <v>530</v>
      </c>
      <c r="C1583" s="11" t="s">
        <v>2204</v>
      </c>
      <c r="D1583" s="11" t="s">
        <v>4</v>
      </c>
      <c r="E1583" s="13">
        <v>46080.0</v>
      </c>
      <c r="F1583" s="14" t="s">
        <v>1133</v>
      </c>
      <c r="G1583" s="178">
        <v>11083.0</v>
      </c>
      <c r="H1583" s="16">
        <v>9535.0</v>
      </c>
      <c r="I1583" s="17">
        <f t="shared" si="46"/>
        <v>1548</v>
      </c>
      <c r="J1583" s="25" t="s">
        <v>1</v>
      </c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  <c r="W1583" s="26"/>
      <c r="X1583" s="26"/>
      <c r="Y1583" s="26"/>
      <c r="Z1583" s="26"/>
    </row>
    <row r="1584" ht="33.75" customHeight="1">
      <c r="A1584" s="11" t="s">
        <v>2275</v>
      </c>
      <c r="B1584" s="22" t="s">
        <v>34</v>
      </c>
      <c r="C1584" s="11" t="s">
        <v>2276</v>
      </c>
      <c r="D1584" s="22" t="s">
        <v>2277</v>
      </c>
      <c r="E1584" s="13">
        <v>46080.0</v>
      </c>
      <c r="F1584" s="14" t="s">
        <v>1133</v>
      </c>
      <c r="G1584" s="178">
        <v>21954.0</v>
      </c>
      <c r="H1584" s="16">
        <v>14391.0</v>
      </c>
      <c r="I1584" s="17">
        <f t="shared" si="46"/>
        <v>7563</v>
      </c>
      <c r="J1584" s="25" t="s">
        <v>1</v>
      </c>
      <c r="K1584" s="26"/>
      <c r="L1584" s="26"/>
      <c r="M1584" s="26"/>
      <c r="N1584" s="26"/>
      <c r="O1584" s="26"/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6"/>
    </row>
    <row r="1585" ht="33.75" customHeight="1">
      <c r="A1585" s="11" t="s">
        <v>109</v>
      </c>
      <c r="B1585" s="22" t="s">
        <v>125</v>
      </c>
      <c r="C1585" s="11" t="s">
        <v>2238</v>
      </c>
      <c r="D1585" s="11">
        <v>9.34553269088932E14</v>
      </c>
      <c r="E1585" s="13">
        <v>46079.0</v>
      </c>
      <c r="F1585" s="14" t="s">
        <v>1133</v>
      </c>
      <c r="G1585" s="178">
        <v>1400.0</v>
      </c>
      <c r="H1585" s="16">
        <v>1389.0</v>
      </c>
      <c r="I1585" s="17">
        <f t="shared" si="46"/>
        <v>11</v>
      </c>
      <c r="J1585" s="25" t="s">
        <v>1</v>
      </c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  <c r="W1585" s="26"/>
      <c r="X1585" s="26"/>
      <c r="Y1585" s="26"/>
      <c r="Z1585" s="26"/>
    </row>
    <row r="1586" ht="33.75" customHeight="1">
      <c r="A1586" s="11" t="s">
        <v>2172</v>
      </c>
      <c r="B1586" s="22" t="s">
        <v>140</v>
      </c>
      <c r="C1586" s="11" t="s">
        <v>2278</v>
      </c>
      <c r="D1586" s="11">
        <v>9.07391302258225E14</v>
      </c>
      <c r="E1586" s="13">
        <v>46080.0</v>
      </c>
      <c r="F1586" s="14" t="s">
        <v>1141</v>
      </c>
      <c r="G1586" s="178">
        <v>24829.0</v>
      </c>
      <c r="H1586" s="16">
        <v>23736.0</v>
      </c>
      <c r="I1586" s="17">
        <v>0.0</v>
      </c>
      <c r="J1586" s="25" t="s">
        <v>1</v>
      </c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</row>
    <row r="1587" ht="33.75" customHeight="1">
      <c r="A1587" s="11" t="s">
        <v>539</v>
      </c>
      <c r="B1587" s="22"/>
      <c r="C1587" s="11">
        <v>6.5936180721E10</v>
      </c>
      <c r="D1587" s="11" t="s">
        <v>2279</v>
      </c>
      <c r="E1587" s="13">
        <v>46080.0</v>
      </c>
      <c r="F1587" s="14" t="s">
        <v>1133</v>
      </c>
      <c r="G1587" s="178">
        <v>15000.0</v>
      </c>
      <c r="H1587" s="16">
        <v>14257.0</v>
      </c>
      <c r="I1587" s="17">
        <f t="shared" ref="I1587:I1601" si="47">G1587-H1587</f>
        <v>743</v>
      </c>
      <c r="J1587" s="25" t="s">
        <v>1</v>
      </c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  <c r="W1587" s="26"/>
      <c r="X1587" s="26"/>
      <c r="Y1587" s="26"/>
      <c r="Z1587" s="26"/>
    </row>
    <row r="1588" ht="33.75" customHeight="1">
      <c r="A1588" s="195" t="s">
        <v>2280</v>
      </c>
      <c r="B1588" s="195"/>
      <c r="C1588" s="195" t="s">
        <v>2281</v>
      </c>
      <c r="D1588" s="195"/>
      <c r="E1588" s="197">
        <v>46080.0</v>
      </c>
      <c r="F1588" s="198" t="s">
        <v>17</v>
      </c>
      <c r="G1588" s="263" t="s">
        <v>2282</v>
      </c>
      <c r="H1588" s="200"/>
      <c r="I1588" s="201">
        <f t="shared" si="47"/>
        <v>537</v>
      </c>
      <c r="J1588" s="202" t="s">
        <v>1051</v>
      </c>
      <c r="K1588" s="203"/>
      <c r="L1588" s="203"/>
      <c r="M1588" s="203"/>
      <c r="N1588" s="203"/>
      <c r="O1588" s="203"/>
      <c r="P1588" s="203"/>
      <c r="Q1588" s="203"/>
      <c r="R1588" s="203"/>
      <c r="S1588" s="203"/>
      <c r="T1588" s="203"/>
      <c r="U1588" s="203"/>
      <c r="V1588" s="203"/>
      <c r="W1588" s="203"/>
      <c r="X1588" s="203"/>
      <c r="Y1588" s="203"/>
      <c r="Z1588" s="203"/>
    </row>
    <row r="1589" ht="33.75" customHeight="1">
      <c r="A1589" s="11" t="s">
        <v>1587</v>
      </c>
      <c r="B1589" s="22" t="s">
        <v>1011</v>
      </c>
      <c r="C1589" s="11" t="s">
        <v>2283</v>
      </c>
      <c r="D1589" s="36"/>
      <c r="E1589" s="64">
        <v>46081.0</v>
      </c>
      <c r="F1589" s="14" t="s">
        <v>26</v>
      </c>
      <c r="G1589" s="178">
        <v>60340.0</v>
      </c>
      <c r="H1589" s="28"/>
      <c r="I1589" s="17">
        <f t="shared" si="47"/>
        <v>60340</v>
      </c>
      <c r="J1589" s="25" t="s">
        <v>1</v>
      </c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  <c r="W1589" s="26"/>
      <c r="X1589" s="26"/>
      <c r="Y1589" s="26"/>
      <c r="Z1589" s="26"/>
    </row>
    <row r="1590" ht="33.75" customHeight="1">
      <c r="A1590" s="11" t="s">
        <v>1587</v>
      </c>
      <c r="B1590" s="22" t="s">
        <v>49</v>
      </c>
      <c r="C1590" s="11" t="s">
        <v>2284</v>
      </c>
      <c r="D1590" s="36"/>
      <c r="E1590" s="64">
        <v>46081.0</v>
      </c>
      <c r="F1590" s="14" t="s">
        <v>26</v>
      </c>
      <c r="G1590" s="178">
        <v>60340.0</v>
      </c>
      <c r="H1590" s="28"/>
      <c r="I1590" s="17">
        <f t="shared" si="47"/>
        <v>60340</v>
      </c>
      <c r="J1590" s="25" t="s">
        <v>1</v>
      </c>
      <c r="K1590" s="26"/>
      <c r="L1590" s="26"/>
      <c r="M1590" s="26"/>
      <c r="N1590" s="26"/>
      <c r="O1590" s="26"/>
      <c r="P1590" s="26"/>
      <c r="Q1590" s="26"/>
      <c r="R1590" s="26"/>
      <c r="S1590" s="26"/>
      <c r="T1590" s="26"/>
      <c r="U1590" s="26"/>
      <c r="V1590" s="26"/>
      <c r="W1590" s="26"/>
      <c r="X1590" s="26"/>
      <c r="Y1590" s="26"/>
      <c r="Z1590" s="26"/>
    </row>
    <row r="1591" ht="33.75" customHeight="1">
      <c r="A1591" s="11" t="s">
        <v>1709</v>
      </c>
      <c r="B1591" s="22" t="s">
        <v>81</v>
      </c>
      <c r="C1591" s="11" t="s">
        <v>2285</v>
      </c>
      <c r="D1591" s="11" t="s">
        <v>2286</v>
      </c>
      <c r="E1591" s="64">
        <v>46081.0</v>
      </c>
      <c r="F1591" s="14" t="s">
        <v>1133</v>
      </c>
      <c r="G1591" s="178">
        <v>10000.0</v>
      </c>
      <c r="H1591" s="16">
        <v>7431.0</v>
      </c>
      <c r="I1591" s="17">
        <f t="shared" si="47"/>
        <v>2569</v>
      </c>
      <c r="J1591" s="25" t="s">
        <v>1</v>
      </c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  <c r="W1591" s="26"/>
      <c r="X1591" s="26"/>
      <c r="Y1591" s="26"/>
      <c r="Z1591" s="26"/>
    </row>
    <row r="1592" ht="33.75" customHeight="1">
      <c r="A1592" s="11" t="s">
        <v>1587</v>
      </c>
      <c r="B1592" s="22" t="s">
        <v>85</v>
      </c>
      <c r="C1592" s="11" t="s">
        <v>2287</v>
      </c>
      <c r="D1592" s="36"/>
      <c r="E1592" s="64">
        <v>46081.0</v>
      </c>
      <c r="F1592" s="14" t="s">
        <v>17</v>
      </c>
      <c r="G1592" s="178">
        <v>60340.0</v>
      </c>
      <c r="H1592" s="28"/>
      <c r="I1592" s="17">
        <f t="shared" si="47"/>
        <v>60340</v>
      </c>
      <c r="J1592" s="25" t="s">
        <v>1</v>
      </c>
      <c r="K1592" s="26"/>
      <c r="L1592" s="26"/>
      <c r="M1592" s="26"/>
      <c r="N1592" s="26"/>
      <c r="O1592" s="26"/>
      <c r="P1592" s="26"/>
      <c r="Q1592" s="26"/>
      <c r="R1592" s="26"/>
      <c r="S1592" s="26"/>
      <c r="T1592" s="26"/>
      <c r="U1592" s="26"/>
      <c r="V1592" s="26"/>
      <c r="W1592" s="26"/>
      <c r="X1592" s="26"/>
      <c r="Y1592" s="26"/>
      <c r="Z1592" s="26"/>
    </row>
    <row r="1593" ht="33.75" customHeight="1">
      <c r="A1593" s="11" t="s">
        <v>2137</v>
      </c>
      <c r="B1593" s="22" t="s">
        <v>85</v>
      </c>
      <c r="C1593" s="11" t="s">
        <v>2288</v>
      </c>
      <c r="D1593" s="11" t="s">
        <v>2289</v>
      </c>
      <c r="E1593" s="64">
        <v>46081.0</v>
      </c>
      <c r="F1593" s="14" t="s">
        <v>1141</v>
      </c>
      <c r="G1593" s="178">
        <v>50606.0</v>
      </c>
      <c r="H1593" s="16">
        <v>40471.0</v>
      </c>
      <c r="I1593" s="17">
        <f t="shared" si="47"/>
        <v>10135</v>
      </c>
      <c r="J1593" s="39" t="s">
        <v>1</v>
      </c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  <c r="W1593" s="26"/>
      <c r="X1593" s="26"/>
      <c r="Y1593" s="26"/>
      <c r="Z1593" s="26"/>
    </row>
    <row r="1594" ht="33.75" customHeight="1">
      <c r="A1594" s="11" t="s">
        <v>1587</v>
      </c>
      <c r="B1594" s="22" t="s">
        <v>88</v>
      </c>
      <c r="C1594" s="11" t="s">
        <v>2290</v>
      </c>
      <c r="D1594" s="36"/>
      <c r="E1594" s="64">
        <v>46081.0</v>
      </c>
      <c r="F1594" s="14" t="s">
        <v>17</v>
      </c>
      <c r="G1594" s="178">
        <v>60340.0</v>
      </c>
      <c r="H1594" s="28"/>
      <c r="I1594" s="17">
        <f t="shared" si="47"/>
        <v>60340</v>
      </c>
      <c r="J1594" s="25" t="s">
        <v>1</v>
      </c>
      <c r="K1594" s="26"/>
      <c r="L1594" s="26"/>
      <c r="M1594" s="26"/>
      <c r="N1594" s="26"/>
      <c r="O1594" s="26"/>
      <c r="P1594" s="26"/>
      <c r="Q1594" s="26"/>
      <c r="R1594" s="26"/>
      <c r="S1594" s="26"/>
      <c r="T1594" s="26"/>
      <c r="U1594" s="26"/>
      <c r="V1594" s="26"/>
      <c r="W1594" s="26"/>
      <c r="X1594" s="26"/>
      <c r="Y1594" s="26"/>
      <c r="Z1594" s="26"/>
    </row>
    <row r="1595" ht="33.75" customHeight="1">
      <c r="A1595" s="11" t="s">
        <v>1587</v>
      </c>
      <c r="B1595" s="22" t="s">
        <v>31</v>
      </c>
      <c r="C1595" s="11" t="s">
        <v>2291</v>
      </c>
      <c r="D1595" s="36"/>
      <c r="E1595" s="64">
        <v>46081.0</v>
      </c>
      <c r="F1595" s="14" t="s">
        <v>17</v>
      </c>
      <c r="G1595" s="178">
        <v>60341.0</v>
      </c>
      <c r="H1595" s="28"/>
      <c r="I1595" s="17">
        <f t="shared" si="47"/>
        <v>60341</v>
      </c>
      <c r="J1595" s="25" t="s">
        <v>1</v>
      </c>
      <c r="K1595" s="26"/>
      <c r="L1595" s="26"/>
      <c r="M1595" s="26"/>
      <c r="N1595" s="26"/>
      <c r="O1595" s="26"/>
      <c r="P1595" s="26"/>
      <c r="Q1595" s="26"/>
      <c r="R1595" s="26"/>
      <c r="S1595" s="26"/>
      <c r="T1595" s="26"/>
      <c r="U1595" s="26"/>
      <c r="V1595" s="26"/>
      <c r="W1595" s="26"/>
      <c r="X1595" s="26"/>
      <c r="Y1595" s="26"/>
      <c r="Z1595" s="26"/>
    </row>
    <row r="1596" ht="33.75" customHeight="1">
      <c r="A1596" s="11" t="s">
        <v>184</v>
      </c>
      <c r="B1596" s="22" t="s">
        <v>31</v>
      </c>
      <c r="C1596" s="11" t="s">
        <v>2292</v>
      </c>
      <c r="D1596" s="36" t="s">
        <v>2293</v>
      </c>
      <c r="E1596" s="64">
        <v>46081.0</v>
      </c>
      <c r="F1596" s="14" t="s">
        <v>1141</v>
      </c>
      <c r="G1596" s="178">
        <v>26848.0</v>
      </c>
      <c r="H1596" s="16">
        <v>24985.0</v>
      </c>
      <c r="I1596" s="17">
        <f t="shared" si="47"/>
        <v>1863</v>
      </c>
      <c r="J1596" s="17" t="s">
        <v>1</v>
      </c>
      <c r="K1596" s="252"/>
      <c r="L1596" s="252"/>
      <c r="M1596" s="252"/>
      <c r="N1596" s="252"/>
      <c r="O1596" s="252"/>
      <c r="P1596" s="252"/>
      <c r="Q1596" s="252"/>
      <c r="R1596" s="252"/>
      <c r="S1596" s="252"/>
      <c r="T1596" s="252"/>
      <c r="U1596" s="252"/>
      <c r="V1596" s="252"/>
      <c r="W1596" s="252"/>
      <c r="X1596" s="252"/>
      <c r="Y1596" s="252"/>
      <c r="Z1596" s="252"/>
    </row>
    <row r="1597" ht="33.75" customHeight="1">
      <c r="A1597" s="11" t="s">
        <v>1496</v>
      </c>
      <c r="B1597" s="22" t="s">
        <v>2294</v>
      </c>
      <c r="C1597" s="11" t="s">
        <v>2295</v>
      </c>
      <c r="D1597" s="11" t="s">
        <v>2296</v>
      </c>
      <c r="E1597" s="64">
        <v>46081.0</v>
      </c>
      <c r="F1597" s="14" t="s">
        <v>17</v>
      </c>
      <c r="G1597" s="178">
        <v>13775.0</v>
      </c>
      <c r="H1597" s="16">
        <v>10431.0</v>
      </c>
      <c r="I1597" s="17">
        <f t="shared" si="47"/>
        <v>3344</v>
      </c>
      <c r="J1597" s="17" t="s">
        <v>1</v>
      </c>
      <c r="K1597" s="252"/>
      <c r="L1597" s="252"/>
      <c r="M1597" s="252"/>
      <c r="N1597" s="252"/>
      <c r="O1597" s="252"/>
      <c r="P1597" s="252"/>
      <c r="Q1597" s="252"/>
      <c r="R1597" s="252"/>
      <c r="S1597" s="252"/>
      <c r="T1597" s="252"/>
      <c r="U1597" s="252"/>
      <c r="V1597" s="252"/>
      <c r="W1597" s="252"/>
      <c r="X1597" s="252"/>
      <c r="Y1597" s="252"/>
      <c r="Z1597" s="252"/>
    </row>
    <row r="1598" ht="33.75" customHeight="1">
      <c r="A1598" s="11" t="s">
        <v>534</v>
      </c>
      <c r="B1598" s="22" t="s">
        <v>125</v>
      </c>
      <c r="C1598" s="11" t="s">
        <v>2242</v>
      </c>
      <c r="D1598" s="310" t="s">
        <v>4</v>
      </c>
      <c r="E1598" s="64">
        <v>46081.0</v>
      </c>
      <c r="F1598" s="14" t="s">
        <v>1191</v>
      </c>
      <c r="G1598" s="178">
        <v>26112.0</v>
      </c>
      <c r="H1598" s="16">
        <v>22253.0</v>
      </c>
      <c r="I1598" s="17">
        <f t="shared" si="47"/>
        <v>3859</v>
      </c>
      <c r="J1598" s="17" t="s">
        <v>1</v>
      </c>
      <c r="K1598" s="252"/>
      <c r="L1598" s="252"/>
      <c r="M1598" s="252"/>
      <c r="N1598" s="252"/>
      <c r="O1598" s="252"/>
      <c r="P1598" s="252"/>
      <c r="Q1598" s="252"/>
      <c r="R1598" s="252"/>
      <c r="S1598" s="252"/>
      <c r="T1598" s="252"/>
      <c r="U1598" s="252"/>
      <c r="V1598" s="252"/>
      <c r="W1598" s="252"/>
      <c r="X1598" s="252"/>
      <c r="Y1598" s="252"/>
      <c r="Z1598" s="252"/>
    </row>
    <row r="1599" ht="33.75" customHeight="1">
      <c r="A1599" s="11" t="s">
        <v>785</v>
      </c>
      <c r="B1599" s="22" t="s">
        <v>2297</v>
      </c>
      <c r="C1599" s="24" t="s">
        <v>2244</v>
      </c>
      <c r="D1599" s="310" t="s">
        <v>4</v>
      </c>
      <c r="E1599" s="64">
        <v>46081.0</v>
      </c>
      <c r="F1599" s="14" t="s">
        <v>17</v>
      </c>
      <c r="G1599" s="178">
        <v>45001.0</v>
      </c>
      <c r="H1599" s="28"/>
      <c r="I1599" s="17">
        <f t="shared" si="47"/>
        <v>45001</v>
      </c>
      <c r="J1599" s="17" t="s">
        <v>1</v>
      </c>
      <c r="K1599" s="252"/>
      <c r="L1599" s="252"/>
      <c r="M1599" s="252"/>
      <c r="N1599" s="252"/>
      <c r="O1599" s="252"/>
      <c r="P1599" s="252"/>
      <c r="Q1599" s="252"/>
      <c r="R1599" s="252"/>
      <c r="S1599" s="252"/>
      <c r="T1599" s="252"/>
      <c r="U1599" s="252"/>
      <c r="V1599" s="252"/>
      <c r="W1599" s="252"/>
      <c r="X1599" s="252"/>
      <c r="Y1599" s="252"/>
      <c r="Z1599" s="252"/>
    </row>
    <row r="1600" ht="33.75" customHeight="1">
      <c r="A1600" s="11" t="s">
        <v>1987</v>
      </c>
      <c r="B1600" s="22" t="s">
        <v>161</v>
      </c>
      <c r="C1600" s="11" t="s">
        <v>2204</v>
      </c>
      <c r="D1600" s="11" t="s">
        <v>2298</v>
      </c>
      <c r="E1600" s="64">
        <v>46081.0</v>
      </c>
      <c r="F1600" s="14" t="s">
        <v>1133</v>
      </c>
      <c r="G1600" s="178">
        <v>17953.0</v>
      </c>
      <c r="H1600" s="16">
        <v>16201.0</v>
      </c>
      <c r="I1600" s="17">
        <f t="shared" si="47"/>
        <v>1752</v>
      </c>
      <c r="J1600" s="17" t="s">
        <v>1</v>
      </c>
      <c r="K1600" s="252"/>
      <c r="L1600" s="252"/>
      <c r="M1600" s="252"/>
      <c r="N1600" s="252"/>
      <c r="O1600" s="252"/>
      <c r="P1600" s="252"/>
      <c r="Q1600" s="252"/>
      <c r="R1600" s="252"/>
      <c r="S1600" s="252"/>
      <c r="T1600" s="252"/>
      <c r="U1600" s="252"/>
      <c r="V1600" s="252"/>
      <c r="W1600" s="252"/>
      <c r="X1600" s="252"/>
      <c r="Y1600" s="252"/>
      <c r="Z1600" s="252"/>
    </row>
    <row r="1601" ht="33.75" customHeight="1">
      <c r="A1601" s="11" t="s">
        <v>2150</v>
      </c>
      <c r="B1601" s="22" t="s">
        <v>15</v>
      </c>
      <c r="C1601" s="11" t="s">
        <v>2299</v>
      </c>
      <c r="D1601" s="36"/>
      <c r="E1601" s="311">
        <v>46081.0</v>
      </c>
      <c r="F1601" s="14" t="s">
        <v>1191</v>
      </c>
      <c r="G1601" s="15" t="s">
        <v>2300</v>
      </c>
      <c r="H1601" s="16">
        <v>4275.0</v>
      </c>
      <c r="I1601" s="17">
        <f t="shared" si="47"/>
        <v>728</v>
      </c>
      <c r="J1601" s="25" t="s">
        <v>1139</v>
      </c>
      <c r="K1601" s="26"/>
      <c r="L1601" s="26"/>
      <c r="M1601" s="26"/>
      <c r="N1601" s="26"/>
      <c r="O1601" s="26"/>
      <c r="P1601" s="26"/>
      <c r="Q1601" s="26"/>
      <c r="R1601" s="26"/>
      <c r="S1601" s="26"/>
      <c r="T1601" s="26"/>
      <c r="U1601" s="26"/>
      <c r="V1601" s="26"/>
      <c r="W1601" s="26"/>
      <c r="X1601" s="26"/>
      <c r="Y1601" s="26"/>
      <c r="Z1601" s="26"/>
    </row>
    <row r="1602" ht="33.75" customHeight="1">
      <c r="A1602" s="11" t="s">
        <v>534</v>
      </c>
      <c r="B1602" s="22" t="s">
        <v>1355</v>
      </c>
      <c r="C1602" s="11" t="s">
        <v>2242</v>
      </c>
      <c r="D1602" s="36"/>
      <c r="E1602" s="64">
        <v>46081.0</v>
      </c>
      <c r="F1602" s="14" t="s">
        <v>1191</v>
      </c>
      <c r="G1602" s="15" t="s">
        <v>2301</v>
      </c>
      <c r="H1602" s="16">
        <v>8400.0</v>
      </c>
      <c r="I1602" s="17"/>
      <c r="J1602" s="17" t="s">
        <v>1</v>
      </c>
      <c r="K1602" s="252"/>
      <c r="L1602" s="252"/>
      <c r="M1602" s="252"/>
      <c r="N1602" s="252"/>
      <c r="O1602" s="252"/>
      <c r="P1602" s="252"/>
      <c r="Q1602" s="252"/>
      <c r="R1602" s="252"/>
      <c r="S1602" s="252"/>
      <c r="T1602" s="252"/>
      <c r="U1602" s="252"/>
      <c r="V1602" s="252"/>
      <c r="W1602" s="252"/>
      <c r="X1602" s="252"/>
      <c r="Y1602" s="252"/>
      <c r="Z1602" s="252"/>
    </row>
    <row r="1603" ht="33.75" customHeight="1">
      <c r="A1603" s="11" t="s">
        <v>1587</v>
      </c>
      <c r="B1603" s="22" t="s">
        <v>49</v>
      </c>
      <c r="C1603" s="11" t="s">
        <v>2302</v>
      </c>
      <c r="D1603" s="36"/>
      <c r="E1603" s="311">
        <v>46082.0</v>
      </c>
      <c r="F1603" s="14" t="s">
        <v>287</v>
      </c>
      <c r="G1603" s="178">
        <v>64945.0</v>
      </c>
      <c r="H1603" s="28"/>
      <c r="I1603" s="17">
        <f t="shared" ref="I1603:I1613" si="48">G1603-H1603</f>
        <v>64945</v>
      </c>
      <c r="J1603" s="17" t="s">
        <v>1</v>
      </c>
      <c r="K1603" s="252"/>
      <c r="L1603" s="252"/>
      <c r="M1603" s="252"/>
      <c r="N1603" s="252"/>
      <c r="O1603" s="252"/>
      <c r="P1603" s="252"/>
      <c r="Q1603" s="252"/>
      <c r="R1603" s="252"/>
      <c r="S1603" s="252"/>
      <c r="T1603" s="252"/>
      <c r="U1603" s="252"/>
      <c r="V1603" s="252"/>
      <c r="W1603" s="252"/>
      <c r="X1603" s="252"/>
      <c r="Y1603" s="252"/>
      <c r="Z1603" s="252"/>
    </row>
    <row r="1604" ht="33.75" customHeight="1">
      <c r="A1604" s="11" t="s">
        <v>1587</v>
      </c>
      <c r="B1604" s="22" t="s">
        <v>85</v>
      </c>
      <c r="C1604" s="11" t="s">
        <v>2303</v>
      </c>
      <c r="D1604" s="36"/>
      <c r="E1604" s="311">
        <v>46082.0</v>
      </c>
      <c r="F1604" s="14" t="s">
        <v>287</v>
      </c>
      <c r="G1604" s="178">
        <v>64945.0</v>
      </c>
      <c r="H1604" s="28"/>
      <c r="I1604" s="17">
        <f t="shared" si="48"/>
        <v>64945</v>
      </c>
      <c r="J1604" s="17" t="s">
        <v>1</v>
      </c>
      <c r="K1604" s="252"/>
      <c r="L1604" s="252"/>
      <c r="M1604" s="252"/>
      <c r="N1604" s="252"/>
      <c r="O1604" s="252"/>
      <c r="P1604" s="252"/>
      <c r="Q1604" s="252"/>
      <c r="R1604" s="252"/>
      <c r="S1604" s="252"/>
      <c r="T1604" s="252"/>
      <c r="U1604" s="252"/>
      <c r="V1604" s="252"/>
      <c r="W1604" s="252"/>
      <c r="X1604" s="252"/>
      <c r="Y1604" s="252"/>
      <c r="Z1604" s="252"/>
    </row>
    <row r="1605" ht="33.75" customHeight="1">
      <c r="A1605" s="11" t="s">
        <v>1587</v>
      </c>
      <c r="B1605" s="22" t="s">
        <v>88</v>
      </c>
      <c r="C1605" s="11" t="s">
        <v>2304</v>
      </c>
      <c r="D1605" s="36"/>
      <c r="E1605" s="311">
        <v>46082.0</v>
      </c>
      <c r="F1605" s="14" t="s">
        <v>287</v>
      </c>
      <c r="G1605" s="178">
        <v>64945.0</v>
      </c>
      <c r="H1605" s="28"/>
      <c r="I1605" s="17">
        <f t="shared" si="48"/>
        <v>64945</v>
      </c>
      <c r="J1605" s="17" t="s">
        <v>1</v>
      </c>
      <c r="K1605" s="252"/>
      <c r="L1605" s="252"/>
      <c r="M1605" s="252"/>
      <c r="N1605" s="252"/>
      <c r="O1605" s="252"/>
      <c r="P1605" s="252"/>
      <c r="Q1605" s="252"/>
      <c r="R1605" s="252"/>
      <c r="S1605" s="252"/>
      <c r="T1605" s="252"/>
      <c r="U1605" s="252"/>
      <c r="V1605" s="252"/>
      <c r="W1605" s="252"/>
      <c r="X1605" s="252"/>
      <c r="Y1605" s="252"/>
      <c r="Z1605" s="252"/>
    </row>
    <row r="1606" ht="33.75" customHeight="1">
      <c r="A1606" s="11" t="s">
        <v>216</v>
      </c>
      <c r="B1606" s="22" t="s">
        <v>88</v>
      </c>
      <c r="C1606" s="11" t="s">
        <v>2305</v>
      </c>
      <c r="D1606" s="36">
        <v>8.81523457979127E14</v>
      </c>
      <c r="E1606" s="311">
        <v>46082.0</v>
      </c>
      <c r="F1606" s="14" t="s">
        <v>1141</v>
      </c>
      <c r="G1606" s="178">
        <v>48184.0</v>
      </c>
      <c r="H1606" s="16">
        <v>39596.0</v>
      </c>
      <c r="I1606" s="17">
        <f t="shared" si="48"/>
        <v>8588</v>
      </c>
      <c r="J1606" s="16" t="s">
        <v>1</v>
      </c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  <c r="W1606" s="26"/>
      <c r="X1606" s="26"/>
      <c r="Y1606" s="26"/>
      <c r="Z1606" s="26"/>
    </row>
    <row r="1607" ht="33.75" customHeight="1">
      <c r="A1607" s="11" t="s">
        <v>1587</v>
      </c>
      <c r="B1607" s="22" t="s">
        <v>31</v>
      </c>
      <c r="C1607" s="11" t="s">
        <v>2306</v>
      </c>
      <c r="D1607" s="11"/>
      <c r="E1607" s="311">
        <v>46082.0</v>
      </c>
      <c r="F1607" s="14" t="s">
        <v>287</v>
      </c>
      <c r="G1607" s="178">
        <v>64947.0</v>
      </c>
      <c r="H1607" s="28"/>
      <c r="I1607" s="17">
        <f t="shared" si="48"/>
        <v>64947</v>
      </c>
      <c r="J1607" s="17" t="s">
        <v>1</v>
      </c>
      <c r="K1607" s="252"/>
      <c r="L1607" s="252"/>
      <c r="M1607" s="252"/>
      <c r="N1607" s="252"/>
      <c r="O1607" s="252"/>
      <c r="P1607" s="252"/>
      <c r="Q1607" s="252"/>
      <c r="R1607" s="252"/>
      <c r="S1607" s="252"/>
      <c r="T1607" s="252"/>
      <c r="U1607" s="252"/>
      <c r="V1607" s="252"/>
      <c r="W1607" s="252"/>
      <c r="X1607" s="252"/>
      <c r="Y1607" s="252"/>
      <c r="Z1607" s="252"/>
    </row>
    <row r="1608" ht="33.75" customHeight="1">
      <c r="A1608" s="11" t="s">
        <v>2307</v>
      </c>
      <c r="B1608" s="22" t="s">
        <v>31</v>
      </c>
      <c r="C1608" s="11" t="s">
        <v>2308</v>
      </c>
      <c r="D1608" s="36">
        <v>8.55211560900567E14</v>
      </c>
      <c r="E1608" s="311">
        <v>46082.0</v>
      </c>
      <c r="F1608" s="14" t="s">
        <v>1133</v>
      </c>
      <c r="G1608" s="178">
        <v>1460.0</v>
      </c>
      <c r="H1608" s="16">
        <v>1409.0</v>
      </c>
      <c r="I1608" s="17">
        <f t="shared" si="48"/>
        <v>51</v>
      </c>
      <c r="J1608" s="17" t="s">
        <v>1</v>
      </c>
      <c r="K1608" s="252"/>
      <c r="L1608" s="252"/>
      <c r="M1608" s="252"/>
      <c r="N1608" s="252"/>
      <c r="O1608" s="252"/>
      <c r="P1608" s="252"/>
      <c r="Q1608" s="252"/>
      <c r="R1608" s="252"/>
      <c r="S1608" s="252"/>
      <c r="T1608" s="252"/>
      <c r="U1608" s="252"/>
      <c r="V1608" s="252"/>
      <c r="W1608" s="252"/>
      <c r="X1608" s="252"/>
      <c r="Y1608" s="252"/>
      <c r="Z1608" s="252"/>
    </row>
    <row r="1609" ht="33.75" customHeight="1">
      <c r="A1609" s="11" t="s">
        <v>752</v>
      </c>
      <c r="B1609" s="22" t="s">
        <v>31</v>
      </c>
      <c r="C1609" s="11" t="s">
        <v>2309</v>
      </c>
      <c r="D1609" s="312" t="s">
        <v>4</v>
      </c>
      <c r="E1609" s="64">
        <v>46082.0</v>
      </c>
      <c r="F1609" s="14" t="s">
        <v>1191</v>
      </c>
      <c r="G1609" s="15" t="s">
        <v>2310</v>
      </c>
      <c r="H1609" s="16">
        <v>4908.0</v>
      </c>
      <c r="I1609" s="17">
        <f t="shared" si="48"/>
        <v>426</v>
      </c>
      <c r="J1609" s="17" t="s">
        <v>1</v>
      </c>
      <c r="K1609" s="252"/>
      <c r="L1609" s="252"/>
      <c r="M1609" s="252"/>
      <c r="N1609" s="252"/>
      <c r="O1609" s="252"/>
      <c r="P1609" s="252"/>
      <c r="Q1609" s="252"/>
      <c r="R1609" s="252"/>
      <c r="S1609" s="252"/>
      <c r="T1609" s="252"/>
      <c r="U1609" s="252"/>
      <c r="V1609" s="252"/>
      <c r="W1609" s="252"/>
      <c r="X1609" s="252"/>
      <c r="Y1609" s="252"/>
      <c r="Z1609" s="252"/>
    </row>
    <row r="1610" ht="33.75" customHeight="1">
      <c r="A1610" s="11" t="s">
        <v>135</v>
      </c>
      <c r="B1610" s="12"/>
      <c r="C1610" s="11" t="s">
        <v>2311</v>
      </c>
      <c r="D1610" s="11" t="s">
        <v>2312</v>
      </c>
      <c r="E1610" s="64">
        <v>46082.0</v>
      </c>
      <c r="F1610" s="14" t="s">
        <v>1141</v>
      </c>
      <c r="G1610" s="15" t="s">
        <v>2313</v>
      </c>
      <c r="H1610" s="16">
        <v>25642.0</v>
      </c>
      <c r="I1610" s="17">
        <f t="shared" si="48"/>
        <v>2254</v>
      </c>
      <c r="J1610" s="17" t="s">
        <v>1</v>
      </c>
      <c r="K1610" s="252"/>
      <c r="L1610" s="252"/>
      <c r="M1610" s="252"/>
      <c r="N1610" s="252"/>
      <c r="O1610" s="252"/>
      <c r="P1610" s="252"/>
      <c r="Q1610" s="252"/>
      <c r="R1610" s="252"/>
      <c r="S1610" s="252"/>
      <c r="T1610" s="252"/>
      <c r="U1610" s="252"/>
      <c r="V1610" s="252"/>
      <c r="W1610" s="252"/>
      <c r="X1610" s="252"/>
      <c r="Y1610" s="252"/>
      <c r="Z1610" s="252"/>
    </row>
    <row r="1611" ht="33.75" customHeight="1">
      <c r="A1611" s="11" t="s">
        <v>959</v>
      </c>
      <c r="B1611" s="22" t="s">
        <v>2214</v>
      </c>
      <c r="C1611" s="11" t="s">
        <v>2314</v>
      </c>
      <c r="D1611" s="11" t="s">
        <v>2315</v>
      </c>
      <c r="E1611" s="76">
        <v>46082.0</v>
      </c>
      <c r="F1611" s="14" t="s">
        <v>17</v>
      </c>
      <c r="G1611" s="15" t="s">
        <v>2316</v>
      </c>
      <c r="H1611" s="28"/>
      <c r="I1611" s="17">
        <f t="shared" si="48"/>
        <v>31180</v>
      </c>
      <c r="J1611" s="17" t="s">
        <v>1</v>
      </c>
      <c r="K1611" s="252"/>
      <c r="L1611" s="252"/>
      <c r="M1611" s="252"/>
      <c r="N1611" s="252"/>
      <c r="O1611" s="252"/>
      <c r="P1611" s="252"/>
      <c r="Q1611" s="252"/>
      <c r="R1611" s="252"/>
      <c r="S1611" s="252"/>
      <c r="T1611" s="252"/>
      <c r="U1611" s="252"/>
      <c r="V1611" s="252"/>
      <c r="W1611" s="252"/>
      <c r="X1611" s="252"/>
      <c r="Y1611" s="252"/>
      <c r="Z1611" s="252"/>
    </row>
    <row r="1612" ht="33.75" customHeight="1">
      <c r="A1612" s="11" t="s">
        <v>884</v>
      </c>
      <c r="B1612" s="22" t="s">
        <v>437</v>
      </c>
      <c r="C1612" s="24" t="s">
        <v>2317</v>
      </c>
      <c r="D1612" s="36"/>
      <c r="E1612" s="64">
        <v>46082.0</v>
      </c>
      <c r="F1612" s="14" t="s">
        <v>17</v>
      </c>
      <c r="G1612" s="15" t="s">
        <v>2318</v>
      </c>
      <c r="H1612" s="28"/>
      <c r="I1612" s="17">
        <f t="shared" si="48"/>
        <v>30349</v>
      </c>
      <c r="J1612" s="17" t="s">
        <v>1</v>
      </c>
      <c r="K1612" s="252"/>
      <c r="L1612" s="252"/>
      <c r="M1612" s="252"/>
      <c r="N1612" s="252"/>
      <c r="O1612" s="252"/>
      <c r="P1612" s="252"/>
      <c r="Q1612" s="252"/>
      <c r="R1612" s="252"/>
      <c r="S1612" s="252"/>
      <c r="T1612" s="252"/>
      <c r="U1612" s="252"/>
      <c r="V1612" s="252"/>
      <c r="W1612" s="252"/>
      <c r="X1612" s="252"/>
      <c r="Y1612" s="252"/>
      <c r="Z1612" s="252"/>
    </row>
    <row r="1613" ht="33.75" customHeight="1">
      <c r="A1613" s="11" t="s">
        <v>2150</v>
      </c>
      <c r="B1613" s="20" t="s">
        <v>237</v>
      </c>
      <c r="C1613" s="11" t="s">
        <v>2319</v>
      </c>
      <c r="D1613" s="36"/>
      <c r="E1613" s="64">
        <v>46082.0</v>
      </c>
      <c r="F1613" s="14" t="s">
        <v>1191</v>
      </c>
      <c r="G1613" s="15" t="s">
        <v>2320</v>
      </c>
      <c r="H1613" s="16">
        <v>14494.0</v>
      </c>
      <c r="I1613" s="17">
        <f t="shared" si="48"/>
        <v>1595</v>
      </c>
      <c r="J1613" s="17" t="s">
        <v>1</v>
      </c>
      <c r="K1613" s="252"/>
      <c r="L1613" s="252"/>
      <c r="M1613" s="252"/>
      <c r="N1613" s="252"/>
      <c r="O1613" s="252"/>
      <c r="P1613" s="252"/>
      <c r="Q1613" s="252"/>
      <c r="R1613" s="252"/>
      <c r="S1613" s="252"/>
      <c r="T1613" s="252"/>
      <c r="U1613" s="252"/>
      <c r="V1613" s="252"/>
      <c r="W1613" s="252"/>
      <c r="X1613" s="252"/>
      <c r="Y1613" s="252"/>
      <c r="Z1613" s="252"/>
    </row>
    <row r="1614" ht="33.75" customHeight="1">
      <c r="A1614" s="313"/>
      <c r="B1614" s="314"/>
      <c r="C1614" s="313"/>
      <c r="D1614" s="315"/>
      <c r="E1614" s="316"/>
      <c r="F1614" s="317"/>
      <c r="G1614" s="318"/>
      <c r="H1614" s="319"/>
      <c r="I1614" s="320"/>
      <c r="J1614" s="320"/>
      <c r="K1614" s="321"/>
      <c r="L1614" s="321"/>
      <c r="M1614" s="321"/>
      <c r="N1614" s="321"/>
      <c r="O1614" s="321"/>
      <c r="P1614" s="321"/>
      <c r="Q1614" s="321"/>
      <c r="R1614" s="321"/>
      <c r="S1614" s="321"/>
      <c r="T1614" s="321"/>
      <c r="U1614" s="321"/>
      <c r="V1614" s="321"/>
      <c r="W1614" s="321"/>
      <c r="X1614" s="321"/>
      <c r="Y1614" s="321"/>
      <c r="Z1614" s="321"/>
    </row>
    <row r="1615" ht="33.75" customHeight="1">
      <c r="A1615" s="11" t="s">
        <v>1451</v>
      </c>
      <c r="B1615" s="22" t="s">
        <v>1965</v>
      </c>
      <c r="C1615" s="11" t="s">
        <v>2321</v>
      </c>
      <c r="D1615" s="36"/>
      <c r="E1615" s="64">
        <v>46083.0</v>
      </c>
      <c r="F1615" s="14" t="s">
        <v>1191</v>
      </c>
      <c r="G1615" s="178">
        <v>1915.0</v>
      </c>
      <c r="H1615" s="16">
        <v>1479.0</v>
      </c>
      <c r="I1615" s="17">
        <f t="shared" ref="I1615:I1641" si="49">G1615-H1615</f>
        <v>436</v>
      </c>
      <c r="J1615" s="17" t="s">
        <v>1</v>
      </c>
      <c r="K1615" s="252"/>
      <c r="L1615" s="252"/>
      <c r="M1615" s="252"/>
      <c r="N1615" s="252"/>
      <c r="O1615" s="252"/>
      <c r="P1615" s="252"/>
      <c r="Q1615" s="252"/>
      <c r="R1615" s="252"/>
      <c r="S1615" s="252"/>
      <c r="T1615" s="252"/>
      <c r="U1615" s="252"/>
      <c r="V1615" s="252"/>
      <c r="W1615" s="252"/>
      <c r="X1615" s="252"/>
      <c r="Y1615" s="252"/>
      <c r="Z1615" s="252"/>
    </row>
    <row r="1616" ht="33.75" customHeight="1">
      <c r="A1616" s="11" t="s">
        <v>1314</v>
      </c>
      <c r="B1616" s="22" t="s">
        <v>1011</v>
      </c>
      <c r="C1616" s="11" t="s">
        <v>2322</v>
      </c>
      <c r="D1616" s="11" t="s">
        <v>2323</v>
      </c>
      <c r="E1616" s="64">
        <v>46083.0</v>
      </c>
      <c r="F1616" s="14" t="s">
        <v>1141</v>
      </c>
      <c r="G1616" s="178">
        <v>1368.0</v>
      </c>
      <c r="H1616" s="16">
        <v>1368.0</v>
      </c>
      <c r="I1616" s="17">
        <f t="shared" si="49"/>
        <v>0</v>
      </c>
      <c r="J1616" s="17" t="s">
        <v>1</v>
      </c>
      <c r="K1616" s="252"/>
      <c r="L1616" s="252"/>
      <c r="M1616" s="252"/>
      <c r="N1616" s="252"/>
      <c r="O1616" s="252"/>
      <c r="P1616" s="252"/>
      <c r="Q1616" s="252"/>
      <c r="R1616" s="252"/>
      <c r="S1616" s="252"/>
      <c r="T1616" s="252"/>
      <c r="U1616" s="252"/>
      <c r="V1616" s="252"/>
      <c r="W1616" s="252"/>
      <c r="X1616" s="252"/>
      <c r="Y1616" s="252"/>
      <c r="Z1616" s="252"/>
    </row>
    <row r="1617" ht="33.75" customHeight="1">
      <c r="A1617" s="11" t="s">
        <v>1381</v>
      </c>
      <c r="B1617" s="22" t="s">
        <v>49</v>
      </c>
      <c r="C1617" s="11" t="s">
        <v>2324</v>
      </c>
      <c r="D1617" s="36"/>
      <c r="E1617" s="64">
        <v>46083.0</v>
      </c>
      <c r="F1617" s="14" t="s">
        <v>1191</v>
      </c>
      <c r="G1617" s="178">
        <v>1873.0</v>
      </c>
      <c r="H1617" s="16">
        <v>1535.0</v>
      </c>
      <c r="I1617" s="17">
        <f t="shared" si="49"/>
        <v>338</v>
      </c>
      <c r="J1617" s="17" t="s">
        <v>1</v>
      </c>
      <c r="K1617" s="252"/>
      <c r="L1617" s="252"/>
      <c r="M1617" s="252"/>
      <c r="N1617" s="252"/>
      <c r="O1617" s="252"/>
      <c r="P1617" s="252"/>
      <c r="Q1617" s="252"/>
      <c r="R1617" s="252"/>
      <c r="S1617" s="252"/>
      <c r="T1617" s="252"/>
      <c r="U1617" s="252"/>
      <c r="V1617" s="252"/>
      <c r="W1617" s="252"/>
      <c r="X1617" s="252"/>
      <c r="Y1617" s="252"/>
      <c r="Z1617" s="252"/>
    </row>
    <row r="1618" ht="33.75" customHeight="1">
      <c r="A1618" s="11" t="s">
        <v>77</v>
      </c>
      <c r="B1618" s="22" t="s">
        <v>49</v>
      </c>
      <c r="C1618" s="11" t="s">
        <v>2325</v>
      </c>
      <c r="D1618" s="36" t="s">
        <v>2326</v>
      </c>
      <c r="E1618" s="64">
        <v>46083.0</v>
      </c>
      <c r="F1618" s="14" t="s">
        <v>1141</v>
      </c>
      <c r="G1618" s="178">
        <v>35127.0</v>
      </c>
      <c r="H1618" s="16">
        <v>23045.0</v>
      </c>
      <c r="I1618" s="17">
        <f t="shared" si="49"/>
        <v>12082</v>
      </c>
      <c r="J1618" s="17" t="s">
        <v>1</v>
      </c>
      <c r="K1618" s="252"/>
      <c r="L1618" s="252"/>
      <c r="M1618" s="252"/>
      <c r="N1618" s="252"/>
      <c r="O1618" s="252"/>
      <c r="P1618" s="252"/>
      <c r="Q1618" s="252"/>
      <c r="R1618" s="252"/>
      <c r="S1618" s="252"/>
      <c r="T1618" s="252"/>
      <c r="U1618" s="252"/>
      <c r="V1618" s="252"/>
      <c r="W1618" s="252"/>
      <c r="X1618" s="252"/>
      <c r="Y1618" s="252"/>
      <c r="Z1618" s="252"/>
    </row>
    <row r="1619" ht="33.75" customHeight="1">
      <c r="A1619" s="11" t="s">
        <v>1587</v>
      </c>
      <c r="B1619" s="22" t="s">
        <v>853</v>
      </c>
      <c r="C1619" s="11" t="s">
        <v>2327</v>
      </c>
      <c r="D1619" s="36"/>
      <c r="E1619" s="64">
        <v>46083.0</v>
      </c>
      <c r="F1619" s="14" t="s">
        <v>287</v>
      </c>
      <c r="G1619" s="178">
        <v>38839.0</v>
      </c>
      <c r="H1619" s="28"/>
      <c r="I1619" s="17">
        <f t="shared" si="49"/>
        <v>38839</v>
      </c>
      <c r="J1619" s="17" t="s">
        <v>1</v>
      </c>
      <c r="K1619" s="252"/>
      <c r="L1619" s="252"/>
      <c r="M1619" s="252"/>
      <c r="N1619" s="252"/>
      <c r="O1619" s="252"/>
      <c r="P1619" s="252"/>
      <c r="Q1619" s="252"/>
      <c r="R1619" s="252"/>
      <c r="S1619" s="252"/>
      <c r="T1619" s="252"/>
      <c r="U1619" s="252"/>
      <c r="V1619" s="252"/>
      <c r="W1619" s="252"/>
      <c r="X1619" s="252"/>
      <c r="Y1619" s="252"/>
      <c r="Z1619" s="252"/>
    </row>
    <row r="1620" ht="33.75" customHeight="1">
      <c r="A1620" s="11" t="s">
        <v>28</v>
      </c>
      <c r="B1620" s="22" t="s">
        <v>81</v>
      </c>
      <c r="C1620" s="11" t="s">
        <v>2328</v>
      </c>
      <c r="D1620" s="11">
        <v>9.22358463664855E14</v>
      </c>
      <c r="E1620" s="64">
        <v>46083.0</v>
      </c>
      <c r="F1620" s="14" t="s">
        <v>17</v>
      </c>
      <c r="G1620" s="178">
        <v>11000.0</v>
      </c>
      <c r="H1620" s="28"/>
      <c r="I1620" s="17">
        <f t="shared" si="49"/>
        <v>11000</v>
      </c>
      <c r="J1620" s="17" t="s">
        <v>1</v>
      </c>
      <c r="K1620" s="252"/>
      <c r="L1620" s="252"/>
      <c r="M1620" s="252"/>
      <c r="N1620" s="252"/>
      <c r="O1620" s="252"/>
      <c r="P1620" s="252"/>
      <c r="Q1620" s="252"/>
      <c r="R1620" s="252"/>
      <c r="S1620" s="252"/>
      <c r="T1620" s="252"/>
      <c r="U1620" s="252"/>
      <c r="V1620" s="252"/>
      <c r="W1620" s="252"/>
      <c r="X1620" s="252"/>
      <c r="Y1620" s="252"/>
      <c r="Z1620" s="252"/>
    </row>
    <row r="1621" ht="33.75" customHeight="1">
      <c r="A1621" s="11" t="s">
        <v>2329</v>
      </c>
      <c r="B1621" s="22" t="s">
        <v>85</v>
      </c>
      <c r="C1621" s="11" t="s">
        <v>2330</v>
      </c>
      <c r="D1621" s="11" t="s">
        <v>2331</v>
      </c>
      <c r="E1621" s="64">
        <v>46083.0</v>
      </c>
      <c r="F1621" s="14" t="s">
        <v>1133</v>
      </c>
      <c r="G1621" s="178">
        <v>5000.0</v>
      </c>
      <c r="H1621" s="28">
        <v>3452.0</v>
      </c>
      <c r="I1621" s="17">
        <f t="shared" si="49"/>
        <v>1548</v>
      </c>
      <c r="J1621" s="17" t="s">
        <v>1</v>
      </c>
      <c r="K1621" s="252"/>
      <c r="L1621" s="252"/>
      <c r="M1621" s="252"/>
      <c r="N1621" s="252"/>
      <c r="O1621" s="252"/>
      <c r="P1621" s="252"/>
      <c r="Q1621" s="252"/>
      <c r="R1621" s="252"/>
      <c r="S1621" s="252"/>
      <c r="T1621" s="252"/>
      <c r="U1621" s="252"/>
      <c r="V1621" s="252"/>
      <c r="W1621" s="252"/>
      <c r="X1621" s="252"/>
      <c r="Y1621" s="252"/>
      <c r="Z1621" s="252"/>
    </row>
    <row r="1622" ht="33.75" customHeight="1">
      <c r="A1622" s="11" t="s">
        <v>2332</v>
      </c>
      <c r="B1622" s="22" t="s">
        <v>85</v>
      </c>
      <c r="C1622" s="11" t="s">
        <v>2330</v>
      </c>
      <c r="D1622" s="11" t="s">
        <v>2331</v>
      </c>
      <c r="E1622" s="64">
        <v>46083.0</v>
      </c>
      <c r="F1622" s="14" t="s">
        <v>1133</v>
      </c>
      <c r="G1622" s="178">
        <v>5000.0</v>
      </c>
      <c r="H1622" s="28">
        <v>2456.0</v>
      </c>
      <c r="I1622" s="17">
        <f t="shared" si="49"/>
        <v>2544</v>
      </c>
      <c r="J1622" s="17" t="s">
        <v>1</v>
      </c>
      <c r="K1622" s="252"/>
      <c r="L1622" s="252"/>
      <c r="M1622" s="252"/>
      <c r="N1622" s="252"/>
      <c r="O1622" s="252"/>
      <c r="P1622" s="252"/>
      <c r="Q1622" s="252"/>
      <c r="R1622" s="252"/>
      <c r="S1622" s="252"/>
      <c r="T1622" s="252"/>
      <c r="U1622" s="252"/>
      <c r="V1622" s="252"/>
      <c r="W1622" s="252"/>
      <c r="X1622" s="252"/>
      <c r="Y1622" s="252"/>
      <c r="Z1622" s="252"/>
    </row>
    <row r="1623" ht="33.75" customHeight="1">
      <c r="A1623" s="11" t="s">
        <v>1842</v>
      </c>
      <c r="B1623" s="22" t="s">
        <v>85</v>
      </c>
      <c r="C1623" s="11" t="s">
        <v>2330</v>
      </c>
      <c r="D1623" s="11" t="s">
        <v>2331</v>
      </c>
      <c r="E1623" s="64">
        <v>46083.0</v>
      </c>
      <c r="F1623" s="14" t="s">
        <v>1133</v>
      </c>
      <c r="G1623" s="178">
        <v>5000.0</v>
      </c>
      <c r="H1623" s="28">
        <v>3503.0</v>
      </c>
      <c r="I1623" s="17">
        <f t="shared" si="49"/>
        <v>1497</v>
      </c>
      <c r="J1623" s="17" t="s">
        <v>1</v>
      </c>
      <c r="K1623" s="252"/>
      <c r="L1623" s="252"/>
      <c r="M1623" s="252"/>
      <c r="N1623" s="252"/>
      <c r="O1623" s="252"/>
      <c r="P1623" s="252"/>
      <c r="Q1623" s="252"/>
      <c r="R1623" s="252"/>
      <c r="S1623" s="252"/>
      <c r="T1623" s="252"/>
      <c r="U1623" s="252"/>
      <c r="V1623" s="252"/>
      <c r="W1623" s="252"/>
      <c r="X1623" s="252"/>
      <c r="Y1623" s="252"/>
      <c r="Z1623" s="252"/>
    </row>
    <row r="1624" ht="33.75" customHeight="1">
      <c r="A1624" s="11" t="s">
        <v>1594</v>
      </c>
      <c r="B1624" s="22" t="s">
        <v>85</v>
      </c>
      <c r="C1624" s="11" t="s">
        <v>2330</v>
      </c>
      <c r="D1624" s="11" t="s">
        <v>2331</v>
      </c>
      <c r="E1624" s="64">
        <v>46083.0</v>
      </c>
      <c r="F1624" s="14" t="s">
        <v>1133</v>
      </c>
      <c r="G1624" s="178">
        <v>5000.0</v>
      </c>
      <c r="H1624" s="28">
        <v>3850.0</v>
      </c>
      <c r="I1624" s="17">
        <f t="shared" si="49"/>
        <v>1150</v>
      </c>
      <c r="J1624" s="39" t="s">
        <v>1552</v>
      </c>
      <c r="K1624" s="26"/>
      <c r="L1624" s="26"/>
      <c r="M1624" s="26"/>
      <c r="N1624" s="26"/>
      <c r="O1624" s="26"/>
      <c r="P1624" s="26"/>
      <c r="Q1624" s="26"/>
      <c r="R1624" s="26"/>
      <c r="S1624" s="26"/>
      <c r="T1624" s="26"/>
      <c r="U1624" s="26"/>
      <c r="V1624" s="26"/>
      <c r="W1624" s="26"/>
      <c r="X1624" s="26"/>
      <c r="Y1624" s="26"/>
      <c r="Z1624" s="26"/>
    </row>
    <row r="1625" ht="33.75" customHeight="1">
      <c r="A1625" s="11" t="s">
        <v>2333</v>
      </c>
      <c r="B1625" s="22" t="s">
        <v>85</v>
      </c>
      <c r="C1625" s="11" t="s">
        <v>2330</v>
      </c>
      <c r="D1625" s="11" t="s">
        <v>2331</v>
      </c>
      <c r="E1625" s="64">
        <v>46083.0</v>
      </c>
      <c r="F1625" s="14" t="s">
        <v>1133</v>
      </c>
      <c r="G1625" s="178">
        <v>5000.0</v>
      </c>
      <c r="H1625" s="28">
        <v>3803.0</v>
      </c>
      <c r="I1625" s="17">
        <f t="shared" si="49"/>
        <v>1197</v>
      </c>
      <c r="J1625" s="17" t="s">
        <v>1</v>
      </c>
      <c r="K1625" s="252"/>
      <c r="L1625" s="252"/>
      <c r="M1625" s="252"/>
      <c r="N1625" s="252"/>
      <c r="O1625" s="252"/>
      <c r="P1625" s="252"/>
      <c r="Q1625" s="252"/>
      <c r="R1625" s="252"/>
      <c r="S1625" s="252"/>
      <c r="T1625" s="252"/>
      <c r="U1625" s="252"/>
      <c r="V1625" s="252"/>
      <c r="W1625" s="252"/>
      <c r="X1625" s="252"/>
      <c r="Y1625" s="252"/>
      <c r="Z1625" s="252"/>
    </row>
    <row r="1626" ht="33.75" customHeight="1">
      <c r="A1626" s="11" t="s">
        <v>1741</v>
      </c>
      <c r="B1626" s="22" t="s">
        <v>85</v>
      </c>
      <c r="C1626" s="11" t="s">
        <v>2330</v>
      </c>
      <c r="D1626" s="11" t="s">
        <v>2331</v>
      </c>
      <c r="E1626" s="64">
        <v>46083.0</v>
      </c>
      <c r="F1626" s="14" t="s">
        <v>1133</v>
      </c>
      <c r="G1626" s="178">
        <v>10000.0</v>
      </c>
      <c r="H1626" s="28">
        <v>6815.0</v>
      </c>
      <c r="I1626" s="17">
        <f t="shared" si="49"/>
        <v>3185</v>
      </c>
      <c r="J1626" s="17" t="s">
        <v>1</v>
      </c>
      <c r="K1626" s="252"/>
      <c r="L1626" s="252"/>
      <c r="M1626" s="252"/>
      <c r="N1626" s="252"/>
      <c r="O1626" s="252"/>
      <c r="P1626" s="252"/>
      <c r="Q1626" s="252"/>
      <c r="R1626" s="252"/>
      <c r="S1626" s="252"/>
      <c r="T1626" s="252"/>
      <c r="U1626" s="252"/>
      <c r="V1626" s="252"/>
      <c r="W1626" s="252"/>
      <c r="X1626" s="252"/>
      <c r="Y1626" s="252"/>
      <c r="Z1626" s="252"/>
    </row>
    <row r="1627" ht="33.75" customHeight="1">
      <c r="A1627" s="11" t="s">
        <v>2334</v>
      </c>
      <c r="B1627" s="22" t="s">
        <v>85</v>
      </c>
      <c r="C1627" s="11" t="s">
        <v>2330</v>
      </c>
      <c r="D1627" s="11" t="s">
        <v>2331</v>
      </c>
      <c r="E1627" s="64">
        <v>46083.0</v>
      </c>
      <c r="F1627" s="14" t="s">
        <v>1133</v>
      </c>
      <c r="G1627" s="178">
        <v>8000.0</v>
      </c>
      <c r="H1627" s="28">
        <v>3656.0</v>
      </c>
      <c r="I1627" s="17">
        <f t="shared" si="49"/>
        <v>4344</v>
      </c>
      <c r="J1627" s="17" t="s">
        <v>1</v>
      </c>
      <c r="K1627" s="252"/>
      <c r="L1627" s="252"/>
      <c r="M1627" s="252"/>
      <c r="N1627" s="252"/>
      <c r="O1627" s="252"/>
      <c r="P1627" s="252"/>
      <c r="Q1627" s="252"/>
      <c r="R1627" s="252"/>
      <c r="S1627" s="252"/>
      <c r="T1627" s="252"/>
      <c r="U1627" s="252"/>
      <c r="V1627" s="252"/>
      <c r="W1627" s="252"/>
      <c r="X1627" s="252"/>
      <c r="Y1627" s="252"/>
      <c r="Z1627" s="252"/>
    </row>
    <row r="1628" ht="33.75" customHeight="1">
      <c r="A1628" s="11" t="s">
        <v>2335</v>
      </c>
      <c r="B1628" s="22" t="s">
        <v>85</v>
      </c>
      <c r="C1628" s="11" t="s">
        <v>2330</v>
      </c>
      <c r="D1628" s="11" t="s">
        <v>2331</v>
      </c>
      <c r="E1628" s="64">
        <v>46083.0</v>
      </c>
      <c r="F1628" s="14" t="s">
        <v>1133</v>
      </c>
      <c r="G1628" s="178">
        <v>10000.0</v>
      </c>
      <c r="H1628" s="28">
        <v>6628.0</v>
      </c>
      <c r="I1628" s="17">
        <f t="shared" si="49"/>
        <v>3372</v>
      </c>
      <c r="J1628" s="17" t="s">
        <v>1</v>
      </c>
      <c r="K1628" s="252"/>
      <c r="L1628" s="252"/>
      <c r="M1628" s="252"/>
      <c r="N1628" s="252"/>
      <c r="O1628" s="252"/>
      <c r="P1628" s="252"/>
      <c r="Q1628" s="252"/>
      <c r="R1628" s="252"/>
      <c r="S1628" s="252"/>
      <c r="T1628" s="252"/>
      <c r="U1628" s="252"/>
      <c r="V1628" s="252"/>
      <c r="W1628" s="252"/>
      <c r="X1628" s="252"/>
      <c r="Y1628" s="252"/>
      <c r="Z1628" s="252"/>
    </row>
    <row r="1629" ht="33.75" customHeight="1">
      <c r="A1629" s="11" t="s">
        <v>370</v>
      </c>
      <c r="B1629" s="22" t="s">
        <v>85</v>
      </c>
      <c r="C1629" s="11" t="s">
        <v>2330</v>
      </c>
      <c r="D1629" s="11" t="s">
        <v>2331</v>
      </c>
      <c r="E1629" s="64">
        <v>46083.0</v>
      </c>
      <c r="F1629" s="14" t="s">
        <v>1133</v>
      </c>
      <c r="G1629" s="178">
        <v>8000.0</v>
      </c>
      <c r="H1629" s="28">
        <v>4118.0</v>
      </c>
      <c r="I1629" s="17">
        <f t="shared" si="49"/>
        <v>3882</v>
      </c>
      <c r="J1629" s="17" t="s">
        <v>1</v>
      </c>
      <c r="K1629" s="252"/>
      <c r="L1629" s="252"/>
      <c r="M1629" s="252"/>
      <c r="N1629" s="252"/>
      <c r="O1629" s="252"/>
      <c r="P1629" s="252"/>
      <c r="Q1629" s="252"/>
      <c r="R1629" s="252"/>
      <c r="S1629" s="252"/>
      <c r="T1629" s="252"/>
      <c r="U1629" s="252"/>
      <c r="V1629" s="252"/>
      <c r="W1629" s="252"/>
      <c r="X1629" s="252"/>
      <c r="Y1629" s="252"/>
      <c r="Z1629" s="252"/>
    </row>
    <row r="1630" ht="33.75" customHeight="1">
      <c r="A1630" s="11" t="s">
        <v>489</v>
      </c>
      <c r="B1630" s="22" t="s">
        <v>85</v>
      </c>
      <c r="C1630" s="11" t="s">
        <v>2216</v>
      </c>
      <c r="D1630" s="11">
        <v>7.61089570407931E14</v>
      </c>
      <c r="E1630" s="64">
        <v>46083.0</v>
      </c>
      <c r="F1630" s="14" t="s">
        <v>17</v>
      </c>
      <c r="G1630" s="15" t="s">
        <v>2336</v>
      </c>
      <c r="H1630" s="28"/>
      <c r="I1630" s="17">
        <f t="shared" si="49"/>
        <v>742</v>
      </c>
      <c r="J1630" s="17" t="s">
        <v>1</v>
      </c>
      <c r="K1630" s="252"/>
      <c r="L1630" s="252"/>
      <c r="M1630" s="252"/>
      <c r="N1630" s="252"/>
      <c r="O1630" s="252"/>
      <c r="P1630" s="252"/>
      <c r="Q1630" s="252"/>
      <c r="R1630" s="252"/>
      <c r="S1630" s="252"/>
      <c r="T1630" s="252"/>
      <c r="U1630" s="252"/>
      <c r="V1630" s="252"/>
      <c r="W1630" s="252"/>
      <c r="X1630" s="252"/>
      <c r="Y1630" s="252"/>
      <c r="Z1630" s="252"/>
    </row>
    <row r="1631" ht="33.75" customHeight="1">
      <c r="A1631" s="11" t="s">
        <v>1676</v>
      </c>
      <c r="B1631" s="22" t="s">
        <v>85</v>
      </c>
      <c r="C1631" s="11" t="s">
        <v>2337</v>
      </c>
      <c r="D1631" s="36"/>
      <c r="E1631" s="64">
        <v>46083.0</v>
      </c>
      <c r="F1631" s="14" t="s">
        <v>1141</v>
      </c>
      <c r="G1631" s="178">
        <v>2514.0</v>
      </c>
      <c r="H1631" s="16">
        <v>2030.0</v>
      </c>
      <c r="I1631" s="17">
        <f t="shared" si="49"/>
        <v>484</v>
      </c>
      <c r="J1631" s="39" t="s">
        <v>1</v>
      </c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  <c r="W1631" s="26"/>
      <c r="X1631" s="26"/>
      <c r="Y1631" s="26"/>
      <c r="Z1631" s="26"/>
    </row>
    <row r="1632" ht="33.75" customHeight="1">
      <c r="A1632" s="11" t="s">
        <v>1587</v>
      </c>
      <c r="B1632" s="22" t="s">
        <v>44</v>
      </c>
      <c r="C1632" s="11" t="s">
        <v>2338</v>
      </c>
      <c r="D1632" s="36"/>
      <c r="E1632" s="64">
        <v>46083.0</v>
      </c>
      <c r="F1632" s="14" t="s">
        <v>287</v>
      </c>
      <c r="G1632" s="15" t="s">
        <v>2339</v>
      </c>
      <c r="H1632" s="28"/>
      <c r="I1632" s="17">
        <f t="shared" si="49"/>
        <v>38839</v>
      </c>
      <c r="J1632" s="39" t="s">
        <v>1</v>
      </c>
      <c r="K1632" s="26"/>
      <c r="L1632" s="26"/>
      <c r="M1632" s="26"/>
      <c r="N1632" s="26"/>
      <c r="O1632" s="26"/>
      <c r="P1632" s="26"/>
      <c r="Q1632" s="26"/>
      <c r="R1632" s="26"/>
      <c r="S1632" s="26"/>
      <c r="T1632" s="26"/>
      <c r="U1632" s="26"/>
      <c r="V1632" s="26"/>
      <c r="W1632" s="26"/>
      <c r="X1632" s="26"/>
      <c r="Y1632" s="26"/>
      <c r="Z1632" s="26"/>
    </row>
    <row r="1633" ht="33.75" customHeight="1">
      <c r="A1633" s="11" t="s">
        <v>2038</v>
      </c>
      <c r="B1633" s="22" t="s">
        <v>88</v>
      </c>
      <c r="C1633" s="11" t="s">
        <v>2340</v>
      </c>
      <c r="D1633" s="36"/>
      <c r="E1633" s="64">
        <v>46083.0</v>
      </c>
      <c r="F1633" s="14" t="s">
        <v>1141</v>
      </c>
      <c r="G1633" s="15" t="s">
        <v>2341</v>
      </c>
      <c r="H1633" s="16">
        <v>18505.0</v>
      </c>
      <c r="I1633" s="17">
        <f t="shared" si="49"/>
        <v>5698</v>
      </c>
      <c r="J1633" s="17" t="s">
        <v>1</v>
      </c>
      <c r="K1633" s="252"/>
      <c r="L1633" s="252"/>
      <c r="M1633" s="252"/>
      <c r="N1633" s="252"/>
      <c r="O1633" s="252"/>
      <c r="P1633" s="252"/>
      <c r="Q1633" s="252"/>
      <c r="R1633" s="252"/>
      <c r="S1633" s="252"/>
      <c r="T1633" s="252"/>
      <c r="U1633" s="252"/>
      <c r="V1633" s="252"/>
      <c r="W1633" s="252"/>
      <c r="X1633" s="252"/>
      <c r="Y1633" s="252"/>
      <c r="Z1633" s="252"/>
    </row>
    <row r="1634" ht="33.75" customHeight="1">
      <c r="A1634" s="11" t="s">
        <v>1587</v>
      </c>
      <c r="B1634" s="22" t="s">
        <v>260</v>
      </c>
      <c r="C1634" s="11" t="s">
        <v>2342</v>
      </c>
      <c r="D1634" s="36"/>
      <c r="E1634" s="64">
        <v>46083.0</v>
      </c>
      <c r="F1634" s="14" t="s">
        <v>287</v>
      </c>
      <c r="G1634" s="15" t="s">
        <v>2339</v>
      </c>
      <c r="H1634" s="28"/>
      <c r="I1634" s="17">
        <f t="shared" si="49"/>
        <v>38839</v>
      </c>
      <c r="J1634" s="39" t="s">
        <v>1</v>
      </c>
      <c r="K1634" s="26"/>
      <c r="L1634" s="26"/>
      <c r="M1634" s="26"/>
      <c r="N1634" s="26"/>
      <c r="O1634" s="26"/>
      <c r="P1634" s="26"/>
      <c r="Q1634" s="26"/>
      <c r="R1634" s="26"/>
      <c r="S1634" s="26"/>
      <c r="T1634" s="26"/>
      <c r="U1634" s="26"/>
      <c r="V1634" s="26"/>
      <c r="W1634" s="26"/>
      <c r="X1634" s="26"/>
      <c r="Y1634" s="26"/>
      <c r="Z1634" s="26"/>
    </row>
    <row r="1635" ht="33.75" customHeight="1">
      <c r="A1635" s="11" t="s">
        <v>1587</v>
      </c>
      <c r="B1635" s="22" t="s">
        <v>37</v>
      </c>
      <c r="C1635" s="11" t="s">
        <v>2343</v>
      </c>
      <c r="D1635" s="36"/>
      <c r="E1635" s="64">
        <v>46083.0</v>
      </c>
      <c r="F1635" s="14" t="s">
        <v>287</v>
      </c>
      <c r="G1635" s="15" t="s">
        <v>2339</v>
      </c>
      <c r="H1635" s="28"/>
      <c r="I1635" s="17">
        <f t="shared" si="49"/>
        <v>38839</v>
      </c>
      <c r="J1635" s="39" t="s">
        <v>1</v>
      </c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  <c r="W1635" s="26"/>
      <c r="X1635" s="26"/>
      <c r="Y1635" s="26"/>
      <c r="Z1635" s="26"/>
    </row>
    <row r="1636" ht="33.75" customHeight="1">
      <c r="A1636" s="11" t="s">
        <v>28</v>
      </c>
      <c r="B1636" s="22" t="s">
        <v>37</v>
      </c>
      <c r="C1636" s="11" t="s">
        <v>2328</v>
      </c>
      <c r="D1636" s="36"/>
      <c r="E1636" s="64">
        <v>46083.0</v>
      </c>
      <c r="F1636" s="14" t="s">
        <v>17</v>
      </c>
      <c r="G1636" s="15" t="s">
        <v>336</v>
      </c>
      <c r="H1636" s="28"/>
      <c r="I1636" s="17">
        <f t="shared" si="49"/>
        <v>11000</v>
      </c>
      <c r="J1636" s="17" t="s">
        <v>1</v>
      </c>
      <c r="K1636" s="252"/>
      <c r="L1636" s="252"/>
      <c r="M1636" s="252"/>
      <c r="N1636" s="252"/>
      <c r="O1636" s="252"/>
      <c r="P1636" s="252"/>
      <c r="Q1636" s="252"/>
      <c r="R1636" s="252"/>
      <c r="S1636" s="252"/>
      <c r="T1636" s="252"/>
      <c r="U1636" s="252"/>
      <c r="V1636" s="252"/>
      <c r="W1636" s="252"/>
      <c r="X1636" s="252"/>
      <c r="Y1636" s="252"/>
      <c r="Z1636" s="252"/>
    </row>
    <row r="1637" ht="33.75" customHeight="1">
      <c r="A1637" s="11" t="s">
        <v>1587</v>
      </c>
      <c r="B1637" s="22" t="s">
        <v>181</v>
      </c>
      <c r="C1637" s="11" t="s">
        <v>2344</v>
      </c>
      <c r="D1637" s="36"/>
      <c r="E1637" s="64">
        <v>46083.0</v>
      </c>
      <c r="F1637" s="14" t="s">
        <v>287</v>
      </c>
      <c r="G1637" s="15" t="s">
        <v>2345</v>
      </c>
      <c r="H1637" s="28"/>
      <c r="I1637" s="17">
        <f t="shared" si="49"/>
        <v>38843</v>
      </c>
      <c r="J1637" s="39" t="s">
        <v>1</v>
      </c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  <c r="W1637" s="26"/>
      <c r="X1637" s="26"/>
      <c r="Y1637" s="26"/>
      <c r="Z1637" s="26"/>
    </row>
    <row r="1638" ht="33.75" customHeight="1">
      <c r="A1638" s="11" t="s">
        <v>1516</v>
      </c>
      <c r="B1638" s="22" t="s">
        <v>91</v>
      </c>
      <c r="C1638" s="11" t="s">
        <v>2346</v>
      </c>
      <c r="D1638" s="11">
        <v>9.3746367883123E14</v>
      </c>
      <c r="E1638" s="64">
        <v>46083.0</v>
      </c>
      <c r="F1638" s="14" t="s">
        <v>1141</v>
      </c>
      <c r="G1638" s="15" t="s">
        <v>2347</v>
      </c>
      <c r="H1638" s="16">
        <v>2749.0</v>
      </c>
      <c r="I1638" s="17">
        <f t="shared" si="49"/>
        <v>249</v>
      </c>
      <c r="J1638" s="17" t="s">
        <v>1</v>
      </c>
      <c r="K1638" s="252"/>
      <c r="L1638" s="252"/>
      <c r="M1638" s="252"/>
      <c r="N1638" s="252"/>
      <c r="O1638" s="252"/>
      <c r="P1638" s="252"/>
      <c r="Q1638" s="252"/>
      <c r="R1638" s="252"/>
      <c r="S1638" s="252"/>
      <c r="T1638" s="252"/>
      <c r="U1638" s="252"/>
      <c r="V1638" s="252"/>
      <c r="W1638" s="252"/>
      <c r="X1638" s="252"/>
      <c r="Y1638" s="252"/>
      <c r="Z1638" s="252"/>
    </row>
    <row r="1639" ht="33.75" customHeight="1">
      <c r="A1639" s="11" t="s">
        <v>2172</v>
      </c>
      <c r="B1639" s="22" t="s">
        <v>34</v>
      </c>
      <c r="C1639" s="11" t="s">
        <v>2348</v>
      </c>
      <c r="D1639" s="11" t="s">
        <v>2349</v>
      </c>
      <c r="E1639" s="64">
        <v>46083.0</v>
      </c>
      <c r="F1639" s="14" t="s">
        <v>17</v>
      </c>
      <c r="G1639" s="15" t="s">
        <v>2350</v>
      </c>
      <c r="H1639" s="28"/>
      <c r="I1639" s="17">
        <f t="shared" si="49"/>
        <v>74081</v>
      </c>
      <c r="J1639" s="17" t="s">
        <v>1</v>
      </c>
      <c r="K1639" s="252"/>
      <c r="L1639" s="252"/>
      <c r="M1639" s="252"/>
      <c r="N1639" s="252"/>
      <c r="O1639" s="252"/>
      <c r="P1639" s="252"/>
      <c r="Q1639" s="252"/>
      <c r="R1639" s="252"/>
      <c r="S1639" s="252"/>
      <c r="T1639" s="252"/>
      <c r="U1639" s="252"/>
      <c r="V1639" s="252"/>
      <c r="W1639" s="252"/>
      <c r="X1639" s="252"/>
      <c r="Y1639" s="252"/>
      <c r="Z1639" s="252"/>
    </row>
    <row r="1640" ht="33.75" customHeight="1">
      <c r="A1640" s="11" t="s">
        <v>1587</v>
      </c>
      <c r="B1640" s="22" t="s">
        <v>15</v>
      </c>
      <c r="C1640" s="11" t="s">
        <v>2351</v>
      </c>
      <c r="D1640" s="36"/>
      <c r="E1640" s="64">
        <v>46083.0</v>
      </c>
      <c r="F1640" s="14" t="s">
        <v>287</v>
      </c>
      <c r="G1640" s="15" t="s">
        <v>2352</v>
      </c>
      <c r="H1640" s="28"/>
      <c r="I1640" s="17">
        <f t="shared" si="49"/>
        <v>37951</v>
      </c>
      <c r="J1640" s="39" t="s">
        <v>1</v>
      </c>
      <c r="K1640" s="26"/>
      <c r="L1640" s="26"/>
      <c r="M1640" s="26"/>
      <c r="N1640" s="26"/>
      <c r="O1640" s="26"/>
      <c r="P1640" s="26"/>
      <c r="Q1640" s="26"/>
      <c r="R1640" s="26"/>
      <c r="S1640" s="26"/>
      <c r="T1640" s="26"/>
      <c r="U1640" s="26"/>
      <c r="V1640" s="26"/>
      <c r="W1640" s="26"/>
      <c r="X1640" s="26"/>
      <c r="Y1640" s="26"/>
      <c r="Z1640" s="26"/>
    </row>
    <row r="1641" ht="33.75" customHeight="1">
      <c r="A1641" s="11" t="s">
        <v>135</v>
      </c>
      <c r="B1641" s="22"/>
      <c r="C1641" s="11" t="s">
        <v>2311</v>
      </c>
      <c r="D1641" s="11" t="s">
        <v>2312</v>
      </c>
      <c r="E1641" s="64">
        <v>46083.0</v>
      </c>
      <c r="F1641" s="14" t="s">
        <v>1141</v>
      </c>
      <c r="G1641" s="15" t="s">
        <v>2353</v>
      </c>
      <c r="H1641" s="16">
        <v>20779.0</v>
      </c>
      <c r="I1641" s="17">
        <f t="shared" si="49"/>
        <v>1313</v>
      </c>
      <c r="J1641" s="17" t="s">
        <v>1</v>
      </c>
      <c r="K1641" s="252"/>
      <c r="L1641" s="252"/>
      <c r="M1641" s="252"/>
      <c r="N1641" s="252"/>
      <c r="O1641" s="252"/>
      <c r="P1641" s="252"/>
      <c r="Q1641" s="252"/>
      <c r="R1641" s="252"/>
      <c r="S1641" s="252"/>
      <c r="T1641" s="252"/>
      <c r="U1641" s="252"/>
      <c r="V1641" s="252"/>
      <c r="W1641" s="252"/>
      <c r="X1641" s="252"/>
      <c r="Y1641" s="252"/>
      <c r="Z1641" s="252"/>
    </row>
    <row r="1642" ht="33.75" customHeight="1">
      <c r="A1642" s="44"/>
      <c r="B1642" s="45"/>
      <c r="C1642" s="44"/>
      <c r="D1642" s="322"/>
      <c r="E1642" s="323"/>
      <c r="F1642" s="46"/>
      <c r="G1642" s="324"/>
      <c r="H1642" s="309"/>
      <c r="I1642" s="48"/>
      <c r="J1642" s="325"/>
      <c r="K1642" s="326"/>
      <c r="L1642" s="326"/>
      <c r="M1642" s="326"/>
      <c r="N1642" s="326"/>
      <c r="O1642" s="326"/>
      <c r="P1642" s="326"/>
      <c r="Q1642" s="326"/>
      <c r="R1642" s="326"/>
      <c r="S1642" s="326"/>
      <c r="T1642" s="326"/>
      <c r="U1642" s="326"/>
      <c r="V1642" s="326"/>
      <c r="W1642" s="326"/>
      <c r="X1642" s="326"/>
      <c r="Y1642" s="326"/>
      <c r="Z1642" s="326"/>
    </row>
    <row r="1643" ht="33.75" customHeight="1">
      <c r="A1643" s="11" t="s">
        <v>2354</v>
      </c>
      <c r="B1643" s="22" t="s">
        <v>1011</v>
      </c>
      <c r="C1643" s="11" t="s">
        <v>2355</v>
      </c>
      <c r="D1643" s="11"/>
      <c r="E1643" s="64">
        <v>46084.0</v>
      </c>
      <c r="F1643" s="14" t="s">
        <v>1191</v>
      </c>
      <c r="G1643" s="15" t="s">
        <v>2356</v>
      </c>
      <c r="H1643" s="16">
        <v>1099.0</v>
      </c>
      <c r="I1643" s="17">
        <f t="shared" ref="I1643:I1675" si="50">G1643-H1643</f>
        <v>110</v>
      </c>
      <c r="J1643" s="17" t="s">
        <v>1</v>
      </c>
      <c r="K1643" s="252"/>
      <c r="L1643" s="252"/>
      <c r="M1643" s="252"/>
      <c r="N1643" s="252"/>
      <c r="O1643" s="252"/>
      <c r="P1643" s="252"/>
      <c r="Q1643" s="252"/>
      <c r="R1643" s="252"/>
      <c r="S1643" s="252"/>
      <c r="T1643" s="252"/>
      <c r="U1643" s="252"/>
      <c r="V1643" s="252"/>
      <c r="W1643" s="252"/>
      <c r="X1643" s="252"/>
      <c r="Y1643" s="252"/>
      <c r="Z1643" s="252"/>
    </row>
    <row r="1644" ht="33.75" customHeight="1">
      <c r="A1644" s="11" t="s">
        <v>1587</v>
      </c>
      <c r="B1644" s="22" t="s">
        <v>49</v>
      </c>
      <c r="C1644" s="11" t="s">
        <v>2357</v>
      </c>
      <c r="D1644" s="11" t="s">
        <v>2358</v>
      </c>
      <c r="E1644" s="64">
        <v>46084.0</v>
      </c>
      <c r="F1644" s="14" t="s">
        <v>287</v>
      </c>
      <c r="G1644" s="15" t="s">
        <v>2359</v>
      </c>
      <c r="H1644" s="28"/>
      <c r="I1644" s="17">
        <f t="shared" si="50"/>
        <v>50001</v>
      </c>
      <c r="J1644" s="220" t="s">
        <v>1</v>
      </c>
      <c r="K1644" s="221"/>
      <c r="L1644" s="221"/>
      <c r="M1644" s="221"/>
      <c r="N1644" s="221"/>
      <c r="O1644" s="221"/>
      <c r="P1644" s="221"/>
      <c r="Q1644" s="221"/>
      <c r="R1644" s="221"/>
      <c r="S1644" s="221"/>
      <c r="T1644" s="221"/>
      <c r="U1644" s="221"/>
      <c r="V1644" s="221"/>
      <c r="W1644" s="221"/>
      <c r="X1644" s="221"/>
      <c r="Y1644" s="221"/>
      <c r="Z1644" s="221"/>
    </row>
    <row r="1645" ht="33.75" customHeight="1">
      <c r="A1645" s="11" t="s">
        <v>28</v>
      </c>
      <c r="B1645" s="22" t="s">
        <v>81</v>
      </c>
      <c r="C1645" s="11" t="s">
        <v>2360</v>
      </c>
      <c r="D1645" s="74">
        <v>2.15458882195641E15</v>
      </c>
      <c r="E1645" s="64">
        <v>46084.0</v>
      </c>
      <c r="F1645" s="14" t="s">
        <v>17</v>
      </c>
      <c r="G1645" s="178">
        <v>11000.0</v>
      </c>
      <c r="H1645" s="28"/>
      <c r="I1645" s="17">
        <f t="shared" si="50"/>
        <v>11000</v>
      </c>
      <c r="J1645" s="17" t="s">
        <v>1</v>
      </c>
      <c r="K1645" s="252"/>
      <c r="L1645" s="252"/>
      <c r="M1645" s="252"/>
      <c r="N1645" s="252"/>
      <c r="O1645" s="252"/>
      <c r="P1645" s="252"/>
      <c r="Q1645" s="252"/>
      <c r="R1645" s="252"/>
      <c r="S1645" s="252"/>
      <c r="T1645" s="252"/>
      <c r="U1645" s="252"/>
      <c r="V1645" s="252"/>
      <c r="W1645" s="252"/>
      <c r="X1645" s="252"/>
      <c r="Y1645" s="252"/>
      <c r="Z1645" s="252"/>
    </row>
    <row r="1646" ht="33.75" customHeight="1">
      <c r="A1646" s="11" t="s">
        <v>1864</v>
      </c>
      <c r="B1646" s="22" t="s">
        <v>81</v>
      </c>
      <c r="C1646" s="11" t="s">
        <v>2361</v>
      </c>
      <c r="D1646" s="11" t="s">
        <v>2362</v>
      </c>
      <c r="E1646" s="64">
        <v>46084.0</v>
      </c>
      <c r="F1646" s="14" t="s">
        <v>1133</v>
      </c>
      <c r="G1646" s="178">
        <v>10000.0</v>
      </c>
      <c r="H1646" s="28">
        <f>3243+4317</f>
        <v>7560</v>
      </c>
      <c r="I1646" s="17">
        <f t="shared" si="50"/>
        <v>2440</v>
      </c>
      <c r="J1646" s="17" t="s">
        <v>1</v>
      </c>
      <c r="K1646" s="252"/>
      <c r="L1646" s="252"/>
      <c r="M1646" s="252"/>
      <c r="N1646" s="252"/>
      <c r="O1646" s="252"/>
      <c r="P1646" s="252"/>
      <c r="Q1646" s="252"/>
      <c r="R1646" s="252"/>
      <c r="S1646" s="252"/>
      <c r="T1646" s="252"/>
      <c r="U1646" s="252"/>
      <c r="V1646" s="252"/>
      <c r="W1646" s="252"/>
      <c r="X1646" s="252"/>
      <c r="Y1646" s="252"/>
      <c r="Z1646" s="252"/>
    </row>
    <row r="1647" ht="33.75" customHeight="1">
      <c r="A1647" s="11" t="s">
        <v>516</v>
      </c>
      <c r="B1647" s="22" t="s">
        <v>81</v>
      </c>
      <c r="C1647" s="11" t="s">
        <v>2361</v>
      </c>
      <c r="D1647" s="11" t="s">
        <v>2362</v>
      </c>
      <c r="E1647" s="64">
        <v>46084.0</v>
      </c>
      <c r="F1647" s="14" t="s">
        <v>1133</v>
      </c>
      <c r="G1647" s="178">
        <v>8000.0</v>
      </c>
      <c r="H1647" s="28">
        <f>3731+3459</f>
        <v>7190</v>
      </c>
      <c r="I1647" s="17">
        <f t="shared" si="50"/>
        <v>810</v>
      </c>
      <c r="J1647" s="17" t="s">
        <v>1</v>
      </c>
      <c r="K1647" s="252"/>
      <c r="L1647" s="252"/>
      <c r="M1647" s="252"/>
      <c r="N1647" s="252"/>
      <c r="O1647" s="252"/>
      <c r="P1647" s="252"/>
      <c r="Q1647" s="252"/>
      <c r="R1647" s="252"/>
      <c r="S1647" s="252"/>
      <c r="T1647" s="252"/>
      <c r="U1647" s="252"/>
      <c r="V1647" s="252"/>
      <c r="W1647" s="252"/>
      <c r="X1647" s="252"/>
      <c r="Y1647" s="252"/>
      <c r="Z1647" s="252"/>
    </row>
    <row r="1648" ht="33.75" customHeight="1">
      <c r="A1648" s="11" t="s">
        <v>2223</v>
      </c>
      <c r="B1648" s="22" t="s">
        <v>81</v>
      </c>
      <c r="C1648" s="11" t="s">
        <v>2361</v>
      </c>
      <c r="D1648" s="11" t="s">
        <v>2362</v>
      </c>
      <c r="E1648" s="64">
        <v>46084.0</v>
      </c>
      <c r="F1648" s="14" t="s">
        <v>1133</v>
      </c>
      <c r="G1648" s="233">
        <v>5000.0</v>
      </c>
      <c r="H1648" s="16">
        <v>3761.0</v>
      </c>
      <c r="I1648" s="17">
        <f t="shared" si="50"/>
        <v>1239</v>
      </c>
      <c r="J1648" s="17" t="s">
        <v>1</v>
      </c>
      <c r="K1648" s="252"/>
      <c r="L1648" s="252"/>
      <c r="M1648" s="252"/>
      <c r="N1648" s="252"/>
      <c r="O1648" s="252"/>
      <c r="P1648" s="252"/>
      <c r="Q1648" s="252"/>
      <c r="R1648" s="252"/>
      <c r="S1648" s="252"/>
      <c r="T1648" s="252"/>
      <c r="U1648" s="252"/>
      <c r="V1648" s="252"/>
      <c r="W1648" s="252"/>
      <c r="X1648" s="252"/>
      <c r="Y1648" s="252"/>
      <c r="Z1648" s="252"/>
    </row>
    <row r="1649" ht="33.75" customHeight="1">
      <c r="A1649" s="11" t="s">
        <v>2225</v>
      </c>
      <c r="B1649" s="22" t="s">
        <v>81</v>
      </c>
      <c r="C1649" s="11" t="s">
        <v>2361</v>
      </c>
      <c r="D1649" s="11" t="s">
        <v>2362</v>
      </c>
      <c r="E1649" s="64">
        <v>46084.0</v>
      </c>
      <c r="F1649" s="14" t="s">
        <v>1133</v>
      </c>
      <c r="G1649" s="233">
        <v>5000.0</v>
      </c>
      <c r="H1649" s="16">
        <v>4068.0</v>
      </c>
      <c r="I1649" s="17">
        <f t="shared" si="50"/>
        <v>932</v>
      </c>
      <c r="J1649" s="17" t="s">
        <v>1</v>
      </c>
      <c r="K1649" s="252"/>
      <c r="L1649" s="252"/>
      <c r="M1649" s="252"/>
      <c r="N1649" s="252"/>
      <c r="O1649" s="252"/>
      <c r="P1649" s="252"/>
      <c r="Q1649" s="252"/>
      <c r="R1649" s="252"/>
      <c r="S1649" s="252"/>
      <c r="T1649" s="252"/>
      <c r="U1649" s="252"/>
      <c r="V1649" s="252"/>
      <c r="W1649" s="252"/>
      <c r="X1649" s="252"/>
      <c r="Y1649" s="252"/>
      <c r="Z1649" s="252"/>
    </row>
    <row r="1650" ht="33.75" customHeight="1">
      <c r="A1650" s="11" t="s">
        <v>2226</v>
      </c>
      <c r="B1650" s="22" t="s">
        <v>81</v>
      </c>
      <c r="C1650" s="11" t="s">
        <v>2361</v>
      </c>
      <c r="D1650" s="11" t="s">
        <v>2362</v>
      </c>
      <c r="E1650" s="64">
        <v>46084.0</v>
      </c>
      <c r="F1650" s="14" t="s">
        <v>1133</v>
      </c>
      <c r="G1650" s="233">
        <v>5000.0</v>
      </c>
      <c r="H1650" s="16">
        <v>4210.0</v>
      </c>
      <c r="I1650" s="17">
        <f t="shared" si="50"/>
        <v>790</v>
      </c>
      <c r="J1650" s="17" t="s">
        <v>1</v>
      </c>
      <c r="K1650" s="252"/>
      <c r="L1650" s="252"/>
      <c r="M1650" s="252"/>
      <c r="N1650" s="252"/>
      <c r="O1650" s="252"/>
      <c r="P1650" s="252"/>
      <c r="Q1650" s="252"/>
      <c r="R1650" s="252"/>
      <c r="S1650" s="252"/>
      <c r="T1650" s="252"/>
      <c r="U1650" s="252"/>
      <c r="V1650" s="252"/>
      <c r="W1650" s="252"/>
      <c r="X1650" s="252"/>
      <c r="Y1650" s="252"/>
      <c r="Z1650" s="252"/>
    </row>
    <row r="1651" ht="33.75" customHeight="1">
      <c r="A1651" s="11" t="s">
        <v>2227</v>
      </c>
      <c r="B1651" s="22" t="s">
        <v>81</v>
      </c>
      <c r="C1651" s="11" t="s">
        <v>2361</v>
      </c>
      <c r="D1651" s="11" t="s">
        <v>2362</v>
      </c>
      <c r="E1651" s="64">
        <v>46084.0</v>
      </c>
      <c r="F1651" s="14" t="s">
        <v>1133</v>
      </c>
      <c r="G1651" s="233">
        <v>5000.0</v>
      </c>
      <c r="H1651" s="16">
        <v>3806.0</v>
      </c>
      <c r="I1651" s="17">
        <f t="shared" si="50"/>
        <v>1194</v>
      </c>
      <c r="J1651" s="17" t="s">
        <v>1</v>
      </c>
      <c r="K1651" s="252"/>
      <c r="L1651" s="252"/>
      <c r="M1651" s="252"/>
      <c r="N1651" s="252"/>
      <c r="O1651" s="252"/>
      <c r="P1651" s="252"/>
      <c r="Q1651" s="252"/>
      <c r="R1651" s="252"/>
      <c r="S1651" s="252"/>
      <c r="T1651" s="252"/>
      <c r="U1651" s="252"/>
      <c r="V1651" s="252"/>
      <c r="W1651" s="252"/>
      <c r="X1651" s="252"/>
      <c r="Y1651" s="252"/>
      <c r="Z1651" s="252"/>
    </row>
    <row r="1652" ht="33.75" customHeight="1">
      <c r="A1652" s="11" t="s">
        <v>2228</v>
      </c>
      <c r="B1652" s="22" t="s">
        <v>81</v>
      </c>
      <c r="C1652" s="11" t="s">
        <v>2361</v>
      </c>
      <c r="D1652" s="11" t="s">
        <v>2362</v>
      </c>
      <c r="E1652" s="64">
        <v>46084.0</v>
      </c>
      <c r="F1652" s="14" t="s">
        <v>1133</v>
      </c>
      <c r="G1652" s="233">
        <v>5000.0</v>
      </c>
      <c r="H1652" s="16">
        <v>3864.0</v>
      </c>
      <c r="I1652" s="17">
        <f t="shared" si="50"/>
        <v>1136</v>
      </c>
      <c r="J1652" s="17" t="s">
        <v>1</v>
      </c>
      <c r="K1652" s="252"/>
      <c r="L1652" s="252"/>
      <c r="M1652" s="252"/>
      <c r="N1652" s="252"/>
      <c r="O1652" s="252"/>
      <c r="P1652" s="252"/>
      <c r="Q1652" s="252"/>
      <c r="R1652" s="252"/>
      <c r="S1652" s="252"/>
      <c r="T1652" s="252"/>
      <c r="U1652" s="252"/>
      <c r="V1652" s="252"/>
      <c r="W1652" s="252"/>
      <c r="X1652" s="252"/>
      <c r="Y1652" s="252"/>
      <c r="Z1652" s="252"/>
    </row>
    <row r="1653" ht="33.75" customHeight="1">
      <c r="A1653" s="11" t="s">
        <v>1116</v>
      </c>
      <c r="B1653" s="22" t="s">
        <v>81</v>
      </c>
      <c r="C1653" s="11" t="s">
        <v>2363</v>
      </c>
      <c r="D1653" s="11">
        <v>9.55927666933973E14</v>
      </c>
      <c r="E1653" s="64">
        <v>46084.0</v>
      </c>
      <c r="F1653" s="14" t="s">
        <v>1133</v>
      </c>
      <c r="G1653" s="233">
        <v>10000.0</v>
      </c>
      <c r="H1653" s="28">
        <f>4203+4115</f>
        <v>8318</v>
      </c>
      <c r="I1653" s="17">
        <f t="shared" si="50"/>
        <v>1682</v>
      </c>
      <c r="J1653" s="17" t="s">
        <v>1</v>
      </c>
      <c r="K1653" s="252"/>
      <c r="L1653" s="252"/>
      <c r="M1653" s="252"/>
      <c r="N1653" s="252"/>
      <c r="O1653" s="252"/>
      <c r="P1653" s="252"/>
      <c r="Q1653" s="252"/>
      <c r="R1653" s="252"/>
      <c r="S1653" s="252"/>
      <c r="T1653" s="252"/>
      <c r="U1653" s="252"/>
      <c r="V1653" s="252"/>
      <c r="W1653" s="252"/>
      <c r="X1653" s="252"/>
      <c r="Y1653" s="252"/>
      <c r="Z1653" s="252"/>
    </row>
    <row r="1654" ht="33.75" customHeight="1">
      <c r="A1654" s="11" t="s">
        <v>667</v>
      </c>
      <c r="B1654" s="22" t="s">
        <v>81</v>
      </c>
      <c r="C1654" s="11" t="s">
        <v>2363</v>
      </c>
      <c r="D1654" s="11">
        <v>9.55927666933973E14</v>
      </c>
      <c r="E1654" s="64">
        <v>46084.0</v>
      </c>
      <c r="F1654" s="14" t="s">
        <v>1133</v>
      </c>
      <c r="G1654" s="233">
        <v>10000.0</v>
      </c>
      <c r="H1654" s="28">
        <f>3822+3884</f>
        <v>7706</v>
      </c>
      <c r="I1654" s="17">
        <f t="shared" si="50"/>
        <v>2294</v>
      </c>
      <c r="J1654" s="17" t="s">
        <v>1</v>
      </c>
      <c r="K1654" s="252"/>
      <c r="L1654" s="252"/>
      <c r="M1654" s="252"/>
      <c r="N1654" s="252"/>
      <c r="O1654" s="252"/>
      <c r="P1654" s="252"/>
      <c r="Q1654" s="252"/>
      <c r="R1654" s="252"/>
      <c r="S1654" s="252"/>
      <c r="T1654" s="252"/>
      <c r="U1654" s="252"/>
      <c r="V1654" s="252"/>
      <c r="W1654" s="252"/>
      <c r="X1654" s="252"/>
      <c r="Y1654" s="252"/>
      <c r="Z1654" s="252"/>
    </row>
    <row r="1655" ht="33.75" customHeight="1">
      <c r="A1655" s="11" t="s">
        <v>1808</v>
      </c>
      <c r="B1655" s="22" t="s">
        <v>81</v>
      </c>
      <c r="C1655" s="11" t="s">
        <v>2363</v>
      </c>
      <c r="D1655" s="11">
        <v>9.55927666933973E14</v>
      </c>
      <c r="E1655" s="64">
        <v>46084.0</v>
      </c>
      <c r="F1655" s="14" t="s">
        <v>1133</v>
      </c>
      <c r="G1655" s="233">
        <v>10000.0</v>
      </c>
      <c r="H1655" s="28">
        <f>4010+4016</f>
        <v>8026</v>
      </c>
      <c r="I1655" s="17">
        <f t="shared" si="50"/>
        <v>1974</v>
      </c>
      <c r="J1655" s="17" t="s">
        <v>1</v>
      </c>
      <c r="K1655" s="252"/>
      <c r="L1655" s="252"/>
      <c r="M1655" s="252"/>
      <c r="N1655" s="252"/>
      <c r="O1655" s="252"/>
      <c r="P1655" s="252"/>
      <c r="Q1655" s="252"/>
      <c r="R1655" s="252"/>
      <c r="S1655" s="252"/>
      <c r="T1655" s="252"/>
      <c r="U1655" s="252"/>
      <c r="V1655" s="252"/>
      <c r="W1655" s="252"/>
      <c r="X1655" s="252"/>
      <c r="Y1655" s="252"/>
      <c r="Z1655" s="252"/>
    </row>
    <row r="1656" ht="33.75" customHeight="1">
      <c r="A1656" s="11" t="s">
        <v>2364</v>
      </c>
      <c r="B1656" s="22" t="s">
        <v>81</v>
      </c>
      <c r="C1656" s="11" t="s">
        <v>2363</v>
      </c>
      <c r="D1656" s="11">
        <v>9.55927666933973E14</v>
      </c>
      <c r="E1656" s="64">
        <v>46084.0</v>
      </c>
      <c r="F1656" s="14" t="s">
        <v>1133</v>
      </c>
      <c r="G1656" s="233">
        <v>10000.0</v>
      </c>
      <c r="H1656" s="28">
        <f>3948+3342</f>
        <v>7290</v>
      </c>
      <c r="I1656" s="17">
        <f t="shared" si="50"/>
        <v>2710</v>
      </c>
      <c r="J1656" s="17" t="s">
        <v>1</v>
      </c>
      <c r="K1656" s="252"/>
      <c r="L1656" s="252"/>
      <c r="M1656" s="252"/>
      <c r="N1656" s="252"/>
      <c r="O1656" s="252"/>
      <c r="P1656" s="252"/>
      <c r="Q1656" s="252"/>
      <c r="R1656" s="252"/>
      <c r="S1656" s="252"/>
      <c r="T1656" s="252"/>
      <c r="U1656" s="252"/>
      <c r="V1656" s="252"/>
      <c r="W1656" s="252"/>
      <c r="X1656" s="252"/>
      <c r="Y1656" s="252"/>
      <c r="Z1656" s="252"/>
    </row>
    <row r="1657" ht="33.75" customHeight="1">
      <c r="A1657" s="11" t="s">
        <v>2365</v>
      </c>
      <c r="B1657" s="22" t="s">
        <v>81</v>
      </c>
      <c r="C1657" s="11" t="s">
        <v>2363</v>
      </c>
      <c r="D1657" s="11">
        <v>9.55927666933973E14</v>
      </c>
      <c r="E1657" s="64">
        <v>46084.0</v>
      </c>
      <c r="F1657" s="14" t="s">
        <v>1133</v>
      </c>
      <c r="G1657" s="233">
        <v>5000.0</v>
      </c>
      <c r="H1657" s="16">
        <v>3424.0</v>
      </c>
      <c r="I1657" s="17">
        <f t="shared" si="50"/>
        <v>1576</v>
      </c>
      <c r="J1657" s="17" t="s">
        <v>1</v>
      </c>
      <c r="K1657" s="252"/>
      <c r="L1657" s="252"/>
      <c r="M1657" s="252"/>
      <c r="N1657" s="252"/>
      <c r="O1657" s="252"/>
      <c r="P1657" s="252"/>
      <c r="Q1657" s="252"/>
      <c r="R1657" s="252"/>
      <c r="S1657" s="252"/>
      <c r="T1657" s="252"/>
      <c r="U1657" s="252"/>
      <c r="V1657" s="252"/>
      <c r="W1657" s="252"/>
      <c r="X1657" s="252"/>
      <c r="Y1657" s="252"/>
      <c r="Z1657" s="252"/>
    </row>
    <row r="1658" ht="33.75" customHeight="1">
      <c r="A1658" s="11" t="s">
        <v>2232</v>
      </c>
      <c r="B1658" s="22" t="s">
        <v>81</v>
      </c>
      <c r="C1658" s="11" t="s">
        <v>2366</v>
      </c>
      <c r="D1658" s="11">
        <v>9.24227980562481E14</v>
      </c>
      <c r="E1658" s="64">
        <v>46084.0</v>
      </c>
      <c r="F1658" s="14" t="s">
        <v>1133</v>
      </c>
      <c r="G1658" s="233">
        <v>8000.0</v>
      </c>
      <c r="H1658" s="28">
        <f>2471+2589</f>
        <v>5060</v>
      </c>
      <c r="I1658" s="17">
        <f t="shared" si="50"/>
        <v>2940</v>
      </c>
      <c r="J1658" s="17" t="s">
        <v>1</v>
      </c>
      <c r="K1658" s="252"/>
      <c r="L1658" s="252"/>
      <c r="M1658" s="252"/>
      <c r="N1658" s="252"/>
      <c r="O1658" s="252"/>
      <c r="P1658" s="252"/>
      <c r="Q1658" s="252"/>
      <c r="R1658" s="252"/>
      <c r="S1658" s="252"/>
      <c r="T1658" s="252"/>
      <c r="U1658" s="252"/>
      <c r="V1658" s="252"/>
      <c r="W1658" s="252"/>
      <c r="X1658" s="252"/>
      <c r="Y1658" s="252"/>
      <c r="Z1658" s="252"/>
    </row>
    <row r="1659" ht="33.75" customHeight="1">
      <c r="A1659" s="11" t="s">
        <v>2233</v>
      </c>
      <c r="B1659" s="22" t="s">
        <v>81</v>
      </c>
      <c r="C1659" s="11" t="s">
        <v>2366</v>
      </c>
      <c r="D1659" s="11">
        <v>9.24227980562481E14</v>
      </c>
      <c r="E1659" s="64">
        <v>46084.0</v>
      </c>
      <c r="F1659" s="14" t="s">
        <v>1133</v>
      </c>
      <c r="G1659" s="233">
        <v>10000.0</v>
      </c>
      <c r="H1659" s="28">
        <f>3529
+3438</f>
        <v>6967</v>
      </c>
      <c r="I1659" s="17">
        <f t="shared" si="50"/>
        <v>3033</v>
      </c>
      <c r="J1659" s="17" t="s">
        <v>1</v>
      </c>
      <c r="K1659" s="252"/>
      <c r="L1659" s="252"/>
      <c r="M1659" s="252"/>
      <c r="N1659" s="252"/>
      <c r="O1659" s="252"/>
      <c r="P1659" s="252"/>
      <c r="Q1659" s="252"/>
      <c r="R1659" s="252"/>
      <c r="S1659" s="252"/>
      <c r="T1659" s="252"/>
      <c r="U1659" s="252"/>
      <c r="V1659" s="252"/>
      <c r="W1659" s="252"/>
      <c r="X1659" s="252"/>
      <c r="Y1659" s="252"/>
      <c r="Z1659" s="252"/>
    </row>
    <row r="1660" ht="33.75" customHeight="1">
      <c r="A1660" s="11" t="s">
        <v>2235</v>
      </c>
      <c r="B1660" s="22" t="s">
        <v>81</v>
      </c>
      <c r="C1660" s="11" t="s">
        <v>2366</v>
      </c>
      <c r="D1660" s="24">
        <v>9.24227980562481E14</v>
      </c>
      <c r="E1660" s="64">
        <v>46084.0</v>
      </c>
      <c r="F1660" s="14" t="s">
        <v>1133</v>
      </c>
      <c r="G1660" s="233">
        <v>5000.0</v>
      </c>
      <c r="H1660" s="28">
        <f>3356+3272</f>
        <v>6628</v>
      </c>
      <c r="I1660" s="17">
        <f t="shared" si="50"/>
        <v>-1628</v>
      </c>
      <c r="J1660" s="17" t="s">
        <v>1</v>
      </c>
      <c r="K1660" s="252"/>
      <c r="L1660" s="252"/>
      <c r="M1660" s="252"/>
      <c r="N1660" s="252"/>
      <c r="O1660" s="252"/>
      <c r="P1660" s="252"/>
      <c r="Q1660" s="252"/>
      <c r="R1660" s="252"/>
      <c r="S1660" s="252"/>
      <c r="T1660" s="252"/>
      <c r="U1660" s="252"/>
      <c r="V1660" s="252"/>
      <c r="W1660" s="252"/>
      <c r="X1660" s="252"/>
      <c r="Y1660" s="252"/>
      <c r="Z1660" s="252"/>
    </row>
    <row r="1661" ht="33.75" customHeight="1">
      <c r="A1661" s="11" t="s">
        <v>2004</v>
      </c>
      <c r="B1661" s="22" t="s">
        <v>81</v>
      </c>
      <c r="C1661" s="11" t="s">
        <v>2366</v>
      </c>
      <c r="D1661" s="24">
        <v>9.24227980562481E14</v>
      </c>
      <c r="E1661" s="64">
        <v>46084.0</v>
      </c>
      <c r="F1661" s="14" t="s">
        <v>1133</v>
      </c>
      <c r="G1661" s="233">
        <v>3453.0</v>
      </c>
      <c r="H1661" s="16">
        <v>3049.0</v>
      </c>
      <c r="I1661" s="17">
        <f t="shared" si="50"/>
        <v>404</v>
      </c>
      <c r="J1661" s="17" t="s">
        <v>1</v>
      </c>
      <c r="K1661" s="252"/>
      <c r="L1661" s="252"/>
      <c r="M1661" s="252"/>
      <c r="N1661" s="252"/>
      <c r="O1661" s="252"/>
      <c r="P1661" s="252"/>
      <c r="Q1661" s="252"/>
      <c r="R1661" s="252"/>
      <c r="S1661" s="252"/>
      <c r="T1661" s="252"/>
      <c r="U1661" s="252"/>
      <c r="V1661" s="252"/>
      <c r="W1661" s="252"/>
      <c r="X1661" s="252"/>
      <c r="Y1661" s="252"/>
      <c r="Z1661" s="252"/>
    </row>
    <row r="1662" ht="33.75" customHeight="1">
      <c r="A1662" s="11" t="s">
        <v>2367</v>
      </c>
      <c r="B1662" s="22" t="s">
        <v>81</v>
      </c>
      <c r="C1662" s="11" t="s">
        <v>2366</v>
      </c>
      <c r="D1662" s="24">
        <v>9.24227980562481E14</v>
      </c>
      <c r="E1662" s="64">
        <v>46084.0</v>
      </c>
      <c r="F1662" s="14" t="s">
        <v>1133</v>
      </c>
      <c r="G1662" s="233">
        <v>10000.0</v>
      </c>
      <c r="H1662" s="28">
        <f>3581+3812</f>
        <v>7393</v>
      </c>
      <c r="I1662" s="17">
        <f t="shared" si="50"/>
        <v>2607</v>
      </c>
      <c r="J1662" s="17" t="s">
        <v>1</v>
      </c>
      <c r="K1662" s="252"/>
      <c r="L1662" s="252"/>
      <c r="M1662" s="252"/>
      <c r="N1662" s="252"/>
      <c r="O1662" s="252"/>
      <c r="P1662" s="252"/>
      <c r="Q1662" s="252"/>
      <c r="R1662" s="252"/>
      <c r="S1662" s="252"/>
      <c r="T1662" s="252"/>
      <c r="U1662" s="252"/>
      <c r="V1662" s="252"/>
      <c r="W1662" s="252"/>
      <c r="X1662" s="252"/>
      <c r="Y1662" s="252"/>
      <c r="Z1662" s="252"/>
    </row>
    <row r="1663" ht="33.75" customHeight="1">
      <c r="A1663" s="11" t="s">
        <v>2368</v>
      </c>
      <c r="B1663" s="22" t="s">
        <v>85</v>
      </c>
      <c r="C1663" s="11" t="s">
        <v>2369</v>
      </c>
      <c r="D1663" s="24" t="s">
        <v>4</v>
      </c>
      <c r="E1663" s="64">
        <v>46084.0</v>
      </c>
      <c r="F1663" s="14" t="s">
        <v>1191</v>
      </c>
      <c r="G1663" s="233">
        <v>9999.0</v>
      </c>
      <c r="H1663" s="16">
        <v>8602.0</v>
      </c>
      <c r="I1663" s="17">
        <f t="shared" si="50"/>
        <v>1397</v>
      </c>
      <c r="J1663" s="17" t="s">
        <v>1</v>
      </c>
      <c r="K1663" s="252"/>
      <c r="L1663" s="252"/>
      <c r="M1663" s="252"/>
      <c r="N1663" s="252"/>
      <c r="O1663" s="252"/>
      <c r="P1663" s="252"/>
      <c r="Q1663" s="252"/>
      <c r="R1663" s="252"/>
      <c r="S1663" s="252"/>
      <c r="T1663" s="252"/>
      <c r="U1663" s="252"/>
      <c r="V1663" s="252"/>
      <c r="W1663" s="252"/>
      <c r="X1663" s="252"/>
      <c r="Y1663" s="252"/>
      <c r="Z1663" s="252"/>
    </row>
    <row r="1664" ht="33.75" customHeight="1">
      <c r="A1664" s="11" t="s">
        <v>1676</v>
      </c>
      <c r="B1664" s="22" t="s">
        <v>85</v>
      </c>
      <c r="C1664" s="11" t="s">
        <v>2337</v>
      </c>
      <c r="D1664" s="24" t="s">
        <v>4</v>
      </c>
      <c r="E1664" s="64">
        <v>46084.0</v>
      </c>
      <c r="F1664" s="14" t="s">
        <v>1191</v>
      </c>
      <c r="G1664" s="233">
        <v>1101.0</v>
      </c>
      <c r="H1664" s="16">
        <v>940.0</v>
      </c>
      <c r="I1664" s="17">
        <f t="shared" si="50"/>
        <v>161</v>
      </c>
      <c r="J1664" s="17" t="s">
        <v>1</v>
      </c>
      <c r="K1664" s="252"/>
      <c r="L1664" s="252"/>
      <c r="M1664" s="252"/>
      <c r="N1664" s="252"/>
      <c r="O1664" s="252"/>
      <c r="P1664" s="252"/>
      <c r="Q1664" s="252"/>
      <c r="R1664" s="252"/>
      <c r="S1664" s="252"/>
      <c r="T1664" s="252"/>
      <c r="U1664" s="252"/>
      <c r="V1664" s="252"/>
      <c r="W1664" s="252"/>
      <c r="X1664" s="252"/>
      <c r="Y1664" s="252"/>
      <c r="Z1664" s="252"/>
    </row>
    <row r="1665" ht="33.75" customHeight="1">
      <c r="A1665" s="11" t="s">
        <v>2038</v>
      </c>
      <c r="B1665" s="22" t="s">
        <v>88</v>
      </c>
      <c r="C1665" s="11" t="s">
        <v>2370</v>
      </c>
      <c r="D1665" s="11" t="s">
        <v>2371</v>
      </c>
      <c r="E1665" s="64">
        <v>46084.0</v>
      </c>
      <c r="F1665" s="14" t="s">
        <v>1141</v>
      </c>
      <c r="G1665" s="15" t="s">
        <v>2372</v>
      </c>
      <c r="H1665" s="16">
        <v>15733.0</v>
      </c>
      <c r="I1665" s="17">
        <f t="shared" si="50"/>
        <v>2852</v>
      </c>
      <c r="J1665" s="17" t="s">
        <v>1</v>
      </c>
      <c r="K1665" s="252"/>
      <c r="L1665" s="252"/>
      <c r="M1665" s="252"/>
      <c r="N1665" s="252"/>
      <c r="O1665" s="252"/>
      <c r="P1665" s="252"/>
      <c r="Q1665" s="252"/>
      <c r="R1665" s="252"/>
      <c r="S1665" s="252"/>
      <c r="T1665" s="252"/>
      <c r="U1665" s="252"/>
      <c r="V1665" s="252"/>
      <c r="W1665" s="252"/>
      <c r="X1665" s="252"/>
      <c r="Y1665" s="252"/>
      <c r="Z1665" s="252"/>
    </row>
    <row r="1666" ht="33.75" customHeight="1">
      <c r="A1666" s="11" t="s">
        <v>2018</v>
      </c>
      <c r="B1666" s="22"/>
      <c r="C1666" s="11" t="s">
        <v>2373</v>
      </c>
      <c r="D1666" s="11" t="s">
        <v>2374</v>
      </c>
      <c r="E1666" s="64">
        <v>46084.0</v>
      </c>
      <c r="F1666" s="14" t="s">
        <v>1141</v>
      </c>
      <c r="G1666" s="15" t="s">
        <v>2375</v>
      </c>
      <c r="H1666" s="16">
        <v>10912.0</v>
      </c>
      <c r="I1666" s="17">
        <f t="shared" si="50"/>
        <v>1255</v>
      </c>
      <c r="J1666" s="17" t="s">
        <v>1</v>
      </c>
      <c r="K1666" s="252"/>
      <c r="L1666" s="252"/>
      <c r="M1666" s="252"/>
      <c r="N1666" s="252"/>
      <c r="O1666" s="252"/>
      <c r="P1666" s="252"/>
      <c r="Q1666" s="252"/>
      <c r="R1666" s="252"/>
      <c r="S1666" s="252"/>
      <c r="T1666" s="252"/>
      <c r="U1666" s="252"/>
      <c r="V1666" s="252"/>
      <c r="W1666" s="252"/>
      <c r="X1666" s="252"/>
      <c r="Y1666" s="252"/>
      <c r="Z1666" s="252"/>
    </row>
    <row r="1667" ht="33.75" customHeight="1">
      <c r="A1667" s="11" t="s">
        <v>2376</v>
      </c>
      <c r="B1667" s="22" t="s">
        <v>237</v>
      </c>
      <c r="C1667" s="11" t="s">
        <v>2377</v>
      </c>
      <c r="D1667" s="11" t="s">
        <v>2378</v>
      </c>
      <c r="E1667" s="64">
        <v>46084.0</v>
      </c>
      <c r="F1667" s="14" t="s">
        <v>1133</v>
      </c>
      <c r="G1667" s="233">
        <f>2200+1823</f>
        <v>4023</v>
      </c>
      <c r="H1667" s="16">
        <v>3394.0</v>
      </c>
      <c r="I1667" s="17">
        <f t="shared" si="50"/>
        <v>629</v>
      </c>
      <c r="J1667" s="17" t="s">
        <v>1</v>
      </c>
      <c r="K1667" s="252"/>
      <c r="L1667" s="252"/>
      <c r="M1667" s="252"/>
      <c r="N1667" s="252"/>
      <c r="O1667" s="252"/>
      <c r="P1667" s="252"/>
      <c r="Q1667" s="252"/>
      <c r="R1667" s="252"/>
      <c r="S1667" s="252"/>
      <c r="T1667" s="252"/>
      <c r="U1667" s="252"/>
      <c r="V1667" s="252"/>
      <c r="W1667" s="252"/>
      <c r="X1667" s="252"/>
      <c r="Y1667" s="252"/>
      <c r="Z1667" s="252"/>
    </row>
    <row r="1668" ht="33.75" customHeight="1">
      <c r="A1668" s="11" t="s">
        <v>109</v>
      </c>
      <c r="B1668" s="12"/>
      <c r="C1668" s="11" t="s">
        <v>2379</v>
      </c>
      <c r="D1668" s="36"/>
      <c r="E1668" s="76">
        <v>46084.0</v>
      </c>
      <c r="F1668" s="14" t="s">
        <v>1141</v>
      </c>
      <c r="G1668" s="15" t="s">
        <v>2380</v>
      </c>
      <c r="H1668" s="16">
        <v>1675.0</v>
      </c>
      <c r="I1668" s="17">
        <f t="shared" si="50"/>
        <v>205</v>
      </c>
      <c r="J1668" s="17" t="s">
        <v>1</v>
      </c>
      <c r="K1668" s="252"/>
      <c r="L1668" s="252"/>
      <c r="M1668" s="252"/>
      <c r="N1668" s="252"/>
      <c r="O1668" s="252"/>
      <c r="P1668" s="252"/>
      <c r="Q1668" s="252"/>
      <c r="R1668" s="252"/>
      <c r="S1668" s="252"/>
      <c r="T1668" s="252"/>
      <c r="U1668" s="252"/>
      <c r="V1668" s="252"/>
      <c r="W1668" s="252"/>
      <c r="X1668" s="252"/>
      <c r="Y1668" s="252"/>
      <c r="Z1668" s="252"/>
    </row>
    <row r="1669" ht="33.75" customHeight="1">
      <c r="A1669" s="11" t="s">
        <v>2376</v>
      </c>
      <c r="B1669" s="22" t="s">
        <v>323</v>
      </c>
      <c r="C1669" s="11" t="s">
        <v>2377</v>
      </c>
      <c r="D1669" s="11" t="s">
        <v>2378</v>
      </c>
      <c r="E1669" s="64">
        <v>46084.0</v>
      </c>
      <c r="F1669" s="14" t="s">
        <v>1133</v>
      </c>
      <c r="G1669" s="233">
        <f>2200+1823</f>
        <v>4023</v>
      </c>
      <c r="H1669" s="16">
        <v>2914.0</v>
      </c>
      <c r="I1669" s="17">
        <f t="shared" si="50"/>
        <v>1109</v>
      </c>
      <c r="J1669" s="17" t="s">
        <v>1</v>
      </c>
      <c r="K1669" s="252"/>
      <c r="L1669" s="252"/>
      <c r="M1669" s="252"/>
      <c r="N1669" s="252"/>
      <c r="O1669" s="252"/>
      <c r="P1669" s="252"/>
      <c r="Q1669" s="252"/>
      <c r="R1669" s="252"/>
      <c r="S1669" s="252"/>
      <c r="T1669" s="252"/>
      <c r="U1669" s="252"/>
      <c r="V1669" s="252"/>
      <c r="W1669" s="252"/>
      <c r="X1669" s="252"/>
      <c r="Y1669" s="252"/>
      <c r="Z1669" s="252"/>
    </row>
    <row r="1670" ht="33.75" customHeight="1">
      <c r="A1670" s="11" t="s">
        <v>1078</v>
      </c>
      <c r="B1670" s="22" t="s">
        <v>398</v>
      </c>
      <c r="C1670" s="11" t="s">
        <v>2381</v>
      </c>
      <c r="D1670" s="11" t="s">
        <v>2382</v>
      </c>
      <c r="E1670" s="64">
        <v>46084.0</v>
      </c>
      <c r="F1670" s="14" t="s">
        <v>1141</v>
      </c>
      <c r="G1670" s="233">
        <v>42000.0</v>
      </c>
      <c r="H1670" s="28">
        <v>40719.0</v>
      </c>
      <c r="I1670" s="17">
        <f t="shared" si="50"/>
        <v>1281</v>
      </c>
      <c r="J1670" s="39" t="s">
        <v>1</v>
      </c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  <c r="W1670" s="26"/>
      <c r="X1670" s="26"/>
      <c r="Y1670" s="26"/>
      <c r="Z1670" s="26"/>
    </row>
    <row r="1671" ht="33.75" customHeight="1">
      <c r="A1671" s="11" t="s">
        <v>1078</v>
      </c>
      <c r="B1671" s="22" t="s">
        <v>398</v>
      </c>
      <c r="C1671" s="11" t="s">
        <v>2383</v>
      </c>
      <c r="D1671" s="11" t="s">
        <v>2384</v>
      </c>
      <c r="E1671" s="64">
        <v>46084.0</v>
      </c>
      <c r="F1671" s="14" t="s">
        <v>1141</v>
      </c>
      <c r="G1671" s="233">
        <v>42000.0</v>
      </c>
      <c r="H1671" s="28">
        <v>40720.0</v>
      </c>
      <c r="I1671" s="17">
        <f t="shared" si="50"/>
        <v>1280</v>
      </c>
      <c r="J1671" s="39" t="s">
        <v>1</v>
      </c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  <c r="W1671" s="26"/>
      <c r="X1671" s="26"/>
      <c r="Y1671" s="26"/>
      <c r="Z1671" s="26"/>
    </row>
    <row r="1672" ht="33.75" customHeight="1">
      <c r="A1672" s="11" t="s">
        <v>489</v>
      </c>
      <c r="B1672" s="22" t="s">
        <v>189</v>
      </c>
      <c r="C1672" s="11" t="s">
        <v>2216</v>
      </c>
      <c r="D1672" s="11"/>
      <c r="E1672" s="64">
        <v>46084.0</v>
      </c>
      <c r="F1672" s="14" t="s">
        <v>17</v>
      </c>
      <c r="G1672" s="233">
        <v>4259.0</v>
      </c>
      <c r="H1672" s="16">
        <v>3135.0</v>
      </c>
      <c r="I1672" s="17">
        <f t="shared" si="50"/>
        <v>1124</v>
      </c>
      <c r="J1672" s="17" t="s">
        <v>1</v>
      </c>
      <c r="K1672" s="252"/>
      <c r="L1672" s="252"/>
      <c r="M1672" s="252"/>
      <c r="N1672" s="252"/>
      <c r="O1672" s="252"/>
      <c r="P1672" s="252"/>
      <c r="Q1672" s="252"/>
      <c r="R1672" s="252"/>
      <c r="S1672" s="252"/>
      <c r="T1672" s="252"/>
      <c r="U1672" s="252"/>
      <c r="V1672" s="252"/>
      <c r="W1672" s="252"/>
      <c r="X1672" s="252"/>
      <c r="Y1672" s="252"/>
      <c r="Z1672" s="252"/>
    </row>
    <row r="1673" ht="33.75" customHeight="1">
      <c r="A1673" s="11" t="s">
        <v>135</v>
      </c>
      <c r="B1673" s="22" t="s">
        <v>15</v>
      </c>
      <c r="C1673" s="11" t="s">
        <v>2385</v>
      </c>
      <c r="D1673" s="11"/>
      <c r="E1673" s="64">
        <v>46084.0</v>
      </c>
      <c r="F1673" s="14" t="s">
        <v>1191</v>
      </c>
      <c r="G1673" s="178">
        <v>28400.0</v>
      </c>
      <c r="H1673" s="16">
        <v>20560.0</v>
      </c>
      <c r="I1673" s="17">
        <f t="shared" si="50"/>
        <v>7840</v>
      </c>
      <c r="J1673" s="17" t="s">
        <v>1</v>
      </c>
      <c r="K1673" s="252"/>
      <c r="L1673" s="252"/>
      <c r="M1673" s="252"/>
      <c r="N1673" s="252"/>
      <c r="O1673" s="252"/>
      <c r="P1673" s="252"/>
      <c r="Q1673" s="252"/>
      <c r="R1673" s="252"/>
      <c r="S1673" s="252"/>
      <c r="T1673" s="252"/>
      <c r="U1673" s="252"/>
      <c r="V1673" s="252"/>
      <c r="W1673" s="252"/>
      <c r="X1673" s="252"/>
      <c r="Y1673" s="252"/>
      <c r="Z1673" s="252"/>
    </row>
    <row r="1674" ht="33.75" customHeight="1">
      <c r="A1674" s="11" t="s">
        <v>1987</v>
      </c>
      <c r="B1674" s="22" t="s">
        <v>15</v>
      </c>
      <c r="C1674" s="11" t="s">
        <v>2386</v>
      </c>
      <c r="D1674" s="74">
        <v>1.59666135500025E15</v>
      </c>
      <c r="E1674" s="64">
        <v>46084.0</v>
      </c>
      <c r="F1674" s="14" t="s">
        <v>1191</v>
      </c>
      <c r="G1674" s="178">
        <v>19868.0</v>
      </c>
      <c r="H1674" s="16">
        <v>18059.0</v>
      </c>
      <c r="I1674" s="17">
        <f t="shared" si="50"/>
        <v>1809</v>
      </c>
      <c r="J1674" s="17" t="s">
        <v>1</v>
      </c>
      <c r="K1674" s="252"/>
      <c r="L1674" s="252"/>
      <c r="M1674" s="252"/>
      <c r="N1674" s="252"/>
      <c r="O1674" s="252"/>
      <c r="P1674" s="252"/>
      <c r="Q1674" s="252"/>
      <c r="R1674" s="252"/>
      <c r="S1674" s="252"/>
      <c r="T1674" s="252"/>
      <c r="U1674" s="252"/>
      <c r="V1674" s="252"/>
      <c r="W1674" s="252"/>
      <c r="X1674" s="252"/>
      <c r="Y1674" s="252"/>
      <c r="Z1674" s="252"/>
    </row>
    <row r="1675" ht="33.75" customHeight="1">
      <c r="A1675" s="11" t="s">
        <v>2387</v>
      </c>
      <c r="B1675" s="22" t="s">
        <v>2388</v>
      </c>
      <c r="C1675" s="11" t="s">
        <v>2389</v>
      </c>
      <c r="D1675" s="11">
        <v>7.53987530911922E14</v>
      </c>
      <c r="E1675" s="64">
        <v>46084.0</v>
      </c>
      <c r="F1675" s="14" t="s">
        <v>17</v>
      </c>
      <c r="G1675" s="178">
        <v>536.0</v>
      </c>
      <c r="H1675" s="16">
        <v>454.0</v>
      </c>
      <c r="I1675" s="17">
        <f t="shared" si="50"/>
        <v>82</v>
      </c>
      <c r="J1675" s="17" t="s">
        <v>1</v>
      </c>
      <c r="K1675" s="252"/>
      <c r="L1675" s="252"/>
      <c r="M1675" s="252"/>
      <c r="N1675" s="252"/>
      <c r="O1675" s="252"/>
      <c r="P1675" s="252"/>
      <c r="Q1675" s="252"/>
      <c r="R1675" s="252"/>
      <c r="S1675" s="252"/>
      <c r="T1675" s="252"/>
      <c r="U1675" s="252"/>
      <c r="V1675" s="252"/>
      <c r="W1675" s="252"/>
      <c r="X1675" s="252"/>
      <c r="Y1675" s="252"/>
      <c r="Z1675" s="252"/>
    </row>
    <row r="1676" ht="33.75" customHeight="1">
      <c r="A1676" s="44"/>
      <c r="B1676" s="45"/>
      <c r="C1676" s="44"/>
      <c r="D1676" s="44"/>
      <c r="E1676" s="323"/>
      <c r="F1676" s="46"/>
      <c r="G1676" s="327"/>
      <c r="H1676" s="309"/>
      <c r="I1676" s="48"/>
      <c r="J1676" s="325"/>
      <c r="K1676" s="326"/>
      <c r="L1676" s="326"/>
      <c r="M1676" s="326"/>
      <c r="N1676" s="326"/>
      <c r="O1676" s="326"/>
      <c r="P1676" s="326"/>
      <c r="Q1676" s="326"/>
      <c r="R1676" s="326"/>
      <c r="S1676" s="326"/>
      <c r="T1676" s="326"/>
      <c r="U1676" s="326"/>
      <c r="V1676" s="326"/>
      <c r="W1676" s="326"/>
      <c r="X1676" s="326"/>
      <c r="Y1676" s="326"/>
      <c r="Z1676" s="326"/>
    </row>
    <row r="1677" ht="33.75" customHeight="1">
      <c r="A1677" s="11" t="s">
        <v>1317</v>
      </c>
      <c r="B1677" s="22" t="s">
        <v>1011</v>
      </c>
      <c r="C1677" s="11" t="s">
        <v>2390</v>
      </c>
      <c r="D1677" s="11" t="s">
        <v>2391</v>
      </c>
      <c r="E1677" s="64">
        <v>46085.0</v>
      </c>
      <c r="F1677" s="14" t="s">
        <v>1191</v>
      </c>
      <c r="G1677" s="178">
        <v>1500.0</v>
      </c>
      <c r="H1677" s="16">
        <v>1304.0</v>
      </c>
      <c r="I1677" s="17">
        <f t="shared" ref="I1677:I1716" si="51">G1677-H1677</f>
        <v>196</v>
      </c>
      <c r="J1677" s="17" t="s">
        <v>1</v>
      </c>
      <c r="K1677" s="252"/>
      <c r="L1677" s="252"/>
      <c r="M1677" s="252"/>
      <c r="N1677" s="252"/>
      <c r="O1677" s="252"/>
      <c r="P1677" s="252"/>
      <c r="Q1677" s="252"/>
      <c r="R1677" s="252"/>
      <c r="S1677" s="252"/>
      <c r="T1677" s="252"/>
      <c r="U1677" s="252"/>
      <c r="V1677" s="252"/>
      <c r="W1677" s="252"/>
      <c r="X1677" s="252"/>
      <c r="Y1677" s="252"/>
      <c r="Z1677" s="252"/>
    </row>
    <row r="1678" ht="33.75" customHeight="1">
      <c r="A1678" s="11" t="s">
        <v>1314</v>
      </c>
      <c r="B1678" s="22" t="s">
        <v>1011</v>
      </c>
      <c r="C1678" s="11" t="s">
        <v>2322</v>
      </c>
      <c r="D1678" s="11"/>
      <c r="E1678" s="64">
        <v>46085.0</v>
      </c>
      <c r="F1678" s="14" t="s">
        <v>1141</v>
      </c>
      <c r="G1678" s="178">
        <v>1501.0</v>
      </c>
      <c r="H1678" s="16">
        <v>1282.0</v>
      </c>
      <c r="I1678" s="17">
        <f t="shared" si="51"/>
        <v>219</v>
      </c>
      <c r="J1678" s="17" t="s">
        <v>1</v>
      </c>
      <c r="K1678" s="252"/>
      <c r="L1678" s="252"/>
      <c r="M1678" s="252"/>
      <c r="N1678" s="252"/>
      <c r="O1678" s="252"/>
      <c r="P1678" s="252"/>
      <c r="Q1678" s="252"/>
      <c r="R1678" s="252"/>
      <c r="S1678" s="252"/>
      <c r="T1678" s="252"/>
      <c r="U1678" s="252"/>
      <c r="V1678" s="252"/>
      <c r="W1678" s="252"/>
      <c r="X1678" s="252"/>
      <c r="Y1678" s="252"/>
      <c r="Z1678" s="252"/>
    </row>
    <row r="1679" ht="33.75" customHeight="1">
      <c r="A1679" s="11" t="s">
        <v>2018</v>
      </c>
      <c r="B1679" s="22" t="s">
        <v>49</v>
      </c>
      <c r="C1679" s="11" t="s">
        <v>2392</v>
      </c>
      <c r="D1679" s="11" t="s">
        <v>2393</v>
      </c>
      <c r="E1679" s="64">
        <v>46085.0</v>
      </c>
      <c r="F1679" s="14" t="s">
        <v>1141</v>
      </c>
      <c r="G1679" s="178">
        <v>12081.0</v>
      </c>
      <c r="H1679" s="16">
        <v>10447.0</v>
      </c>
      <c r="I1679" s="17">
        <f t="shared" si="51"/>
        <v>1634</v>
      </c>
      <c r="J1679" s="17" t="s">
        <v>1</v>
      </c>
      <c r="K1679" s="252"/>
      <c r="L1679" s="252"/>
      <c r="M1679" s="252"/>
      <c r="N1679" s="252"/>
      <c r="O1679" s="252"/>
      <c r="P1679" s="252"/>
      <c r="Q1679" s="252"/>
      <c r="R1679" s="252"/>
      <c r="S1679" s="252"/>
      <c r="T1679" s="252"/>
      <c r="U1679" s="252"/>
      <c r="V1679" s="252"/>
      <c r="W1679" s="252"/>
      <c r="X1679" s="252"/>
      <c r="Y1679" s="252"/>
      <c r="Z1679" s="252"/>
    </row>
    <row r="1680" ht="33.75" customHeight="1">
      <c r="A1680" s="11" t="s">
        <v>1381</v>
      </c>
      <c r="B1680" s="22" t="s">
        <v>49</v>
      </c>
      <c r="C1680" s="11" t="s">
        <v>2324</v>
      </c>
      <c r="D1680" s="36"/>
      <c r="E1680" s="64">
        <v>46085.0</v>
      </c>
      <c r="F1680" s="14" t="s">
        <v>1191</v>
      </c>
      <c r="G1680" s="178">
        <v>2201.0</v>
      </c>
      <c r="H1680" s="16">
        <v>1828.0</v>
      </c>
      <c r="I1680" s="17">
        <f t="shared" si="51"/>
        <v>373</v>
      </c>
      <c r="J1680" s="17" t="s">
        <v>1</v>
      </c>
      <c r="K1680" s="252"/>
      <c r="L1680" s="252"/>
      <c r="M1680" s="252"/>
      <c r="N1680" s="252"/>
      <c r="O1680" s="252"/>
      <c r="P1680" s="252"/>
      <c r="Q1680" s="252"/>
      <c r="R1680" s="252"/>
      <c r="S1680" s="252"/>
      <c r="T1680" s="252"/>
      <c r="U1680" s="252"/>
      <c r="V1680" s="252"/>
      <c r="W1680" s="252"/>
      <c r="X1680" s="252"/>
      <c r="Y1680" s="252"/>
      <c r="Z1680" s="252"/>
    </row>
    <row r="1681" ht="33.75" customHeight="1">
      <c r="A1681" s="11" t="s">
        <v>28</v>
      </c>
      <c r="B1681" s="22" t="s">
        <v>81</v>
      </c>
      <c r="C1681" s="11" t="s">
        <v>2360</v>
      </c>
      <c r="D1681" s="36"/>
      <c r="E1681" s="64">
        <v>46085.0</v>
      </c>
      <c r="F1681" s="14" t="s">
        <v>17</v>
      </c>
      <c r="G1681" s="178">
        <v>11000.0</v>
      </c>
      <c r="H1681" s="16">
        <v>9231.0</v>
      </c>
      <c r="I1681" s="17">
        <f t="shared" si="51"/>
        <v>1769</v>
      </c>
      <c r="J1681" s="17" t="s">
        <v>1</v>
      </c>
      <c r="K1681" s="252"/>
      <c r="L1681" s="252"/>
      <c r="M1681" s="252"/>
      <c r="N1681" s="252"/>
      <c r="O1681" s="252"/>
      <c r="P1681" s="252"/>
      <c r="Q1681" s="252"/>
      <c r="R1681" s="252"/>
      <c r="S1681" s="252"/>
      <c r="T1681" s="252"/>
      <c r="U1681" s="252"/>
      <c r="V1681" s="252"/>
      <c r="W1681" s="252"/>
      <c r="X1681" s="252"/>
      <c r="Y1681" s="252"/>
      <c r="Z1681" s="252"/>
    </row>
    <row r="1682" ht="33.75" customHeight="1">
      <c r="A1682" s="11" t="s">
        <v>2394</v>
      </c>
      <c r="B1682" s="22" t="s">
        <v>81</v>
      </c>
      <c r="C1682" s="11" t="s">
        <v>2395</v>
      </c>
      <c r="D1682" s="36" t="s">
        <v>2396</v>
      </c>
      <c r="E1682" s="64">
        <v>46084.0</v>
      </c>
      <c r="F1682" s="14" t="s">
        <v>1133</v>
      </c>
      <c r="G1682" s="178">
        <v>5000.0</v>
      </c>
      <c r="H1682" s="16">
        <v>3378.0</v>
      </c>
      <c r="I1682" s="17">
        <f t="shared" si="51"/>
        <v>1622</v>
      </c>
      <c r="J1682" s="39" t="s">
        <v>2397</v>
      </c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  <c r="W1682" s="26"/>
      <c r="X1682" s="26"/>
      <c r="Y1682" s="26"/>
      <c r="Z1682" s="26"/>
    </row>
    <row r="1683" ht="33.75" customHeight="1">
      <c r="A1683" s="11" t="s">
        <v>2398</v>
      </c>
      <c r="B1683" s="22" t="s">
        <v>81</v>
      </c>
      <c r="C1683" s="11" t="s">
        <v>2395</v>
      </c>
      <c r="D1683" s="36" t="s">
        <v>2396</v>
      </c>
      <c r="E1683" s="64">
        <v>46084.0</v>
      </c>
      <c r="F1683" s="14" t="s">
        <v>1133</v>
      </c>
      <c r="G1683" s="178">
        <v>10000.0</v>
      </c>
      <c r="H1683" s="16">
        <v>7413.0</v>
      </c>
      <c r="I1683" s="17">
        <f t="shared" si="51"/>
        <v>2587</v>
      </c>
      <c r="J1683" s="39" t="s">
        <v>2397</v>
      </c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  <c r="W1683" s="26"/>
      <c r="X1683" s="26"/>
      <c r="Y1683" s="26"/>
      <c r="Z1683" s="26"/>
    </row>
    <row r="1684" ht="33.75" customHeight="1">
      <c r="A1684" s="11" t="s">
        <v>2219</v>
      </c>
      <c r="B1684" s="22" t="s">
        <v>81</v>
      </c>
      <c r="C1684" s="11" t="s">
        <v>2395</v>
      </c>
      <c r="D1684" s="36" t="s">
        <v>2396</v>
      </c>
      <c r="E1684" s="64">
        <v>46085.0</v>
      </c>
      <c r="F1684" s="14" t="s">
        <v>1133</v>
      </c>
      <c r="G1684" s="178">
        <v>10000.0</v>
      </c>
      <c r="H1684" s="16">
        <v>4091.0</v>
      </c>
      <c r="I1684" s="17">
        <f t="shared" si="51"/>
        <v>5909</v>
      </c>
      <c r="J1684" s="39" t="s">
        <v>2397</v>
      </c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  <c r="W1684" s="26"/>
      <c r="X1684" s="26"/>
      <c r="Y1684" s="26"/>
      <c r="Z1684" s="26"/>
    </row>
    <row r="1685" ht="33.75" customHeight="1">
      <c r="A1685" s="11" t="s">
        <v>2220</v>
      </c>
      <c r="B1685" s="22" t="s">
        <v>81</v>
      </c>
      <c r="C1685" s="11" t="s">
        <v>2395</v>
      </c>
      <c r="D1685" s="36" t="s">
        <v>2396</v>
      </c>
      <c r="E1685" s="64">
        <v>46085.0</v>
      </c>
      <c r="F1685" s="14" t="s">
        <v>1133</v>
      </c>
      <c r="G1685" s="178">
        <v>10000.0</v>
      </c>
      <c r="H1685" s="16">
        <v>2023.0</v>
      </c>
      <c r="I1685" s="17">
        <f t="shared" si="51"/>
        <v>7977</v>
      </c>
      <c r="J1685" s="39" t="s">
        <v>2397</v>
      </c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  <c r="W1685" s="26"/>
      <c r="X1685" s="26"/>
      <c r="Y1685" s="26"/>
      <c r="Z1685" s="26"/>
    </row>
    <row r="1686" ht="33.75" customHeight="1">
      <c r="A1686" s="11" t="s">
        <v>2222</v>
      </c>
      <c r="B1686" s="22" t="s">
        <v>81</v>
      </c>
      <c r="C1686" s="11" t="s">
        <v>2395</v>
      </c>
      <c r="D1686" s="36" t="s">
        <v>2396</v>
      </c>
      <c r="E1686" s="64">
        <v>46085.0</v>
      </c>
      <c r="F1686" s="14" t="s">
        <v>1133</v>
      </c>
      <c r="G1686" s="178">
        <v>6660.0</v>
      </c>
      <c r="H1686" s="16">
        <v>1806.0</v>
      </c>
      <c r="I1686" s="17">
        <f t="shared" si="51"/>
        <v>4854</v>
      </c>
      <c r="J1686" s="39" t="s">
        <v>2397</v>
      </c>
      <c r="K1686" s="26"/>
      <c r="L1686" s="26"/>
      <c r="M1686" s="26"/>
      <c r="N1686" s="26"/>
      <c r="O1686" s="26"/>
      <c r="P1686" s="26"/>
      <c r="Q1686" s="26"/>
      <c r="R1686" s="26"/>
      <c r="S1686" s="26"/>
      <c r="T1686" s="26"/>
      <c r="U1686" s="26"/>
      <c r="V1686" s="26"/>
      <c r="W1686" s="26"/>
      <c r="X1686" s="26"/>
      <c r="Y1686" s="26"/>
      <c r="Z1686" s="26"/>
    </row>
    <row r="1687" ht="33.75" customHeight="1">
      <c r="A1687" s="11" t="s">
        <v>2399</v>
      </c>
      <c r="B1687" s="22" t="s">
        <v>81</v>
      </c>
      <c r="C1687" s="11" t="s">
        <v>2395</v>
      </c>
      <c r="D1687" s="36" t="s">
        <v>2396</v>
      </c>
      <c r="E1687" s="64">
        <v>46085.0</v>
      </c>
      <c r="F1687" s="14" t="s">
        <v>1133</v>
      </c>
      <c r="G1687" s="178">
        <v>5000.0</v>
      </c>
      <c r="H1687" s="16">
        <v>1472.0</v>
      </c>
      <c r="I1687" s="17">
        <f t="shared" si="51"/>
        <v>3528</v>
      </c>
      <c r="J1687" s="39" t="s">
        <v>2397</v>
      </c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  <c r="W1687" s="26"/>
      <c r="X1687" s="26"/>
      <c r="Y1687" s="26"/>
      <c r="Z1687" s="26"/>
    </row>
    <row r="1688" ht="33.75" customHeight="1">
      <c r="A1688" s="11" t="s">
        <v>2400</v>
      </c>
      <c r="B1688" s="22" t="s">
        <v>81</v>
      </c>
      <c r="C1688" s="11" t="s">
        <v>2395</v>
      </c>
      <c r="D1688" s="36" t="s">
        <v>2396</v>
      </c>
      <c r="E1688" s="64">
        <v>46085.0</v>
      </c>
      <c r="F1688" s="14" t="s">
        <v>1133</v>
      </c>
      <c r="G1688" s="178">
        <v>4000.0</v>
      </c>
      <c r="H1688" s="16">
        <v>1614.0</v>
      </c>
      <c r="I1688" s="17">
        <f t="shared" si="51"/>
        <v>2386</v>
      </c>
      <c r="J1688" s="39" t="s">
        <v>2397</v>
      </c>
      <c r="K1688" s="26"/>
      <c r="L1688" s="26"/>
      <c r="M1688" s="26"/>
      <c r="N1688" s="26"/>
      <c r="O1688" s="26"/>
      <c r="P1688" s="26"/>
      <c r="Q1688" s="26"/>
      <c r="R1688" s="26"/>
      <c r="S1688" s="26"/>
      <c r="T1688" s="26"/>
      <c r="U1688" s="26"/>
      <c r="V1688" s="26"/>
      <c r="W1688" s="26"/>
      <c r="X1688" s="26"/>
      <c r="Y1688" s="26"/>
      <c r="Z1688" s="26"/>
    </row>
    <row r="1689" ht="33.75" customHeight="1">
      <c r="A1689" s="11" t="s">
        <v>2401</v>
      </c>
      <c r="B1689" s="22" t="s">
        <v>81</v>
      </c>
      <c r="C1689" s="11" t="s">
        <v>2395</v>
      </c>
      <c r="D1689" s="36" t="s">
        <v>2396</v>
      </c>
      <c r="E1689" s="64">
        <v>46085.0</v>
      </c>
      <c r="F1689" s="14" t="s">
        <v>1133</v>
      </c>
      <c r="G1689" s="178">
        <v>5000.0</v>
      </c>
      <c r="H1689" s="16">
        <v>1389.0</v>
      </c>
      <c r="I1689" s="17">
        <f t="shared" si="51"/>
        <v>3611</v>
      </c>
      <c r="J1689" s="39" t="s">
        <v>2397</v>
      </c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  <c r="W1689" s="26"/>
      <c r="X1689" s="26"/>
      <c r="Y1689" s="26"/>
      <c r="Z1689" s="26"/>
    </row>
    <row r="1690" ht="33.75" customHeight="1">
      <c r="A1690" s="11" t="s">
        <v>2402</v>
      </c>
      <c r="B1690" s="22" t="s">
        <v>81</v>
      </c>
      <c r="C1690" s="11" t="s">
        <v>2395</v>
      </c>
      <c r="D1690" s="36" t="s">
        <v>2396</v>
      </c>
      <c r="E1690" s="64">
        <v>46085.0</v>
      </c>
      <c r="F1690" s="14" t="s">
        <v>1133</v>
      </c>
      <c r="G1690" s="178">
        <v>8000.0</v>
      </c>
      <c r="H1690" s="16">
        <f>2117+2100</f>
        <v>4217</v>
      </c>
      <c r="I1690" s="17">
        <f t="shared" si="51"/>
        <v>3783</v>
      </c>
      <c r="J1690" s="39" t="s">
        <v>2397</v>
      </c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  <c r="W1690" s="26"/>
      <c r="X1690" s="26"/>
      <c r="Y1690" s="26"/>
      <c r="Z1690" s="26"/>
    </row>
    <row r="1691" ht="33.75" customHeight="1">
      <c r="A1691" s="11" t="s">
        <v>2403</v>
      </c>
      <c r="B1691" s="22" t="s">
        <v>81</v>
      </c>
      <c r="C1691" s="11" t="s">
        <v>2404</v>
      </c>
      <c r="D1691" s="36" t="s">
        <v>2405</v>
      </c>
      <c r="E1691" s="64">
        <v>46085.0</v>
      </c>
      <c r="F1691" s="14" t="s">
        <v>1133</v>
      </c>
      <c r="G1691" s="178">
        <v>8000.0</v>
      </c>
      <c r="H1691" s="28">
        <f>3430+3396</f>
        <v>6826</v>
      </c>
      <c r="I1691" s="17">
        <f t="shared" si="51"/>
        <v>1174</v>
      </c>
      <c r="J1691" s="39" t="s">
        <v>2397</v>
      </c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  <c r="W1691" s="26"/>
      <c r="X1691" s="26"/>
      <c r="Y1691" s="26"/>
      <c r="Z1691" s="26"/>
    </row>
    <row r="1692" ht="33.75" customHeight="1">
      <c r="A1692" s="11" t="s">
        <v>2406</v>
      </c>
      <c r="B1692" s="22" t="s">
        <v>81</v>
      </c>
      <c r="C1692" s="11" t="s">
        <v>2404</v>
      </c>
      <c r="D1692" s="36" t="s">
        <v>2405</v>
      </c>
      <c r="E1692" s="64">
        <v>46085.0</v>
      </c>
      <c r="F1692" s="14" t="s">
        <v>1133</v>
      </c>
      <c r="G1692" s="178">
        <v>7000.0</v>
      </c>
      <c r="H1692" s="28">
        <f>2199+2079</f>
        <v>4278</v>
      </c>
      <c r="I1692" s="17">
        <f t="shared" si="51"/>
        <v>2722</v>
      </c>
      <c r="J1692" s="39" t="s">
        <v>2397</v>
      </c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  <c r="W1692" s="26"/>
      <c r="X1692" s="26"/>
      <c r="Y1692" s="26"/>
      <c r="Z1692" s="26"/>
    </row>
    <row r="1693" ht="33.75" customHeight="1">
      <c r="A1693" s="11" t="s">
        <v>2407</v>
      </c>
      <c r="B1693" s="22" t="s">
        <v>81</v>
      </c>
      <c r="C1693" s="11" t="s">
        <v>2404</v>
      </c>
      <c r="D1693" s="36" t="s">
        <v>2405</v>
      </c>
      <c r="E1693" s="64">
        <v>46085.0</v>
      </c>
      <c r="F1693" s="14" t="s">
        <v>1133</v>
      </c>
      <c r="G1693" s="178">
        <v>8000.0</v>
      </c>
      <c r="H1693" s="28">
        <f>3545+3590
</f>
        <v>7135</v>
      </c>
      <c r="I1693" s="17">
        <f t="shared" si="51"/>
        <v>865</v>
      </c>
      <c r="J1693" s="39" t="s">
        <v>2397</v>
      </c>
      <c r="K1693" s="26"/>
      <c r="L1693" s="26"/>
      <c r="M1693" s="26"/>
      <c r="N1693" s="26"/>
      <c r="O1693" s="26"/>
      <c r="P1693" s="26"/>
      <c r="Q1693" s="26"/>
      <c r="R1693" s="26"/>
      <c r="S1693" s="26"/>
      <c r="T1693" s="26"/>
      <c r="U1693" s="26"/>
      <c r="V1693" s="26"/>
      <c r="W1693" s="26"/>
      <c r="X1693" s="26"/>
      <c r="Y1693" s="26"/>
      <c r="Z1693" s="26"/>
    </row>
    <row r="1694" ht="33.75" customHeight="1">
      <c r="A1694" s="11" t="s">
        <v>2408</v>
      </c>
      <c r="B1694" s="22" t="s">
        <v>81</v>
      </c>
      <c r="C1694" s="11" t="s">
        <v>2404</v>
      </c>
      <c r="D1694" s="36" t="s">
        <v>2405</v>
      </c>
      <c r="E1694" s="64">
        <v>46085.0</v>
      </c>
      <c r="F1694" s="14" t="s">
        <v>1133</v>
      </c>
      <c r="G1694" s="178">
        <v>8000.0</v>
      </c>
      <c r="H1694" s="28">
        <f>3143+1987</f>
        <v>5130</v>
      </c>
      <c r="I1694" s="17">
        <f t="shared" si="51"/>
        <v>2870</v>
      </c>
      <c r="J1694" s="39" t="s">
        <v>2397</v>
      </c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  <c r="W1694" s="26"/>
      <c r="X1694" s="26"/>
      <c r="Y1694" s="26"/>
      <c r="Z1694" s="26"/>
    </row>
    <row r="1695" ht="33.75" customHeight="1">
      <c r="A1695" s="11" t="s">
        <v>2409</v>
      </c>
      <c r="B1695" s="22" t="s">
        <v>81</v>
      </c>
      <c r="C1695" s="11" t="s">
        <v>2404</v>
      </c>
      <c r="D1695" s="36" t="s">
        <v>2405</v>
      </c>
      <c r="E1695" s="64">
        <v>46085.0</v>
      </c>
      <c r="F1695" s="14" t="s">
        <v>1133</v>
      </c>
      <c r="G1695" s="178">
        <v>5000.0</v>
      </c>
      <c r="H1695" s="16">
        <v>3127.0</v>
      </c>
      <c r="I1695" s="17">
        <f t="shared" si="51"/>
        <v>1873</v>
      </c>
      <c r="J1695" s="39" t="s">
        <v>2397</v>
      </c>
      <c r="K1695" s="26"/>
      <c r="L1695" s="26"/>
      <c r="M1695" s="26"/>
      <c r="N1695" s="26"/>
      <c r="O1695" s="26"/>
      <c r="P1695" s="26"/>
      <c r="Q1695" s="26"/>
      <c r="R1695" s="26"/>
      <c r="S1695" s="26"/>
      <c r="T1695" s="26"/>
      <c r="U1695" s="26"/>
      <c r="V1695" s="26"/>
      <c r="W1695" s="26"/>
      <c r="X1695" s="26"/>
      <c r="Y1695" s="26"/>
      <c r="Z1695" s="26"/>
    </row>
    <row r="1696" ht="33.75" customHeight="1">
      <c r="A1696" s="11" t="s">
        <v>2410</v>
      </c>
      <c r="B1696" s="22" t="s">
        <v>81</v>
      </c>
      <c r="C1696" s="11" t="s">
        <v>2404</v>
      </c>
      <c r="D1696" s="36" t="s">
        <v>2405</v>
      </c>
      <c r="E1696" s="64">
        <v>46085.0</v>
      </c>
      <c r="F1696" s="14" t="s">
        <v>1133</v>
      </c>
      <c r="G1696" s="178">
        <v>5000.0</v>
      </c>
      <c r="H1696" s="16">
        <v>3825.0</v>
      </c>
      <c r="I1696" s="17">
        <f t="shared" si="51"/>
        <v>1175</v>
      </c>
      <c r="J1696" s="39" t="s">
        <v>2397</v>
      </c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  <c r="W1696" s="26"/>
      <c r="X1696" s="26"/>
      <c r="Y1696" s="26"/>
      <c r="Z1696" s="26"/>
    </row>
    <row r="1697" ht="33.75" customHeight="1">
      <c r="A1697" s="11" t="s">
        <v>2411</v>
      </c>
      <c r="B1697" s="22" t="s">
        <v>81</v>
      </c>
      <c r="C1697" s="11" t="s">
        <v>2404</v>
      </c>
      <c r="D1697" s="36" t="s">
        <v>2405</v>
      </c>
      <c r="E1697" s="64">
        <v>46085.0</v>
      </c>
      <c r="F1697" s="14" t="s">
        <v>1133</v>
      </c>
      <c r="G1697" s="178">
        <v>10000.0</v>
      </c>
      <c r="H1697" s="16">
        <v>5183.0</v>
      </c>
      <c r="I1697" s="17">
        <f t="shared" si="51"/>
        <v>4817</v>
      </c>
      <c r="J1697" s="39" t="s">
        <v>2397</v>
      </c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  <c r="W1697" s="26"/>
      <c r="X1697" s="26"/>
      <c r="Y1697" s="26"/>
      <c r="Z1697" s="26"/>
    </row>
    <row r="1698" ht="33.75" customHeight="1">
      <c r="A1698" s="11" t="s">
        <v>77</v>
      </c>
      <c r="B1698" s="22" t="s">
        <v>85</v>
      </c>
      <c r="C1698" s="11" t="s">
        <v>2412</v>
      </c>
      <c r="D1698" s="11" t="s">
        <v>2413</v>
      </c>
      <c r="E1698" s="64">
        <v>46085.0</v>
      </c>
      <c r="F1698" s="14" t="s">
        <v>1141</v>
      </c>
      <c r="G1698" s="178">
        <v>35000.0</v>
      </c>
      <c r="H1698" s="16">
        <v>23409.0</v>
      </c>
      <c r="I1698" s="17">
        <f t="shared" si="51"/>
        <v>11591</v>
      </c>
      <c r="J1698" s="39" t="s">
        <v>2397</v>
      </c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6"/>
    </row>
    <row r="1699" ht="33.75" customHeight="1">
      <c r="A1699" s="11" t="s">
        <v>1533</v>
      </c>
      <c r="B1699" s="22" t="s">
        <v>85</v>
      </c>
      <c r="C1699" s="11" t="s">
        <v>2005</v>
      </c>
      <c r="D1699" s="74"/>
      <c r="E1699" s="64">
        <v>46085.0</v>
      </c>
      <c r="F1699" s="14" t="s">
        <v>17</v>
      </c>
      <c r="G1699" s="178">
        <v>1014.0</v>
      </c>
      <c r="H1699" s="16">
        <v>913.0</v>
      </c>
      <c r="I1699" s="17">
        <f t="shared" si="51"/>
        <v>101</v>
      </c>
      <c r="J1699" s="17" t="s">
        <v>1</v>
      </c>
      <c r="K1699" s="252"/>
      <c r="L1699" s="252"/>
      <c r="M1699" s="252"/>
      <c r="N1699" s="252"/>
      <c r="O1699" s="252"/>
      <c r="P1699" s="252"/>
      <c r="Q1699" s="252"/>
      <c r="R1699" s="252"/>
      <c r="S1699" s="252"/>
      <c r="T1699" s="252"/>
      <c r="U1699" s="252"/>
      <c r="V1699" s="252"/>
      <c r="W1699" s="252"/>
      <c r="X1699" s="252"/>
      <c r="Y1699" s="252"/>
      <c r="Z1699" s="252"/>
    </row>
    <row r="1700" ht="33.75" customHeight="1">
      <c r="A1700" s="11" t="s">
        <v>2414</v>
      </c>
      <c r="B1700" s="22" t="s">
        <v>85</v>
      </c>
      <c r="C1700" s="11" t="s">
        <v>2415</v>
      </c>
      <c r="D1700" s="74" t="s">
        <v>2416</v>
      </c>
      <c r="E1700" s="64">
        <v>46085.0</v>
      </c>
      <c r="F1700" s="14" t="s">
        <v>1191</v>
      </c>
      <c r="G1700" s="178">
        <v>3333.0</v>
      </c>
      <c r="H1700" s="16">
        <v>1865.0</v>
      </c>
      <c r="I1700" s="17">
        <f t="shared" si="51"/>
        <v>1468</v>
      </c>
      <c r="J1700" s="17" t="s">
        <v>1</v>
      </c>
      <c r="K1700" s="252"/>
      <c r="L1700" s="252"/>
      <c r="M1700" s="252"/>
      <c r="N1700" s="252"/>
      <c r="O1700" s="252"/>
      <c r="P1700" s="252"/>
      <c r="Q1700" s="252"/>
      <c r="R1700" s="252"/>
      <c r="S1700" s="252"/>
      <c r="T1700" s="252"/>
      <c r="U1700" s="252"/>
      <c r="V1700" s="252"/>
      <c r="W1700" s="252"/>
      <c r="X1700" s="252"/>
      <c r="Y1700" s="252"/>
      <c r="Z1700" s="252"/>
    </row>
    <row r="1701" ht="33.75" customHeight="1">
      <c r="A1701" s="11" t="s">
        <v>2038</v>
      </c>
      <c r="B1701" s="22" t="s">
        <v>88</v>
      </c>
      <c r="C1701" s="11" t="s">
        <v>2417</v>
      </c>
      <c r="D1701" s="74">
        <v>9.29952600211321E14</v>
      </c>
      <c r="E1701" s="64">
        <v>46085.0</v>
      </c>
      <c r="F1701" s="14" t="s">
        <v>17</v>
      </c>
      <c r="G1701" s="178">
        <v>8670.0</v>
      </c>
      <c r="H1701" s="16">
        <v>6234.0</v>
      </c>
      <c r="I1701" s="17">
        <f t="shared" si="51"/>
        <v>2436</v>
      </c>
      <c r="J1701" s="17" t="s">
        <v>1</v>
      </c>
      <c r="K1701" s="252"/>
      <c r="L1701" s="252"/>
      <c r="M1701" s="252"/>
      <c r="N1701" s="252"/>
      <c r="O1701" s="252"/>
      <c r="P1701" s="252"/>
      <c r="Q1701" s="252"/>
      <c r="R1701" s="252"/>
      <c r="S1701" s="252"/>
      <c r="T1701" s="252"/>
      <c r="U1701" s="252"/>
      <c r="V1701" s="252"/>
      <c r="W1701" s="252"/>
      <c r="X1701" s="252"/>
      <c r="Y1701" s="252"/>
      <c r="Z1701" s="252"/>
    </row>
    <row r="1702" ht="33.75" customHeight="1">
      <c r="A1702" s="11" t="s">
        <v>489</v>
      </c>
      <c r="B1702" s="22" t="s">
        <v>88</v>
      </c>
      <c r="C1702" s="11" t="s">
        <v>2418</v>
      </c>
      <c r="D1702" s="74" t="s">
        <v>2419</v>
      </c>
      <c r="E1702" s="64">
        <v>46085.0</v>
      </c>
      <c r="F1702" s="14" t="s">
        <v>1191</v>
      </c>
      <c r="G1702" s="178">
        <v>5702.0</v>
      </c>
      <c r="H1702" s="16">
        <v>5355.0</v>
      </c>
      <c r="I1702" s="17">
        <f t="shared" si="51"/>
        <v>347</v>
      </c>
      <c r="J1702" s="17" t="s">
        <v>1</v>
      </c>
      <c r="K1702" s="252"/>
      <c r="L1702" s="252"/>
      <c r="M1702" s="252"/>
      <c r="N1702" s="252"/>
      <c r="O1702" s="252"/>
      <c r="P1702" s="252"/>
      <c r="Q1702" s="252"/>
      <c r="R1702" s="252"/>
      <c r="S1702" s="252"/>
      <c r="T1702" s="252"/>
      <c r="U1702" s="252"/>
      <c r="V1702" s="252"/>
      <c r="W1702" s="252"/>
      <c r="X1702" s="252"/>
      <c r="Y1702" s="252"/>
      <c r="Z1702" s="252"/>
    </row>
    <row r="1703" ht="33.75" customHeight="1">
      <c r="A1703" s="11" t="s">
        <v>109</v>
      </c>
      <c r="B1703" s="22" t="s">
        <v>260</v>
      </c>
      <c r="C1703" s="11" t="s">
        <v>2420</v>
      </c>
      <c r="D1703" s="74" t="s">
        <v>2421</v>
      </c>
      <c r="E1703" s="64">
        <v>46085.0</v>
      </c>
      <c r="F1703" s="14" t="s">
        <v>1133</v>
      </c>
      <c r="G1703" s="27">
        <f>1990
+1650</f>
        <v>3640</v>
      </c>
      <c r="H1703" s="28">
        <f>1679+1678</f>
        <v>3357</v>
      </c>
      <c r="I1703" s="17">
        <f t="shared" si="51"/>
        <v>283</v>
      </c>
      <c r="J1703" s="17" t="s">
        <v>1</v>
      </c>
      <c r="K1703" s="252"/>
      <c r="L1703" s="252"/>
      <c r="M1703" s="252"/>
      <c r="N1703" s="252"/>
      <c r="O1703" s="252"/>
      <c r="P1703" s="252"/>
      <c r="Q1703" s="252"/>
      <c r="R1703" s="252"/>
      <c r="S1703" s="252"/>
      <c r="T1703" s="252"/>
      <c r="U1703" s="252"/>
      <c r="V1703" s="252"/>
      <c r="W1703" s="252"/>
      <c r="X1703" s="252"/>
      <c r="Y1703" s="252"/>
      <c r="Z1703" s="252"/>
    </row>
    <row r="1704" ht="33.75" customHeight="1">
      <c r="A1704" s="11" t="s">
        <v>28</v>
      </c>
      <c r="B1704" s="22" t="s">
        <v>37</v>
      </c>
      <c r="C1704" s="11" t="s">
        <v>2422</v>
      </c>
      <c r="D1704" s="74" t="s">
        <v>2423</v>
      </c>
      <c r="E1704" s="64">
        <v>46085.0</v>
      </c>
      <c r="F1704" s="14" t="s">
        <v>17</v>
      </c>
      <c r="G1704" s="15" t="s">
        <v>336</v>
      </c>
      <c r="H1704" s="16">
        <v>9324.0</v>
      </c>
      <c r="I1704" s="17">
        <f t="shared" si="51"/>
        <v>1676</v>
      </c>
      <c r="J1704" s="17" t="s">
        <v>1</v>
      </c>
      <c r="K1704" s="252"/>
      <c r="L1704" s="252"/>
      <c r="M1704" s="252"/>
      <c r="N1704" s="252"/>
      <c r="O1704" s="252"/>
      <c r="P1704" s="252"/>
      <c r="Q1704" s="252"/>
      <c r="R1704" s="252"/>
      <c r="S1704" s="252"/>
      <c r="T1704" s="252"/>
      <c r="U1704" s="252"/>
      <c r="V1704" s="252"/>
      <c r="W1704" s="252"/>
      <c r="X1704" s="252"/>
      <c r="Y1704" s="252"/>
      <c r="Z1704" s="252"/>
    </row>
    <row r="1705" ht="33.75" customHeight="1">
      <c r="A1705" s="11" t="s">
        <v>1587</v>
      </c>
      <c r="B1705" s="22" t="s">
        <v>85</v>
      </c>
      <c r="C1705" s="11" t="s">
        <v>2424</v>
      </c>
      <c r="D1705" s="74"/>
      <c r="E1705" s="64">
        <v>46085.0</v>
      </c>
      <c r="F1705" s="14" t="s">
        <v>17</v>
      </c>
      <c r="G1705" s="15" t="s">
        <v>2425</v>
      </c>
      <c r="H1705" s="16">
        <v>38559.0</v>
      </c>
      <c r="I1705" s="17">
        <f t="shared" si="51"/>
        <v>18848</v>
      </c>
      <c r="J1705" s="220" t="s">
        <v>1</v>
      </c>
      <c r="K1705" s="221"/>
      <c r="L1705" s="221"/>
      <c r="M1705" s="221"/>
      <c r="N1705" s="221"/>
      <c r="O1705" s="221"/>
      <c r="P1705" s="221"/>
      <c r="Q1705" s="221"/>
      <c r="R1705" s="221"/>
      <c r="S1705" s="221"/>
      <c r="T1705" s="221"/>
      <c r="U1705" s="221"/>
      <c r="V1705" s="221"/>
      <c r="W1705" s="221"/>
      <c r="X1705" s="221"/>
      <c r="Y1705" s="221"/>
      <c r="Z1705" s="221"/>
    </row>
    <row r="1706" ht="33.75" customHeight="1">
      <c r="A1706" s="11" t="s">
        <v>1587</v>
      </c>
      <c r="B1706" s="22" t="s">
        <v>88</v>
      </c>
      <c r="C1706" s="11" t="s">
        <v>2426</v>
      </c>
      <c r="D1706" s="74">
        <v>2.71789960525453E15</v>
      </c>
      <c r="E1706" s="64">
        <v>46085.0</v>
      </c>
      <c r="F1706" s="14" t="s">
        <v>17</v>
      </c>
      <c r="G1706" s="15" t="s">
        <v>272</v>
      </c>
      <c r="H1706" s="16">
        <v>35312.0</v>
      </c>
      <c r="I1706" s="17">
        <f t="shared" si="51"/>
        <v>14688</v>
      </c>
      <c r="J1706" s="220" t="s">
        <v>1</v>
      </c>
      <c r="K1706" s="221"/>
      <c r="L1706" s="221"/>
      <c r="M1706" s="221"/>
      <c r="N1706" s="221"/>
      <c r="O1706" s="221"/>
      <c r="P1706" s="221"/>
      <c r="Q1706" s="221"/>
      <c r="R1706" s="221"/>
      <c r="S1706" s="221"/>
      <c r="T1706" s="221"/>
      <c r="U1706" s="221"/>
      <c r="V1706" s="221"/>
      <c r="W1706" s="221"/>
      <c r="X1706" s="221"/>
      <c r="Y1706" s="221"/>
      <c r="Z1706" s="221"/>
    </row>
    <row r="1707" ht="33.75" customHeight="1">
      <c r="A1707" s="11" t="s">
        <v>1587</v>
      </c>
      <c r="B1707" s="22" t="s">
        <v>31</v>
      </c>
      <c r="C1707" s="11" t="s">
        <v>2427</v>
      </c>
      <c r="D1707" s="11" t="s">
        <v>2428</v>
      </c>
      <c r="E1707" s="64">
        <v>46085.0</v>
      </c>
      <c r="F1707" s="14" t="s">
        <v>17</v>
      </c>
      <c r="G1707" s="15" t="s">
        <v>272</v>
      </c>
      <c r="H1707" s="16">
        <v>26055.0</v>
      </c>
      <c r="I1707" s="17">
        <f t="shared" si="51"/>
        <v>23945</v>
      </c>
      <c r="J1707" s="220" t="s">
        <v>1</v>
      </c>
      <c r="K1707" s="221"/>
      <c r="L1707" s="221"/>
      <c r="M1707" s="221"/>
      <c r="N1707" s="221"/>
      <c r="O1707" s="221"/>
      <c r="P1707" s="221"/>
      <c r="Q1707" s="221"/>
      <c r="R1707" s="221"/>
      <c r="S1707" s="221"/>
      <c r="T1707" s="221"/>
      <c r="U1707" s="221"/>
      <c r="V1707" s="221"/>
      <c r="W1707" s="221"/>
      <c r="X1707" s="221"/>
      <c r="Y1707" s="221"/>
      <c r="Z1707" s="221"/>
    </row>
    <row r="1708" ht="33.75" customHeight="1">
      <c r="A1708" s="11" t="s">
        <v>489</v>
      </c>
      <c r="B1708" s="22" t="s">
        <v>2429</v>
      </c>
      <c r="C1708" s="11" t="s">
        <v>2430</v>
      </c>
      <c r="D1708" s="74" t="s">
        <v>2419</v>
      </c>
      <c r="E1708" s="64">
        <v>46085.0</v>
      </c>
      <c r="F1708" s="14" t="s">
        <v>17</v>
      </c>
      <c r="G1708" s="15" t="s">
        <v>21</v>
      </c>
      <c r="H1708" s="16">
        <v>8623.0</v>
      </c>
      <c r="I1708" s="17">
        <f t="shared" si="51"/>
        <v>1377</v>
      </c>
      <c r="J1708" s="17" t="s">
        <v>1</v>
      </c>
      <c r="K1708" s="252"/>
      <c r="L1708" s="252"/>
      <c r="M1708" s="252"/>
      <c r="N1708" s="252"/>
      <c r="O1708" s="252"/>
      <c r="P1708" s="252"/>
      <c r="Q1708" s="252"/>
      <c r="R1708" s="252"/>
      <c r="S1708" s="252"/>
      <c r="T1708" s="252"/>
      <c r="U1708" s="252"/>
      <c r="V1708" s="252"/>
      <c r="W1708" s="252"/>
      <c r="X1708" s="252"/>
      <c r="Y1708" s="252"/>
      <c r="Z1708" s="252"/>
    </row>
    <row r="1709" ht="33.75" customHeight="1">
      <c r="A1709" s="11" t="s">
        <v>1496</v>
      </c>
      <c r="B1709" s="22" t="s">
        <v>2431</v>
      </c>
      <c r="C1709" s="11" t="s">
        <v>2295</v>
      </c>
      <c r="D1709" s="74"/>
      <c r="E1709" s="64">
        <v>46085.0</v>
      </c>
      <c r="F1709" s="14" t="s">
        <v>17</v>
      </c>
      <c r="G1709" s="15" t="s">
        <v>2432</v>
      </c>
      <c r="H1709" s="16">
        <v>12391.0</v>
      </c>
      <c r="I1709" s="17">
        <f t="shared" si="51"/>
        <v>2328</v>
      </c>
      <c r="J1709" s="17" t="s">
        <v>1</v>
      </c>
      <c r="K1709" s="252"/>
      <c r="L1709" s="252"/>
      <c r="M1709" s="252"/>
      <c r="N1709" s="252"/>
      <c r="O1709" s="252"/>
      <c r="P1709" s="252"/>
      <c r="Q1709" s="252"/>
      <c r="R1709" s="252"/>
      <c r="S1709" s="252"/>
      <c r="T1709" s="252"/>
      <c r="U1709" s="252"/>
      <c r="V1709" s="252"/>
      <c r="W1709" s="252"/>
      <c r="X1709" s="252"/>
      <c r="Y1709" s="252"/>
      <c r="Z1709" s="252"/>
    </row>
    <row r="1710" ht="33.75" customHeight="1">
      <c r="A1710" s="11" t="s">
        <v>1987</v>
      </c>
      <c r="B1710" s="22" t="s">
        <v>161</v>
      </c>
      <c r="C1710" s="11" t="s">
        <v>2386</v>
      </c>
      <c r="D1710" s="74">
        <v>1.59666135500025E15</v>
      </c>
      <c r="E1710" s="64">
        <v>46085.0</v>
      </c>
      <c r="F1710" s="14" t="s">
        <v>1191</v>
      </c>
      <c r="G1710" s="15" t="s">
        <v>2433</v>
      </c>
      <c r="H1710" s="16">
        <v>21640.0</v>
      </c>
      <c r="I1710" s="17">
        <f t="shared" si="51"/>
        <v>3250</v>
      </c>
      <c r="J1710" s="17" t="s">
        <v>1</v>
      </c>
      <c r="K1710" s="252"/>
      <c r="L1710" s="252"/>
      <c r="M1710" s="252"/>
      <c r="N1710" s="252"/>
      <c r="O1710" s="252"/>
      <c r="P1710" s="252"/>
      <c r="Q1710" s="252"/>
      <c r="R1710" s="252"/>
      <c r="S1710" s="252"/>
      <c r="T1710" s="252"/>
      <c r="U1710" s="252"/>
      <c r="V1710" s="252"/>
      <c r="W1710" s="252"/>
      <c r="X1710" s="252"/>
      <c r="Y1710" s="252"/>
      <c r="Z1710" s="252"/>
    </row>
    <row r="1711" ht="33.75" customHeight="1">
      <c r="A1711" s="11" t="s">
        <v>2387</v>
      </c>
      <c r="B1711" s="22" t="s">
        <v>34</v>
      </c>
      <c r="C1711" s="11" t="s">
        <v>2389</v>
      </c>
      <c r="D1711" s="74">
        <v>7.53987530911922E14</v>
      </c>
      <c r="E1711" s="64">
        <v>46085.0</v>
      </c>
      <c r="F1711" s="14" t="s">
        <v>17</v>
      </c>
      <c r="G1711" s="15" t="s">
        <v>2434</v>
      </c>
      <c r="H1711" s="16">
        <v>2874.0</v>
      </c>
      <c r="I1711" s="17">
        <f t="shared" si="51"/>
        <v>2048</v>
      </c>
      <c r="J1711" s="17" t="s">
        <v>1</v>
      </c>
      <c r="K1711" s="252"/>
      <c r="L1711" s="252"/>
      <c r="M1711" s="252"/>
      <c r="N1711" s="252"/>
      <c r="O1711" s="252"/>
      <c r="P1711" s="252"/>
      <c r="Q1711" s="252"/>
      <c r="R1711" s="252"/>
      <c r="S1711" s="252"/>
      <c r="T1711" s="252"/>
      <c r="U1711" s="252"/>
      <c r="V1711" s="252"/>
      <c r="W1711" s="252"/>
      <c r="X1711" s="252"/>
      <c r="Y1711" s="252"/>
      <c r="Z1711" s="252"/>
    </row>
    <row r="1712" ht="33.75" customHeight="1">
      <c r="A1712" s="11" t="s">
        <v>1587</v>
      </c>
      <c r="B1712" s="22" t="s">
        <v>34</v>
      </c>
      <c r="C1712" s="11" t="s">
        <v>2435</v>
      </c>
      <c r="D1712" s="74" t="s">
        <v>2436</v>
      </c>
      <c r="E1712" s="64">
        <v>46085.0</v>
      </c>
      <c r="F1712" s="14" t="s">
        <v>287</v>
      </c>
      <c r="G1712" s="15" t="s">
        <v>272</v>
      </c>
      <c r="H1712" s="16">
        <v>27701.0</v>
      </c>
      <c r="I1712" s="17">
        <f t="shared" si="51"/>
        <v>22299</v>
      </c>
      <c r="J1712" s="17" t="s">
        <v>1</v>
      </c>
      <c r="K1712" s="252"/>
      <c r="L1712" s="252"/>
      <c r="M1712" s="252"/>
      <c r="N1712" s="252"/>
      <c r="O1712" s="252"/>
      <c r="P1712" s="252"/>
      <c r="Q1712" s="252"/>
      <c r="R1712" s="252"/>
      <c r="S1712" s="252"/>
      <c r="T1712" s="252"/>
      <c r="U1712" s="252"/>
      <c r="V1712" s="252"/>
      <c r="W1712" s="252"/>
      <c r="X1712" s="252"/>
      <c r="Y1712" s="252"/>
      <c r="Z1712" s="252"/>
    </row>
    <row r="1713" ht="33.75" customHeight="1">
      <c r="A1713" s="11" t="s">
        <v>1587</v>
      </c>
      <c r="B1713" s="22" t="s">
        <v>15</v>
      </c>
      <c r="C1713" s="11" t="s">
        <v>2437</v>
      </c>
      <c r="D1713" s="74">
        <v>8.89173794208773E14</v>
      </c>
      <c r="E1713" s="64">
        <v>46085.0</v>
      </c>
      <c r="F1713" s="14" t="s">
        <v>287</v>
      </c>
      <c r="G1713" s="15" t="s">
        <v>272</v>
      </c>
      <c r="H1713" s="16">
        <v>27653.0</v>
      </c>
      <c r="I1713" s="17">
        <f t="shared" si="51"/>
        <v>22347</v>
      </c>
      <c r="J1713" s="17" t="s">
        <v>1</v>
      </c>
      <c r="K1713" s="252"/>
      <c r="L1713" s="252"/>
      <c r="M1713" s="252"/>
      <c r="N1713" s="252"/>
      <c r="O1713" s="252"/>
      <c r="P1713" s="252"/>
      <c r="Q1713" s="252"/>
      <c r="R1713" s="252"/>
      <c r="S1713" s="252"/>
      <c r="T1713" s="252"/>
      <c r="U1713" s="252"/>
      <c r="V1713" s="252"/>
      <c r="W1713" s="252"/>
      <c r="X1713" s="252"/>
      <c r="Y1713" s="252"/>
      <c r="Z1713" s="252"/>
    </row>
    <row r="1714" ht="33.75" customHeight="1">
      <c r="A1714" s="11" t="s">
        <v>2376</v>
      </c>
      <c r="B1714" s="22" t="s">
        <v>323</v>
      </c>
      <c r="C1714" s="11" t="s">
        <v>2377</v>
      </c>
      <c r="D1714" s="11" t="s">
        <v>2378</v>
      </c>
      <c r="E1714" s="64">
        <v>46085.0</v>
      </c>
      <c r="F1714" s="14" t="s">
        <v>1133</v>
      </c>
      <c r="G1714" s="233">
        <f>2200+1823</f>
        <v>4023</v>
      </c>
      <c r="H1714" s="16">
        <v>3913.0</v>
      </c>
      <c r="I1714" s="17">
        <f t="shared" si="51"/>
        <v>110</v>
      </c>
      <c r="J1714" s="17" t="s">
        <v>1</v>
      </c>
      <c r="K1714" s="252"/>
      <c r="L1714" s="252"/>
      <c r="M1714" s="252"/>
      <c r="N1714" s="252"/>
      <c r="O1714" s="252"/>
      <c r="P1714" s="252"/>
      <c r="Q1714" s="252"/>
      <c r="R1714" s="252"/>
      <c r="S1714" s="252"/>
      <c r="T1714" s="252"/>
      <c r="U1714" s="252"/>
      <c r="V1714" s="252"/>
      <c r="W1714" s="252"/>
      <c r="X1714" s="252"/>
      <c r="Y1714" s="252"/>
      <c r="Z1714" s="252"/>
    </row>
    <row r="1715" ht="33.75" customHeight="1">
      <c r="A1715" s="11" t="s">
        <v>135</v>
      </c>
      <c r="B1715" s="22" t="s">
        <v>34</v>
      </c>
      <c r="C1715" s="11" t="s">
        <v>2385</v>
      </c>
      <c r="D1715" s="11"/>
      <c r="E1715" s="64">
        <v>46085.0</v>
      </c>
      <c r="F1715" s="14" t="s">
        <v>1133</v>
      </c>
      <c r="G1715" s="178">
        <v>22068.0</v>
      </c>
      <c r="H1715" s="16">
        <v>20452.0</v>
      </c>
      <c r="I1715" s="17">
        <f t="shared" si="51"/>
        <v>1616</v>
      </c>
      <c r="J1715" s="17" t="s">
        <v>1</v>
      </c>
      <c r="K1715" s="252"/>
      <c r="L1715" s="252"/>
      <c r="M1715" s="252"/>
      <c r="N1715" s="252"/>
      <c r="O1715" s="252"/>
      <c r="P1715" s="252"/>
      <c r="Q1715" s="252"/>
      <c r="R1715" s="252"/>
      <c r="S1715" s="252"/>
      <c r="T1715" s="252"/>
      <c r="U1715" s="252"/>
      <c r="V1715" s="252"/>
      <c r="W1715" s="252"/>
      <c r="X1715" s="252"/>
      <c r="Y1715" s="252"/>
      <c r="Z1715" s="252"/>
    </row>
    <row r="1716" ht="33.75" customHeight="1">
      <c r="A1716" s="11" t="s">
        <v>469</v>
      </c>
      <c r="B1716" s="22" t="s">
        <v>140</v>
      </c>
      <c r="C1716" s="11" t="s">
        <v>2438</v>
      </c>
      <c r="D1716" s="74" t="s">
        <v>2439</v>
      </c>
      <c r="E1716" s="64">
        <v>46085.0</v>
      </c>
      <c r="F1716" s="14" t="s">
        <v>287</v>
      </c>
      <c r="G1716" s="178">
        <v>9437.0</v>
      </c>
      <c r="H1716" s="16">
        <v>7453.0</v>
      </c>
      <c r="I1716" s="17">
        <f t="shared" si="51"/>
        <v>1984</v>
      </c>
      <c r="J1716" s="25" t="s">
        <v>1</v>
      </c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  <c r="W1716" s="26"/>
      <c r="X1716" s="26"/>
      <c r="Y1716" s="26"/>
      <c r="Z1716" s="26"/>
    </row>
    <row r="1717" ht="33.75" customHeight="1">
      <c r="A1717" s="44"/>
      <c r="B1717" s="45"/>
      <c r="C1717" s="44"/>
      <c r="D1717" s="11"/>
      <c r="E1717" s="22"/>
      <c r="F1717" s="11"/>
      <c r="G1717" s="11"/>
      <c r="H1717" s="76"/>
      <c r="I1717" s="14"/>
      <c r="J1717" s="328"/>
      <c r="K1717" s="252"/>
      <c r="L1717" s="252"/>
      <c r="M1717" s="252"/>
      <c r="N1717" s="252"/>
      <c r="O1717" s="252"/>
      <c r="P1717" s="252"/>
      <c r="Q1717" s="252"/>
      <c r="R1717" s="252"/>
      <c r="S1717" s="252"/>
      <c r="T1717" s="252"/>
      <c r="U1717" s="252"/>
      <c r="V1717" s="252"/>
      <c r="W1717" s="252"/>
      <c r="X1717" s="252"/>
      <c r="Y1717" s="252"/>
      <c r="Z1717" s="252"/>
    </row>
    <row r="1718" ht="33.75" customHeight="1">
      <c r="A1718" s="11" t="s">
        <v>1587</v>
      </c>
      <c r="B1718" s="22" t="s">
        <v>2440</v>
      </c>
      <c r="C1718" s="11" t="s">
        <v>2441</v>
      </c>
      <c r="D1718" s="74" t="s">
        <v>2442</v>
      </c>
      <c r="E1718" s="64">
        <v>46086.0</v>
      </c>
      <c r="F1718" s="14" t="s">
        <v>17</v>
      </c>
      <c r="G1718" s="178">
        <v>57551.0</v>
      </c>
      <c r="H1718" s="16">
        <v>43429.0</v>
      </c>
      <c r="I1718" s="17">
        <f t="shared" ref="I1718:I1785" si="52">G1718-H1718</f>
        <v>14122</v>
      </c>
      <c r="J1718" s="220" t="s">
        <v>1</v>
      </c>
      <c r="K1718" s="221"/>
      <c r="L1718" s="221"/>
      <c r="M1718" s="221"/>
      <c r="N1718" s="221"/>
      <c r="O1718" s="221"/>
      <c r="P1718" s="221"/>
      <c r="Q1718" s="221"/>
      <c r="R1718" s="221"/>
      <c r="S1718" s="221"/>
      <c r="T1718" s="221"/>
      <c r="U1718" s="221"/>
      <c r="V1718" s="221"/>
      <c r="W1718" s="221"/>
      <c r="X1718" s="221"/>
      <c r="Y1718" s="221"/>
      <c r="Z1718" s="221"/>
    </row>
    <row r="1719" ht="33.75" customHeight="1">
      <c r="A1719" s="11" t="s">
        <v>2018</v>
      </c>
      <c r="B1719" s="22" t="s">
        <v>49</v>
      </c>
      <c r="C1719" s="11" t="s">
        <v>2443</v>
      </c>
      <c r="D1719" s="74" t="s">
        <v>2393</v>
      </c>
      <c r="E1719" s="64">
        <v>46086.0</v>
      </c>
      <c r="F1719" s="14" t="s">
        <v>1141</v>
      </c>
      <c r="G1719" s="178">
        <v>12187.0</v>
      </c>
      <c r="H1719" s="16">
        <v>9231.0</v>
      </c>
      <c r="I1719" s="17">
        <f t="shared" si="52"/>
        <v>2956</v>
      </c>
      <c r="J1719" s="222" t="s">
        <v>700</v>
      </c>
      <c r="K1719" s="223"/>
      <c r="L1719" s="223"/>
      <c r="M1719" s="223"/>
      <c r="N1719" s="223"/>
      <c r="O1719" s="223"/>
      <c r="P1719" s="223"/>
      <c r="Q1719" s="223"/>
      <c r="R1719" s="223"/>
      <c r="S1719" s="223"/>
      <c r="T1719" s="223"/>
      <c r="U1719" s="223"/>
      <c r="V1719" s="223"/>
      <c r="W1719" s="223"/>
      <c r="X1719" s="223"/>
      <c r="Y1719" s="223"/>
      <c r="Z1719" s="223"/>
    </row>
    <row r="1720" ht="33.75" customHeight="1">
      <c r="A1720" s="11" t="s">
        <v>2444</v>
      </c>
      <c r="B1720" s="22" t="s">
        <v>49</v>
      </c>
      <c r="C1720" s="11" t="s">
        <v>2445</v>
      </c>
      <c r="D1720" s="74" t="s">
        <v>2446</v>
      </c>
      <c r="E1720" s="64">
        <v>46086.0</v>
      </c>
      <c r="F1720" s="14" t="s">
        <v>1191</v>
      </c>
      <c r="G1720" s="178">
        <v>910.0</v>
      </c>
      <c r="H1720" s="16">
        <v>801.0</v>
      </c>
      <c r="I1720" s="17">
        <f t="shared" si="52"/>
        <v>109</v>
      </c>
      <c r="J1720" s="17" t="s">
        <v>1</v>
      </c>
      <c r="K1720" s="252"/>
      <c r="L1720" s="252"/>
      <c r="M1720" s="252"/>
      <c r="N1720" s="252"/>
      <c r="O1720" s="252"/>
      <c r="P1720" s="252"/>
      <c r="Q1720" s="252"/>
      <c r="R1720" s="252"/>
      <c r="S1720" s="252"/>
      <c r="T1720" s="252"/>
      <c r="U1720" s="252"/>
      <c r="V1720" s="252"/>
      <c r="W1720" s="252"/>
      <c r="X1720" s="252"/>
      <c r="Y1720" s="252"/>
      <c r="Z1720" s="252"/>
    </row>
    <row r="1721" ht="33.75" customHeight="1">
      <c r="A1721" s="11" t="s">
        <v>2447</v>
      </c>
      <c r="B1721" s="22" t="s">
        <v>49</v>
      </c>
      <c r="C1721" s="11" t="s">
        <v>2448</v>
      </c>
      <c r="D1721" s="74">
        <v>9.41107285116308E14</v>
      </c>
      <c r="E1721" s="64">
        <v>46086.0</v>
      </c>
      <c r="F1721" s="14" t="s">
        <v>1133</v>
      </c>
      <c r="G1721" s="233">
        <v>5000.0</v>
      </c>
      <c r="H1721" s="16">
        <v>3348.0</v>
      </c>
      <c r="I1721" s="17">
        <f t="shared" si="52"/>
        <v>1652</v>
      </c>
      <c r="J1721" s="17" t="s">
        <v>1</v>
      </c>
      <c r="K1721" s="252"/>
      <c r="L1721" s="252"/>
      <c r="M1721" s="252"/>
      <c r="N1721" s="252"/>
      <c r="O1721" s="252"/>
      <c r="P1721" s="252"/>
      <c r="Q1721" s="252"/>
      <c r="R1721" s="252"/>
      <c r="S1721" s="252"/>
      <c r="T1721" s="252"/>
      <c r="U1721" s="252"/>
      <c r="V1721" s="252"/>
      <c r="W1721" s="252"/>
      <c r="X1721" s="252"/>
      <c r="Y1721" s="252"/>
      <c r="Z1721" s="252"/>
    </row>
    <row r="1722" ht="33.75" customHeight="1">
      <c r="A1722" s="11" t="s">
        <v>2449</v>
      </c>
      <c r="B1722" s="22" t="s">
        <v>49</v>
      </c>
      <c r="C1722" s="11" t="s">
        <v>2448</v>
      </c>
      <c r="D1722" s="74">
        <v>9.41107285116308E14</v>
      </c>
      <c r="E1722" s="64">
        <v>46086.0</v>
      </c>
      <c r="F1722" s="14" t="s">
        <v>1133</v>
      </c>
      <c r="G1722" s="233">
        <v>5000.0</v>
      </c>
      <c r="H1722" s="16">
        <v>3399.0</v>
      </c>
      <c r="I1722" s="17">
        <f t="shared" si="52"/>
        <v>1601</v>
      </c>
      <c r="J1722" s="17" t="s">
        <v>1</v>
      </c>
      <c r="K1722" s="252"/>
      <c r="L1722" s="252"/>
      <c r="M1722" s="252"/>
      <c r="N1722" s="252"/>
      <c r="O1722" s="252"/>
      <c r="P1722" s="252"/>
      <c r="Q1722" s="252"/>
      <c r="R1722" s="252"/>
      <c r="S1722" s="252"/>
      <c r="T1722" s="252"/>
      <c r="U1722" s="252"/>
      <c r="V1722" s="252"/>
      <c r="W1722" s="252"/>
      <c r="X1722" s="252"/>
      <c r="Y1722" s="252"/>
      <c r="Z1722" s="252"/>
    </row>
    <row r="1723" ht="33.75" customHeight="1">
      <c r="A1723" s="11" t="s">
        <v>2225</v>
      </c>
      <c r="B1723" s="22" t="s">
        <v>49</v>
      </c>
      <c r="C1723" s="11" t="s">
        <v>2448</v>
      </c>
      <c r="D1723" s="74">
        <v>9.41107285116308E14</v>
      </c>
      <c r="E1723" s="64">
        <v>46086.0</v>
      </c>
      <c r="F1723" s="14" t="s">
        <v>1133</v>
      </c>
      <c r="G1723" s="233">
        <v>5000.0</v>
      </c>
      <c r="H1723" s="16">
        <v>3381.0</v>
      </c>
      <c r="I1723" s="17">
        <f t="shared" si="52"/>
        <v>1619</v>
      </c>
      <c r="J1723" s="17" t="s">
        <v>1</v>
      </c>
      <c r="K1723" s="252"/>
      <c r="L1723" s="252"/>
      <c r="M1723" s="252"/>
      <c r="N1723" s="252"/>
      <c r="O1723" s="252"/>
      <c r="P1723" s="252"/>
      <c r="Q1723" s="252"/>
      <c r="R1723" s="252"/>
      <c r="S1723" s="252"/>
      <c r="T1723" s="252"/>
      <c r="U1723" s="252"/>
      <c r="V1723" s="252"/>
      <c r="W1723" s="252"/>
      <c r="X1723" s="252"/>
      <c r="Y1723" s="252"/>
      <c r="Z1723" s="252"/>
    </row>
    <row r="1724" ht="33.75" customHeight="1">
      <c r="A1724" s="11" t="s">
        <v>2226</v>
      </c>
      <c r="B1724" s="22" t="s">
        <v>49</v>
      </c>
      <c r="C1724" s="11" t="s">
        <v>2448</v>
      </c>
      <c r="D1724" s="74">
        <v>9.41107285116308E14</v>
      </c>
      <c r="E1724" s="64">
        <v>46086.0</v>
      </c>
      <c r="F1724" s="14" t="s">
        <v>1133</v>
      </c>
      <c r="G1724" s="233">
        <v>5000.0</v>
      </c>
      <c r="H1724" s="16">
        <v>2448.0</v>
      </c>
      <c r="I1724" s="17">
        <f t="shared" si="52"/>
        <v>2552</v>
      </c>
      <c r="J1724" s="17" t="s">
        <v>1</v>
      </c>
      <c r="K1724" s="252"/>
      <c r="L1724" s="252"/>
      <c r="M1724" s="252"/>
      <c r="N1724" s="252"/>
      <c r="O1724" s="252"/>
      <c r="P1724" s="252"/>
      <c r="Q1724" s="252"/>
      <c r="R1724" s="252"/>
      <c r="S1724" s="252"/>
      <c r="T1724" s="252"/>
      <c r="U1724" s="252"/>
      <c r="V1724" s="252"/>
      <c r="W1724" s="252"/>
      <c r="X1724" s="252"/>
      <c r="Y1724" s="252"/>
      <c r="Z1724" s="252"/>
    </row>
    <row r="1725" ht="33.75" customHeight="1">
      <c r="A1725" s="11" t="s">
        <v>2227</v>
      </c>
      <c r="B1725" s="22" t="s">
        <v>49</v>
      </c>
      <c r="C1725" s="11" t="s">
        <v>2448</v>
      </c>
      <c r="D1725" s="74">
        <v>9.41107285116308E14</v>
      </c>
      <c r="E1725" s="64">
        <v>46086.0</v>
      </c>
      <c r="F1725" s="14" t="s">
        <v>1133</v>
      </c>
      <c r="G1725" s="233">
        <v>5000.0</v>
      </c>
      <c r="H1725" s="16">
        <v>3956.0</v>
      </c>
      <c r="I1725" s="17">
        <f t="shared" si="52"/>
        <v>1044</v>
      </c>
      <c r="J1725" s="17" t="s">
        <v>1</v>
      </c>
      <c r="K1725" s="252"/>
      <c r="L1725" s="252"/>
      <c r="M1725" s="252"/>
      <c r="N1725" s="252"/>
      <c r="O1725" s="252"/>
      <c r="P1725" s="252"/>
      <c r="Q1725" s="252"/>
      <c r="R1725" s="252"/>
      <c r="S1725" s="252"/>
      <c r="T1725" s="252"/>
      <c r="U1725" s="252"/>
      <c r="V1725" s="252"/>
      <c r="W1725" s="252"/>
      <c r="X1725" s="252"/>
      <c r="Y1725" s="252"/>
      <c r="Z1725" s="252"/>
    </row>
    <row r="1726" ht="33.75" customHeight="1">
      <c r="A1726" s="11" t="s">
        <v>2228</v>
      </c>
      <c r="B1726" s="22" t="s">
        <v>49</v>
      </c>
      <c r="C1726" s="11" t="s">
        <v>2448</v>
      </c>
      <c r="D1726" s="74">
        <v>9.41107285116308E14</v>
      </c>
      <c r="E1726" s="64">
        <v>46086.0</v>
      </c>
      <c r="F1726" s="14" t="s">
        <v>1133</v>
      </c>
      <c r="G1726" s="233">
        <v>5000.0</v>
      </c>
      <c r="H1726" s="16">
        <v>3910.0</v>
      </c>
      <c r="I1726" s="17">
        <f t="shared" si="52"/>
        <v>1090</v>
      </c>
      <c r="J1726" s="17" t="s">
        <v>1</v>
      </c>
      <c r="K1726" s="252"/>
      <c r="L1726" s="252"/>
      <c r="M1726" s="252"/>
      <c r="N1726" s="252"/>
      <c r="O1726" s="252"/>
      <c r="P1726" s="252"/>
      <c r="Q1726" s="252"/>
      <c r="R1726" s="252"/>
      <c r="S1726" s="252"/>
      <c r="T1726" s="252"/>
      <c r="U1726" s="252"/>
      <c r="V1726" s="252"/>
      <c r="W1726" s="252"/>
      <c r="X1726" s="252"/>
      <c r="Y1726" s="252"/>
      <c r="Z1726" s="252"/>
    </row>
    <row r="1727" ht="33.75" customHeight="1">
      <c r="A1727" s="11" t="s">
        <v>2450</v>
      </c>
      <c r="B1727" s="22" t="s">
        <v>49</v>
      </c>
      <c r="C1727" s="11" t="s">
        <v>2448</v>
      </c>
      <c r="D1727" s="74">
        <v>9.41107285116308E14</v>
      </c>
      <c r="E1727" s="64">
        <v>46086.0</v>
      </c>
      <c r="F1727" s="14" t="s">
        <v>1133</v>
      </c>
      <c r="G1727" s="233">
        <v>8000.0</v>
      </c>
      <c r="H1727" s="16">
        <v>4153.0</v>
      </c>
      <c r="I1727" s="17">
        <f t="shared" si="52"/>
        <v>3847</v>
      </c>
      <c r="J1727" s="17" t="s">
        <v>1</v>
      </c>
      <c r="K1727" s="252"/>
      <c r="L1727" s="252"/>
      <c r="M1727" s="252"/>
      <c r="N1727" s="252"/>
      <c r="O1727" s="252"/>
      <c r="P1727" s="252"/>
      <c r="Q1727" s="252"/>
      <c r="R1727" s="252"/>
      <c r="S1727" s="252"/>
      <c r="T1727" s="252"/>
      <c r="U1727" s="252"/>
      <c r="V1727" s="252"/>
      <c r="W1727" s="252"/>
      <c r="X1727" s="252"/>
      <c r="Y1727" s="252"/>
      <c r="Z1727" s="252"/>
    </row>
    <row r="1728" ht="33.75" customHeight="1">
      <c r="A1728" s="11" t="s">
        <v>693</v>
      </c>
      <c r="B1728" s="22" t="s">
        <v>49</v>
      </c>
      <c r="C1728" s="11" t="s">
        <v>2448</v>
      </c>
      <c r="D1728" s="74">
        <v>9.41107285116308E14</v>
      </c>
      <c r="E1728" s="64">
        <v>46086.0</v>
      </c>
      <c r="F1728" s="14" t="s">
        <v>1133</v>
      </c>
      <c r="G1728" s="233">
        <v>10000.0</v>
      </c>
      <c r="H1728" s="16">
        <v>4514.0</v>
      </c>
      <c r="I1728" s="17">
        <f t="shared" si="52"/>
        <v>5486</v>
      </c>
      <c r="J1728" s="17" t="s">
        <v>1</v>
      </c>
      <c r="K1728" s="252"/>
      <c r="L1728" s="252"/>
      <c r="M1728" s="252"/>
      <c r="N1728" s="252"/>
      <c r="O1728" s="252"/>
      <c r="P1728" s="252"/>
      <c r="Q1728" s="252"/>
      <c r="R1728" s="252"/>
      <c r="S1728" s="252"/>
      <c r="T1728" s="252"/>
      <c r="U1728" s="252"/>
      <c r="V1728" s="252"/>
      <c r="W1728" s="252"/>
      <c r="X1728" s="252"/>
      <c r="Y1728" s="252"/>
      <c r="Z1728" s="252"/>
    </row>
    <row r="1729" ht="33.75" customHeight="1">
      <c r="A1729" s="11" t="s">
        <v>695</v>
      </c>
      <c r="B1729" s="22" t="s">
        <v>49</v>
      </c>
      <c r="C1729" s="11" t="s">
        <v>2448</v>
      </c>
      <c r="D1729" s="74">
        <v>9.41107285116308E14</v>
      </c>
      <c r="E1729" s="64">
        <v>46086.0</v>
      </c>
      <c r="F1729" s="14" t="s">
        <v>1133</v>
      </c>
      <c r="G1729" s="233">
        <v>10000.0</v>
      </c>
      <c r="H1729" s="16">
        <v>4448.0</v>
      </c>
      <c r="I1729" s="17">
        <f t="shared" si="52"/>
        <v>5552</v>
      </c>
      <c r="J1729" s="17" t="s">
        <v>1</v>
      </c>
      <c r="K1729" s="252"/>
      <c r="L1729" s="252"/>
      <c r="M1729" s="252"/>
      <c r="N1729" s="252"/>
      <c r="O1729" s="252"/>
      <c r="P1729" s="252"/>
      <c r="Q1729" s="252"/>
      <c r="R1729" s="252"/>
      <c r="S1729" s="252"/>
      <c r="T1729" s="252"/>
      <c r="U1729" s="252"/>
      <c r="V1729" s="252"/>
      <c r="W1729" s="252"/>
      <c r="X1729" s="252"/>
      <c r="Y1729" s="252"/>
      <c r="Z1729" s="252"/>
    </row>
    <row r="1730" ht="33.75" customHeight="1">
      <c r="A1730" s="11" t="s">
        <v>2451</v>
      </c>
      <c r="B1730" s="22" t="s">
        <v>49</v>
      </c>
      <c r="C1730" s="11" t="s">
        <v>2452</v>
      </c>
      <c r="D1730" s="74" t="s">
        <v>2453</v>
      </c>
      <c r="E1730" s="64">
        <v>46086.0</v>
      </c>
      <c r="F1730" s="14" t="s">
        <v>1133</v>
      </c>
      <c r="G1730" s="233">
        <v>10000.0</v>
      </c>
      <c r="H1730" s="16">
        <v>7477.0</v>
      </c>
      <c r="I1730" s="17">
        <f t="shared" si="52"/>
        <v>2523</v>
      </c>
      <c r="J1730" s="17" t="s">
        <v>1</v>
      </c>
      <c r="K1730" s="252"/>
      <c r="L1730" s="252"/>
      <c r="M1730" s="252"/>
      <c r="N1730" s="252"/>
      <c r="O1730" s="252"/>
      <c r="P1730" s="252"/>
      <c r="Q1730" s="252"/>
      <c r="R1730" s="252"/>
      <c r="S1730" s="252"/>
      <c r="T1730" s="252"/>
      <c r="U1730" s="252"/>
      <c r="V1730" s="252"/>
      <c r="W1730" s="252"/>
      <c r="X1730" s="252"/>
      <c r="Y1730" s="252"/>
      <c r="Z1730" s="252"/>
    </row>
    <row r="1731" ht="33.75" customHeight="1">
      <c r="A1731" s="11" t="s">
        <v>2406</v>
      </c>
      <c r="B1731" s="22" t="s">
        <v>49</v>
      </c>
      <c r="C1731" s="11" t="s">
        <v>2452</v>
      </c>
      <c r="D1731" s="74" t="s">
        <v>2453</v>
      </c>
      <c r="E1731" s="64">
        <v>46086.0</v>
      </c>
      <c r="F1731" s="14" t="s">
        <v>1133</v>
      </c>
      <c r="G1731" s="233">
        <v>10000.0</v>
      </c>
      <c r="H1731" s="16">
        <v>4418.0</v>
      </c>
      <c r="I1731" s="17">
        <f t="shared" si="52"/>
        <v>5582</v>
      </c>
      <c r="J1731" s="17" t="s">
        <v>1</v>
      </c>
      <c r="K1731" s="252"/>
      <c r="L1731" s="252"/>
      <c r="M1731" s="252"/>
      <c r="N1731" s="252"/>
      <c r="O1731" s="252"/>
      <c r="P1731" s="252"/>
      <c r="Q1731" s="252"/>
      <c r="R1731" s="252"/>
      <c r="S1731" s="252"/>
      <c r="T1731" s="252"/>
      <c r="U1731" s="252"/>
      <c r="V1731" s="252"/>
      <c r="W1731" s="252"/>
      <c r="X1731" s="252"/>
      <c r="Y1731" s="252"/>
      <c r="Z1731" s="252"/>
    </row>
    <row r="1732" ht="33.75" customHeight="1">
      <c r="A1732" s="11" t="s">
        <v>2454</v>
      </c>
      <c r="B1732" s="22" t="s">
        <v>49</v>
      </c>
      <c r="C1732" s="11" t="s">
        <v>2452</v>
      </c>
      <c r="D1732" s="74" t="s">
        <v>2453</v>
      </c>
      <c r="E1732" s="64">
        <v>46086.0</v>
      </c>
      <c r="F1732" s="14" t="s">
        <v>1133</v>
      </c>
      <c r="G1732" s="233">
        <v>5000.0</v>
      </c>
      <c r="H1732" s="16">
        <v>2809.0</v>
      </c>
      <c r="I1732" s="17">
        <f t="shared" si="52"/>
        <v>2191</v>
      </c>
      <c r="J1732" s="17" t="s">
        <v>1</v>
      </c>
      <c r="K1732" s="252"/>
      <c r="L1732" s="252"/>
      <c r="M1732" s="252"/>
      <c r="N1732" s="252"/>
      <c r="O1732" s="252"/>
      <c r="P1732" s="252"/>
      <c r="Q1732" s="252"/>
      <c r="R1732" s="252"/>
      <c r="S1732" s="252"/>
      <c r="T1732" s="252"/>
      <c r="U1732" s="252"/>
      <c r="V1732" s="252"/>
      <c r="W1732" s="252"/>
      <c r="X1732" s="252"/>
      <c r="Y1732" s="252"/>
      <c r="Z1732" s="252"/>
    </row>
    <row r="1733" ht="33.75" customHeight="1">
      <c r="A1733" s="11" t="s">
        <v>2455</v>
      </c>
      <c r="B1733" s="22" t="s">
        <v>49</v>
      </c>
      <c r="C1733" s="11" t="s">
        <v>2452</v>
      </c>
      <c r="D1733" s="74" t="s">
        <v>2453</v>
      </c>
      <c r="E1733" s="64">
        <v>46086.0</v>
      </c>
      <c r="F1733" s="14" t="s">
        <v>1133</v>
      </c>
      <c r="G1733" s="233">
        <v>10000.0</v>
      </c>
      <c r="H1733" s="16">
        <v>6422.0</v>
      </c>
      <c r="I1733" s="17">
        <f t="shared" si="52"/>
        <v>3578</v>
      </c>
      <c r="J1733" s="17" t="s">
        <v>1</v>
      </c>
      <c r="K1733" s="252"/>
      <c r="L1733" s="252"/>
      <c r="M1733" s="252"/>
      <c r="N1733" s="252"/>
      <c r="O1733" s="252"/>
      <c r="P1733" s="252"/>
      <c r="Q1733" s="252"/>
      <c r="R1733" s="252"/>
      <c r="S1733" s="252"/>
      <c r="T1733" s="252"/>
      <c r="U1733" s="252"/>
      <c r="V1733" s="252"/>
      <c r="W1733" s="252"/>
      <c r="X1733" s="252"/>
      <c r="Y1733" s="252"/>
      <c r="Z1733" s="252"/>
    </row>
    <row r="1734" ht="33.75" customHeight="1">
      <c r="A1734" s="11" t="s">
        <v>2456</v>
      </c>
      <c r="B1734" s="22" t="s">
        <v>49</v>
      </c>
      <c r="C1734" s="11" t="s">
        <v>2452</v>
      </c>
      <c r="D1734" s="74" t="s">
        <v>2453</v>
      </c>
      <c r="E1734" s="64">
        <v>46086.0</v>
      </c>
      <c r="F1734" s="14" t="s">
        <v>1133</v>
      </c>
      <c r="G1734" s="233">
        <v>10000.0</v>
      </c>
      <c r="H1734" s="16">
        <v>4195.0</v>
      </c>
      <c r="I1734" s="17">
        <f t="shared" si="52"/>
        <v>5805</v>
      </c>
      <c r="J1734" s="17" t="s">
        <v>1</v>
      </c>
      <c r="K1734" s="252"/>
      <c r="L1734" s="252"/>
      <c r="M1734" s="252"/>
      <c r="N1734" s="252"/>
      <c r="O1734" s="252"/>
      <c r="P1734" s="252"/>
      <c r="Q1734" s="252"/>
      <c r="R1734" s="252"/>
      <c r="S1734" s="252"/>
      <c r="T1734" s="252"/>
      <c r="U1734" s="252"/>
      <c r="V1734" s="252"/>
      <c r="W1734" s="252"/>
      <c r="X1734" s="252"/>
      <c r="Y1734" s="252"/>
      <c r="Z1734" s="252"/>
    </row>
    <row r="1735" ht="33.75" customHeight="1">
      <c r="A1735" s="11" t="s">
        <v>2457</v>
      </c>
      <c r="B1735" s="22" t="s">
        <v>49</v>
      </c>
      <c r="C1735" s="11" t="s">
        <v>2452</v>
      </c>
      <c r="D1735" s="74" t="s">
        <v>2453</v>
      </c>
      <c r="E1735" s="64">
        <v>46086.0</v>
      </c>
      <c r="F1735" s="14" t="s">
        <v>1133</v>
      </c>
      <c r="G1735" s="233">
        <v>10000.0</v>
      </c>
      <c r="H1735" s="16">
        <v>5225.0</v>
      </c>
      <c r="I1735" s="17">
        <f t="shared" si="52"/>
        <v>4775</v>
      </c>
      <c r="J1735" s="17" t="s">
        <v>1</v>
      </c>
      <c r="K1735" s="252"/>
      <c r="L1735" s="252"/>
      <c r="M1735" s="252"/>
      <c r="N1735" s="252"/>
      <c r="O1735" s="252"/>
      <c r="P1735" s="252"/>
      <c r="Q1735" s="252"/>
      <c r="R1735" s="252"/>
      <c r="S1735" s="252"/>
      <c r="T1735" s="252"/>
      <c r="U1735" s="252"/>
      <c r="V1735" s="252"/>
      <c r="W1735" s="252"/>
      <c r="X1735" s="252"/>
      <c r="Y1735" s="252"/>
      <c r="Z1735" s="252"/>
    </row>
    <row r="1736" ht="33.75" customHeight="1">
      <c r="A1736" s="11" t="s">
        <v>2458</v>
      </c>
      <c r="B1736" s="22" t="s">
        <v>49</v>
      </c>
      <c r="C1736" s="11" t="s">
        <v>2459</v>
      </c>
      <c r="D1736" s="74">
        <v>7.65564939963953E14</v>
      </c>
      <c r="E1736" s="64">
        <v>46086.0</v>
      </c>
      <c r="F1736" s="14" t="s">
        <v>1133</v>
      </c>
      <c r="G1736" s="233">
        <v>6000.0</v>
      </c>
      <c r="H1736" s="16">
        <v>5424.0</v>
      </c>
      <c r="I1736" s="17">
        <f t="shared" si="52"/>
        <v>576</v>
      </c>
      <c r="J1736" s="17" t="s">
        <v>1</v>
      </c>
      <c r="K1736" s="252"/>
      <c r="L1736" s="252"/>
      <c r="M1736" s="252"/>
      <c r="N1736" s="252"/>
      <c r="O1736" s="252"/>
      <c r="P1736" s="252"/>
      <c r="Q1736" s="252"/>
      <c r="R1736" s="252"/>
      <c r="S1736" s="252"/>
      <c r="T1736" s="252"/>
      <c r="U1736" s="252"/>
      <c r="V1736" s="252"/>
      <c r="W1736" s="252"/>
      <c r="X1736" s="252"/>
      <c r="Y1736" s="252"/>
      <c r="Z1736" s="252"/>
    </row>
    <row r="1737" ht="33.75" customHeight="1">
      <c r="A1737" s="11" t="s">
        <v>2460</v>
      </c>
      <c r="B1737" s="22" t="s">
        <v>49</v>
      </c>
      <c r="C1737" s="11" t="s">
        <v>2459</v>
      </c>
      <c r="D1737" s="74">
        <v>7.65564939963953E14</v>
      </c>
      <c r="E1737" s="64">
        <v>46086.0</v>
      </c>
      <c r="F1737" s="14" t="s">
        <v>1133</v>
      </c>
      <c r="G1737" s="233">
        <v>3764.0</v>
      </c>
      <c r="H1737" s="16">
        <v>3378.0</v>
      </c>
      <c r="I1737" s="17">
        <f t="shared" si="52"/>
        <v>386</v>
      </c>
      <c r="J1737" s="17" t="s">
        <v>1</v>
      </c>
      <c r="K1737" s="252"/>
      <c r="L1737" s="252"/>
      <c r="M1737" s="252"/>
      <c r="N1737" s="252"/>
      <c r="O1737" s="252"/>
      <c r="P1737" s="252"/>
      <c r="Q1737" s="252"/>
      <c r="R1737" s="252"/>
      <c r="S1737" s="252"/>
      <c r="T1737" s="252"/>
      <c r="U1737" s="252"/>
      <c r="V1737" s="252"/>
      <c r="W1737" s="252"/>
      <c r="X1737" s="252"/>
      <c r="Y1737" s="252"/>
      <c r="Z1737" s="252"/>
    </row>
    <row r="1738" ht="33.75" customHeight="1">
      <c r="A1738" s="11" t="s">
        <v>2461</v>
      </c>
      <c r="B1738" s="22" t="s">
        <v>49</v>
      </c>
      <c r="C1738" s="11" t="s">
        <v>2459</v>
      </c>
      <c r="D1738" s="74">
        <v>7.65564939963953E14</v>
      </c>
      <c r="E1738" s="64">
        <v>46086.0</v>
      </c>
      <c r="F1738" s="14" t="s">
        <v>1133</v>
      </c>
      <c r="G1738" s="233">
        <v>8000.0</v>
      </c>
      <c r="H1738" s="16">
        <v>5512.0</v>
      </c>
      <c r="I1738" s="17">
        <f t="shared" si="52"/>
        <v>2488</v>
      </c>
      <c r="J1738" s="17" t="s">
        <v>1</v>
      </c>
      <c r="K1738" s="252"/>
      <c r="L1738" s="252"/>
      <c r="M1738" s="252"/>
      <c r="N1738" s="252"/>
      <c r="O1738" s="252"/>
      <c r="P1738" s="252"/>
      <c r="Q1738" s="252"/>
      <c r="R1738" s="252"/>
      <c r="S1738" s="252"/>
      <c r="T1738" s="252"/>
      <c r="U1738" s="252"/>
      <c r="V1738" s="252"/>
      <c r="W1738" s="252"/>
      <c r="X1738" s="252"/>
      <c r="Y1738" s="252"/>
      <c r="Z1738" s="252"/>
    </row>
    <row r="1739" ht="33.75" customHeight="1">
      <c r="A1739" s="11" t="s">
        <v>2266</v>
      </c>
      <c r="B1739" s="22" t="s">
        <v>49</v>
      </c>
      <c r="C1739" s="11" t="s">
        <v>2459</v>
      </c>
      <c r="D1739" s="74">
        <v>7.65564939963953E14</v>
      </c>
      <c r="E1739" s="64">
        <v>46086.0</v>
      </c>
      <c r="F1739" s="14" t="s">
        <v>1133</v>
      </c>
      <c r="G1739" s="233">
        <v>10000.0</v>
      </c>
      <c r="H1739" s="16">
        <v>8787.0</v>
      </c>
      <c r="I1739" s="17">
        <f t="shared" si="52"/>
        <v>1213</v>
      </c>
      <c r="J1739" s="17" t="s">
        <v>1</v>
      </c>
      <c r="K1739" s="252"/>
      <c r="L1739" s="252"/>
      <c r="M1739" s="252"/>
      <c r="N1739" s="252"/>
      <c r="O1739" s="252"/>
      <c r="P1739" s="252"/>
      <c r="Q1739" s="252"/>
      <c r="R1739" s="252"/>
      <c r="S1739" s="252"/>
      <c r="T1739" s="252"/>
      <c r="U1739" s="252"/>
      <c r="V1739" s="252"/>
      <c r="W1739" s="252"/>
      <c r="X1739" s="252"/>
      <c r="Y1739" s="252"/>
      <c r="Z1739" s="252"/>
    </row>
    <row r="1740" ht="33.75" customHeight="1">
      <c r="A1740" s="11" t="s">
        <v>2462</v>
      </c>
      <c r="B1740" s="22" t="s">
        <v>49</v>
      </c>
      <c r="C1740" s="11" t="s">
        <v>2459</v>
      </c>
      <c r="D1740" s="74">
        <v>7.65564939963953E14</v>
      </c>
      <c r="E1740" s="64">
        <v>46086.0</v>
      </c>
      <c r="F1740" s="14" t="s">
        <v>1133</v>
      </c>
      <c r="G1740" s="233">
        <v>7000.0</v>
      </c>
      <c r="H1740" s="16">
        <v>3462.0</v>
      </c>
      <c r="I1740" s="17">
        <f t="shared" si="52"/>
        <v>3538</v>
      </c>
      <c r="J1740" s="17" t="s">
        <v>1</v>
      </c>
      <c r="K1740" s="252"/>
      <c r="L1740" s="252"/>
      <c r="M1740" s="252"/>
      <c r="N1740" s="252"/>
      <c r="O1740" s="252"/>
      <c r="P1740" s="252"/>
      <c r="Q1740" s="252"/>
      <c r="R1740" s="252"/>
      <c r="S1740" s="252"/>
      <c r="T1740" s="252"/>
      <c r="U1740" s="252"/>
      <c r="V1740" s="252"/>
      <c r="W1740" s="252"/>
      <c r="X1740" s="252"/>
      <c r="Y1740" s="252"/>
      <c r="Z1740" s="252"/>
    </row>
    <row r="1741" ht="33.75" customHeight="1">
      <c r="A1741" s="11" t="s">
        <v>2463</v>
      </c>
      <c r="B1741" s="22" t="s">
        <v>49</v>
      </c>
      <c r="C1741" s="11" t="s">
        <v>2459</v>
      </c>
      <c r="D1741" s="74">
        <v>7.65564939963953E14</v>
      </c>
      <c r="E1741" s="64">
        <v>46086.0</v>
      </c>
      <c r="F1741" s="14" t="s">
        <v>1133</v>
      </c>
      <c r="G1741" s="233">
        <v>10000.0</v>
      </c>
      <c r="H1741" s="16">
        <v>4720.0</v>
      </c>
      <c r="I1741" s="17">
        <f t="shared" si="52"/>
        <v>5280</v>
      </c>
      <c r="J1741" s="17" t="s">
        <v>1</v>
      </c>
      <c r="K1741" s="252"/>
      <c r="L1741" s="252"/>
      <c r="M1741" s="252"/>
      <c r="N1741" s="252"/>
      <c r="O1741" s="252"/>
      <c r="P1741" s="252"/>
      <c r="Q1741" s="252"/>
      <c r="R1741" s="252"/>
      <c r="S1741" s="252"/>
      <c r="T1741" s="252"/>
      <c r="U1741" s="252"/>
      <c r="V1741" s="252"/>
      <c r="W1741" s="252"/>
      <c r="X1741" s="252"/>
      <c r="Y1741" s="252"/>
      <c r="Z1741" s="252"/>
    </row>
    <row r="1742" ht="33.75" customHeight="1">
      <c r="A1742" s="11" t="s">
        <v>2464</v>
      </c>
      <c r="B1742" s="22" t="s">
        <v>49</v>
      </c>
      <c r="C1742" s="11" t="s">
        <v>2459</v>
      </c>
      <c r="D1742" s="74">
        <v>7.65564939963953E14</v>
      </c>
      <c r="E1742" s="64">
        <v>46086.0</v>
      </c>
      <c r="F1742" s="14" t="s">
        <v>1133</v>
      </c>
      <c r="G1742" s="233">
        <v>8000.0</v>
      </c>
      <c r="H1742" s="16">
        <v>3508.0</v>
      </c>
      <c r="I1742" s="17">
        <f t="shared" si="52"/>
        <v>4492</v>
      </c>
      <c r="J1742" s="17" t="s">
        <v>1</v>
      </c>
      <c r="K1742" s="252"/>
      <c r="L1742" s="252"/>
      <c r="M1742" s="252"/>
      <c r="N1742" s="252"/>
      <c r="O1742" s="252"/>
      <c r="P1742" s="252"/>
      <c r="Q1742" s="252"/>
      <c r="R1742" s="252"/>
      <c r="S1742" s="252"/>
      <c r="T1742" s="252"/>
      <c r="U1742" s="252"/>
      <c r="V1742" s="252"/>
      <c r="W1742" s="252"/>
      <c r="X1742" s="252"/>
      <c r="Y1742" s="252"/>
      <c r="Z1742" s="252"/>
    </row>
    <row r="1743" ht="33.75" customHeight="1">
      <c r="A1743" s="11" t="s">
        <v>2465</v>
      </c>
      <c r="B1743" s="22" t="s">
        <v>49</v>
      </c>
      <c r="C1743" s="11" t="s">
        <v>2466</v>
      </c>
      <c r="D1743" s="74">
        <v>9.11120394631047E14</v>
      </c>
      <c r="E1743" s="64">
        <v>46086.0</v>
      </c>
      <c r="F1743" s="14" t="s">
        <v>1133</v>
      </c>
      <c r="G1743" s="233">
        <v>8000.0</v>
      </c>
      <c r="H1743" s="16">
        <v>4355.0</v>
      </c>
      <c r="I1743" s="17">
        <f t="shared" si="52"/>
        <v>3645</v>
      </c>
      <c r="J1743" s="17" t="s">
        <v>1</v>
      </c>
      <c r="K1743" s="252"/>
      <c r="L1743" s="252"/>
      <c r="M1743" s="252"/>
      <c r="N1743" s="252"/>
      <c r="O1743" s="252"/>
      <c r="P1743" s="252"/>
      <c r="Q1743" s="252"/>
      <c r="R1743" s="252"/>
      <c r="S1743" s="252"/>
      <c r="T1743" s="252"/>
      <c r="U1743" s="252"/>
      <c r="V1743" s="252"/>
      <c r="W1743" s="252"/>
      <c r="X1743" s="252"/>
      <c r="Y1743" s="252"/>
      <c r="Z1743" s="252"/>
    </row>
    <row r="1744" ht="33.75" customHeight="1">
      <c r="A1744" s="11" t="s">
        <v>2467</v>
      </c>
      <c r="B1744" s="22" t="s">
        <v>49</v>
      </c>
      <c r="C1744" s="11" t="s">
        <v>2466</v>
      </c>
      <c r="D1744" s="74">
        <v>9.11120394631047E14</v>
      </c>
      <c r="E1744" s="64">
        <v>46086.0</v>
      </c>
      <c r="F1744" s="14" t="s">
        <v>1133</v>
      </c>
      <c r="G1744" s="233">
        <v>8000.0</v>
      </c>
      <c r="H1744" s="16">
        <v>5031.0</v>
      </c>
      <c r="I1744" s="17">
        <f t="shared" si="52"/>
        <v>2969</v>
      </c>
      <c r="J1744" s="17" t="s">
        <v>1</v>
      </c>
      <c r="K1744" s="252"/>
      <c r="L1744" s="252"/>
      <c r="M1744" s="252"/>
      <c r="N1744" s="252"/>
      <c r="O1744" s="252"/>
      <c r="P1744" s="252"/>
      <c r="Q1744" s="252"/>
      <c r="R1744" s="252"/>
      <c r="S1744" s="252"/>
      <c r="T1744" s="252"/>
      <c r="U1744" s="252"/>
      <c r="V1744" s="252"/>
      <c r="W1744" s="252"/>
      <c r="X1744" s="252"/>
      <c r="Y1744" s="252"/>
      <c r="Z1744" s="252"/>
    </row>
    <row r="1745" ht="33.75" customHeight="1">
      <c r="A1745" s="11" t="s">
        <v>2219</v>
      </c>
      <c r="B1745" s="22" t="s">
        <v>49</v>
      </c>
      <c r="C1745" s="11" t="s">
        <v>2466</v>
      </c>
      <c r="D1745" s="74">
        <v>9.11120394631047E14</v>
      </c>
      <c r="E1745" s="64">
        <v>46086.0</v>
      </c>
      <c r="F1745" s="14" t="s">
        <v>1133</v>
      </c>
      <c r="G1745" s="233">
        <v>10000.0</v>
      </c>
      <c r="H1745" s="16">
        <v>5592.0</v>
      </c>
      <c r="I1745" s="17">
        <f t="shared" si="52"/>
        <v>4408</v>
      </c>
      <c r="J1745" s="17" t="s">
        <v>1</v>
      </c>
      <c r="K1745" s="252"/>
      <c r="L1745" s="252"/>
      <c r="M1745" s="252"/>
      <c r="N1745" s="252"/>
      <c r="O1745" s="252"/>
      <c r="P1745" s="252"/>
      <c r="Q1745" s="252"/>
      <c r="R1745" s="252"/>
      <c r="S1745" s="252"/>
      <c r="T1745" s="252"/>
      <c r="U1745" s="252"/>
      <c r="V1745" s="252"/>
      <c r="W1745" s="252"/>
      <c r="X1745" s="252"/>
      <c r="Y1745" s="252"/>
      <c r="Z1745" s="252"/>
    </row>
    <row r="1746" ht="33.75" customHeight="1">
      <c r="A1746" s="11" t="s">
        <v>2220</v>
      </c>
      <c r="B1746" s="22" t="s">
        <v>49</v>
      </c>
      <c r="C1746" s="11" t="s">
        <v>2466</v>
      </c>
      <c r="D1746" s="74">
        <v>9.11120394631047E14</v>
      </c>
      <c r="E1746" s="64">
        <v>46086.0</v>
      </c>
      <c r="F1746" s="14" t="s">
        <v>1133</v>
      </c>
      <c r="G1746" s="233">
        <v>10000.0</v>
      </c>
      <c r="H1746" s="16">
        <v>4851.0</v>
      </c>
      <c r="I1746" s="17">
        <f t="shared" si="52"/>
        <v>5149</v>
      </c>
      <c r="J1746" s="17" t="s">
        <v>1</v>
      </c>
      <c r="K1746" s="252"/>
      <c r="L1746" s="252"/>
      <c r="M1746" s="252"/>
      <c r="N1746" s="252"/>
      <c r="O1746" s="252"/>
      <c r="P1746" s="252"/>
      <c r="Q1746" s="252"/>
      <c r="R1746" s="252"/>
      <c r="S1746" s="252"/>
      <c r="T1746" s="252"/>
      <c r="U1746" s="252"/>
      <c r="V1746" s="252"/>
      <c r="W1746" s="252"/>
      <c r="X1746" s="252"/>
      <c r="Y1746" s="252"/>
      <c r="Z1746" s="252"/>
    </row>
    <row r="1747" ht="33.75" customHeight="1">
      <c r="A1747" s="11" t="s">
        <v>28</v>
      </c>
      <c r="B1747" s="22" t="s">
        <v>81</v>
      </c>
      <c r="C1747" s="11" t="s">
        <v>2422</v>
      </c>
      <c r="D1747" s="74" t="s">
        <v>2423</v>
      </c>
      <c r="E1747" s="64">
        <v>46086.0</v>
      </c>
      <c r="F1747" s="14" t="s">
        <v>17</v>
      </c>
      <c r="G1747" s="178">
        <v>11000.0</v>
      </c>
      <c r="H1747" s="16">
        <v>9123.0</v>
      </c>
      <c r="I1747" s="17">
        <f t="shared" si="52"/>
        <v>1877</v>
      </c>
      <c r="J1747" s="17" t="s">
        <v>1</v>
      </c>
      <c r="K1747" s="252"/>
      <c r="L1747" s="252"/>
      <c r="M1747" s="252"/>
      <c r="N1747" s="252"/>
      <c r="O1747" s="252"/>
      <c r="P1747" s="252"/>
      <c r="Q1747" s="252"/>
      <c r="R1747" s="252"/>
      <c r="S1747" s="252"/>
      <c r="T1747" s="252"/>
      <c r="U1747" s="252"/>
      <c r="V1747" s="252"/>
      <c r="W1747" s="252"/>
      <c r="X1747" s="252"/>
      <c r="Y1747" s="252"/>
      <c r="Z1747" s="252"/>
    </row>
    <row r="1748" ht="33.75" customHeight="1">
      <c r="A1748" s="11" t="s">
        <v>1676</v>
      </c>
      <c r="B1748" s="22" t="s">
        <v>85</v>
      </c>
      <c r="C1748" s="11" t="s">
        <v>2337</v>
      </c>
      <c r="D1748" s="74"/>
      <c r="E1748" s="64">
        <v>46086.0</v>
      </c>
      <c r="F1748" s="14" t="s">
        <v>1191</v>
      </c>
      <c r="G1748" s="178">
        <v>996.0</v>
      </c>
      <c r="H1748" s="16">
        <v>671.0</v>
      </c>
      <c r="I1748" s="17">
        <f t="shared" si="52"/>
        <v>325</v>
      </c>
      <c r="J1748" s="17" t="s">
        <v>1</v>
      </c>
      <c r="K1748" s="252"/>
      <c r="L1748" s="252"/>
      <c r="M1748" s="252"/>
      <c r="N1748" s="252"/>
      <c r="O1748" s="252"/>
      <c r="P1748" s="252"/>
      <c r="Q1748" s="252"/>
      <c r="R1748" s="252"/>
      <c r="S1748" s="252"/>
      <c r="T1748" s="252"/>
      <c r="U1748" s="252"/>
      <c r="V1748" s="252"/>
      <c r="W1748" s="252"/>
      <c r="X1748" s="252"/>
      <c r="Y1748" s="252"/>
      <c r="Z1748" s="252"/>
    </row>
    <row r="1749" ht="33.75" customHeight="1">
      <c r="A1749" s="11" t="s">
        <v>1587</v>
      </c>
      <c r="B1749" s="22" t="s">
        <v>85</v>
      </c>
      <c r="C1749" s="11" t="s">
        <v>2468</v>
      </c>
      <c r="D1749" s="74" t="s">
        <v>2469</v>
      </c>
      <c r="E1749" s="64">
        <v>46086.0</v>
      </c>
      <c r="F1749" s="14" t="s">
        <v>17</v>
      </c>
      <c r="G1749" s="178">
        <v>57551.0</v>
      </c>
      <c r="H1749" s="16">
        <v>36915.0</v>
      </c>
      <c r="I1749" s="17">
        <f t="shared" si="52"/>
        <v>20636</v>
      </c>
      <c r="J1749" s="220" t="s">
        <v>1</v>
      </c>
      <c r="K1749" s="221"/>
      <c r="L1749" s="221"/>
      <c r="M1749" s="221"/>
      <c r="N1749" s="221"/>
      <c r="O1749" s="221"/>
      <c r="P1749" s="221"/>
      <c r="Q1749" s="221"/>
      <c r="R1749" s="221"/>
      <c r="S1749" s="221"/>
      <c r="T1749" s="221"/>
      <c r="U1749" s="221"/>
      <c r="V1749" s="221"/>
      <c r="W1749" s="221"/>
      <c r="X1749" s="221"/>
      <c r="Y1749" s="221"/>
      <c r="Z1749" s="221"/>
    </row>
    <row r="1750" ht="33.75" customHeight="1">
      <c r="A1750" s="11" t="s">
        <v>1587</v>
      </c>
      <c r="B1750" s="22" t="s">
        <v>88</v>
      </c>
      <c r="C1750" s="11" t="s">
        <v>2470</v>
      </c>
      <c r="D1750" s="74" t="s">
        <v>2471</v>
      </c>
      <c r="E1750" s="64">
        <v>46086.0</v>
      </c>
      <c r="F1750" s="14" t="s">
        <v>17</v>
      </c>
      <c r="G1750" s="178">
        <v>32100.0</v>
      </c>
      <c r="H1750" s="16">
        <v>22674.0</v>
      </c>
      <c r="I1750" s="17">
        <f t="shared" si="52"/>
        <v>9426</v>
      </c>
      <c r="J1750" s="220" t="s">
        <v>1</v>
      </c>
      <c r="K1750" s="221"/>
      <c r="L1750" s="221"/>
      <c r="M1750" s="221"/>
      <c r="N1750" s="221"/>
      <c r="O1750" s="221"/>
      <c r="P1750" s="221"/>
      <c r="Q1750" s="221"/>
      <c r="R1750" s="221"/>
      <c r="S1750" s="221"/>
      <c r="T1750" s="221"/>
      <c r="U1750" s="221"/>
      <c r="V1750" s="221"/>
      <c r="W1750" s="221"/>
      <c r="X1750" s="221"/>
      <c r="Y1750" s="221"/>
      <c r="Z1750" s="221"/>
    </row>
    <row r="1751" ht="33.75" customHeight="1">
      <c r="A1751" s="11" t="s">
        <v>2038</v>
      </c>
      <c r="B1751" s="22" t="s">
        <v>88</v>
      </c>
      <c r="C1751" s="11" t="s">
        <v>2417</v>
      </c>
      <c r="D1751" s="74">
        <v>9.29952600211321E14</v>
      </c>
      <c r="E1751" s="64">
        <v>46086.0</v>
      </c>
      <c r="F1751" s="14" t="s">
        <v>1141</v>
      </c>
      <c r="G1751" s="178">
        <v>11000.0</v>
      </c>
      <c r="H1751" s="16">
        <v>9413.0</v>
      </c>
      <c r="I1751" s="17">
        <f t="shared" si="52"/>
        <v>1587</v>
      </c>
      <c r="J1751" s="220" t="s">
        <v>1</v>
      </c>
      <c r="K1751" s="92"/>
      <c r="L1751" s="92"/>
      <c r="M1751" s="92"/>
      <c r="N1751" s="92"/>
      <c r="O1751" s="92"/>
      <c r="P1751" s="92"/>
      <c r="Q1751" s="92"/>
      <c r="R1751" s="92"/>
      <c r="S1751" s="92"/>
      <c r="T1751" s="92"/>
      <c r="U1751" s="92"/>
      <c r="V1751" s="92"/>
      <c r="W1751" s="92"/>
      <c r="X1751" s="92"/>
      <c r="Y1751" s="92"/>
      <c r="Z1751" s="92"/>
    </row>
    <row r="1752" ht="33.75" customHeight="1">
      <c r="A1752" s="11" t="s">
        <v>489</v>
      </c>
      <c r="B1752" s="22" t="s">
        <v>2472</v>
      </c>
      <c r="C1752" s="11" t="s">
        <v>2430</v>
      </c>
      <c r="D1752" s="74" t="s">
        <v>2419</v>
      </c>
      <c r="E1752" s="64">
        <v>46085.0</v>
      </c>
      <c r="F1752" s="14" t="s">
        <v>17</v>
      </c>
      <c r="G1752" s="15" t="s">
        <v>21</v>
      </c>
      <c r="H1752" s="16">
        <v>9456.0</v>
      </c>
      <c r="I1752" s="17">
        <f t="shared" si="52"/>
        <v>544</v>
      </c>
      <c r="J1752" s="148" t="s">
        <v>1</v>
      </c>
      <c r="K1752" s="252"/>
      <c r="L1752" s="252"/>
      <c r="M1752" s="252"/>
      <c r="N1752" s="252"/>
      <c r="O1752" s="252"/>
      <c r="P1752" s="252"/>
      <c r="Q1752" s="252"/>
      <c r="R1752" s="252"/>
      <c r="S1752" s="252"/>
      <c r="T1752" s="252"/>
      <c r="U1752" s="252"/>
      <c r="V1752" s="252"/>
      <c r="W1752" s="252"/>
      <c r="X1752" s="252"/>
      <c r="Y1752" s="252"/>
      <c r="Z1752" s="252"/>
    </row>
    <row r="1753" ht="33.75" customHeight="1">
      <c r="A1753" s="11" t="s">
        <v>2473</v>
      </c>
      <c r="B1753" s="22" t="s">
        <v>31</v>
      </c>
      <c r="C1753" s="11" t="s">
        <v>2474</v>
      </c>
      <c r="D1753" s="74">
        <v>9.26909676961894E14</v>
      </c>
      <c r="E1753" s="64">
        <v>46086.0</v>
      </c>
      <c r="F1753" s="14" t="s">
        <v>1191</v>
      </c>
      <c r="G1753" s="178">
        <v>7693.0</v>
      </c>
      <c r="H1753" s="16">
        <v>3239.0</v>
      </c>
      <c r="I1753" s="17">
        <f t="shared" si="52"/>
        <v>4454</v>
      </c>
      <c r="J1753" s="153" t="s">
        <v>1</v>
      </c>
      <c r="K1753" s="252"/>
      <c r="L1753" s="252"/>
      <c r="M1753" s="252"/>
      <c r="N1753" s="252"/>
      <c r="O1753" s="252"/>
      <c r="P1753" s="252"/>
      <c r="Q1753" s="252"/>
      <c r="R1753" s="252"/>
      <c r="S1753" s="252"/>
      <c r="T1753" s="252"/>
      <c r="U1753" s="252"/>
      <c r="V1753" s="252"/>
      <c r="W1753" s="252"/>
      <c r="X1753" s="252"/>
      <c r="Y1753" s="252"/>
      <c r="Z1753" s="252"/>
    </row>
    <row r="1754" ht="33.75" customHeight="1">
      <c r="A1754" s="11" t="s">
        <v>28</v>
      </c>
      <c r="B1754" s="22" t="s">
        <v>37</v>
      </c>
      <c r="C1754" s="11" t="s">
        <v>2422</v>
      </c>
      <c r="D1754" s="74" t="s">
        <v>2423</v>
      </c>
      <c r="E1754" s="64">
        <v>46086.0</v>
      </c>
      <c r="F1754" s="14" t="s">
        <v>17</v>
      </c>
      <c r="G1754" s="178">
        <v>11000.0</v>
      </c>
      <c r="H1754" s="16">
        <v>18191.0</v>
      </c>
      <c r="I1754" s="17">
        <f t="shared" si="52"/>
        <v>-7191</v>
      </c>
      <c r="J1754" s="153" t="s">
        <v>1</v>
      </c>
      <c r="K1754" s="252"/>
      <c r="L1754" s="252"/>
      <c r="M1754" s="252"/>
      <c r="N1754" s="252"/>
      <c r="O1754" s="252"/>
      <c r="P1754" s="252"/>
      <c r="Q1754" s="252"/>
      <c r="R1754" s="252"/>
      <c r="S1754" s="252"/>
      <c r="T1754" s="252"/>
      <c r="U1754" s="252"/>
      <c r="V1754" s="252"/>
      <c r="W1754" s="252"/>
      <c r="X1754" s="252"/>
      <c r="Y1754" s="252"/>
      <c r="Z1754" s="252"/>
    </row>
    <row r="1755" ht="33.75" customHeight="1">
      <c r="A1755" s="11" t="s">
        <v>2192</v>
      </c>
      <c r="B1755" s="22" t="s">
        <v>34</v>
      </c>
      <c r="C1755" s="11" t="s">
        <v>2475</v>
      </c>
      <c r="D1755" s="74" t="s">
        <v>2476</v>
      </c>
      <c r="E1755" s="64">
        <v>46086.0</v>
      </c>
      <c r="F1755" s="14" t="s">
        <v>1133</v>
      </c>
      <c r="G1755" s="178">
        <v>46444.0</v>
      </c>
      <c r="H1755" s="16"/>
      <c r="I1755" s="17">
        <f t="shared" si="52"/>
        <v>46444</v>
      </c>
      <c r="J1755" s="34" t="s">
        <v>1</v>
      </c>
      <c r="K1755" s="35"/>
      <c r="L1755" s="35"/>
      <c r="M1755" s="35"/>
      <c r="N1755" s="35"/>
      <c r="O1755" s="35"/>
      <c r="P1755" s="35"/>
      <c r="Q1755" s="35"/>
      <c r="R1755" s="35"/>
      <c r="S1755" s="35"/>
      <c r="T1755" s="35"/>
      <c r="U1755" s="35"/>
      <c r="V1755" s="35"/>
      <c r="W1755" s="35"/>
      <c r="X1755" s="35"/>
      <c r="Y1755" s="35"/>
      <c r="Z1755" s="35"/>
    </row>
    <row r="1756" ht="33.75" customHeight="1">
      <c r="A1756" s="11" t="s">
        <v>1983</v>
      </c>
      <c r="B1756" s="22"/>
      <c r="C1756" s="11" t="s">
        <v>2477</v>
      </c>
      <c r="D1756" s="74">
        <v>1.8662615140235E15</v>
      </c>
      <c r="E1756" s="64">
        <v>46086.0</v>
      </c>
      <c r="F1756" s="14" t="s">
        <v>1191</v>
      </c>
      <c r="G1756" s="178"/>
      <c r="H1756" s="16">
        <v>12120.0</v>
      </c>
      <c r="I1756" s="17">
        <f t="shared" si="52"/>
        <v>-12120</v>
      </c>
      <c r="J1756" s="153" t="s">
        <v>1</v>
      </c>
      <c r="K1756" s="252"/>
      <c r="L1756" s="252"/>
      <c r="M1756" s="252"/>
      <c r="N1756" s="252"/>
      <c r="O1756" s="252"/>
      <c r="P1756" s="252"/>
      <c r="Q1756" s="252"/>
      <c r="R1756" s="252"/>
      <c r="S1756" s="252"/>
      <c r="T1756" s="252"/>
      <c r="U1756" s="252"/>
      <c r="V1756" s="252"/>
      <c r="W1756" s="252"/>
      <c r="X1756" s="252"/>
      <c r="Y1756" s="252"/>
      <c r="Z1756" s="252"/>
    </row>
    <row r="1757" ht="33.75" customHeight="1">
      <c r="A1757" s="11" t="s">
        <v>109</v>
      </c>
      <c r="B1757" s="22"/>
      <c r="C1757" s="11" t="s">
        <v>2420</v>
      </c>
      <c r="D1757" s="74" t="s">
        <v>2421</v>
      </c>
      <c r="E1757" s="64">
        <v>46086.0</v>
      </c>
      <c r="F1757" s="14" t="s">
        <v>1141</v>
      </c>
      <c r="G1757" s="178">
        <v>2022.0</v>
      </c>
      <c r="H1757" s="16">
        <v>1751.0</v>
      </c>
      <c r="I1757" s="17">
        <f t="shared" si="52"/>
        <v>271</v>
      </c>
      <c r="J1757" s="153" t="s">
        <v>1</v>
      </c>
      <c r="K1757" s="223"/>
      <c r="L1757" s="223"/>
      <c r="M1757" s="223"/>
      <c r="N1757" s="223"/>
      <c r="O1757" s="223"/>
      <c r="P1757" s="223"/>
      <c r="Q1757" s="223"/>
      <c r="R1757" s="223"/>
      <c r="S1757" s="223"/>
      <c r="T1757" s="223"/>
      <c r="U1757" s="223"/>
      <c r="V1757" s="223"/>
      <c r="W1757" s="223"/>
      <c r="X1757" s="223"/>
      <c r="Y1757" s="223"/>
      <c r="Z1757" s="223"/>
    </row>
    <row r="1758" ht="33.75" customHeight="1">
      <c r="A1758" s="11" t="s">
        <v>2478</v>
      </c>
      <c r="B1758" s="22" t="s">
        <v>2479</v>
      </c>
      <c r="C1758" s="11" t="s">
        <v>2480</v>
      </c>
      <c r="D1758" s="74">
        <v>9.25588830120424E14</v>
      </c>
      <c r="E1758" s="64">
        <v>46086.0</v>
      </c>
      <c r="F1758" s="14" t="s">
        <v>17</v>
      </c>
      <c r="G1758" s="178">
        <v>10000.0</v>
      </c>
      <c r="H1758" s="28"/>
      <c r="I1758" s="17">
        <f t="shared" si="52"/>
        <v>10000</v>
      </c>
      <c r="J1758" s="34" t="s">
        <v>1</v>
      </c>
      <c r="K1758" s="35"/>
      <c r="L1758" s="35"/>
      <c r="M1758" s="35"/>
      <c r="N1758" s="35"/>
      <c r="O1758" s="35"/>
      <c r="P1758" s="35"/>
      <c r="Q1758" s="35"/>
      <c r="R1758" s="35"/>
      <c r="S1758" s="35"/>
      <c r="T1758" s="35"/>
      <c r="U1758" s="35"/>
      <c r="V1758" s="35"/>
      <c r="W1758" s="35"/>
      <c r="X1758" s="35"/>
      <c r="Y1758" s="35"/>
      <c r="Z1758" s="35"/>
    </row>
    <row r="1759" ht="33.75" customHeight="1">
      <c r="A1759" s="11" t="s">
        <v>1987</v>
      </c>
      <c r="B1759" s="22" t="s">
        <v>34</v>
      </c>
      <c r="C1759" s="11" t="s">
        <v>2481</v>
      </c>
      <c r="D1759" s="74">
        <v>1.64198899360608E15</v>
      </c>
      <c r="E1759" s="64">
        <v>46086.0</v>
      </c>
      <c r="F1759" s="14" t="s">
        <v>1191</v>
      </c>
      <c r="G1759" s="178">
        <v>10000.0</v>
      </c>
      <c r="H1759" s="16">
        <v>8564.0</v>
      </c>
      <c r="I1759" s="17">
        <f t="shared" si="52"/>
        <v>1436</v>
      </c>
      <c r="J1759" s="34" t="s">
        <v>1</v>
      </c>
      <c r="K1759" s="223"/>
      <c r="L1759" s="223"/>
      <c r="M1759" s="223"/>
      <c r="N1759" s="223"/>
      <c r="O1759" s="223"/>
      <c r="P1759" s="223"/>
      <c r="Q1759" s="223"/>
      <c r="R1759" s="223"/>
      <c r="S1759" s="223"/>
      <c r="T1759" s="223"/>
      <c r="U1759" s="223"/>
      <c r="V1759" s="223"/>
      <c r="W1759" s="223"/>
      <c r="X1759" s="223"/>
      <c r="Y1759" s="223"/>
      <c r="Z1759" s="223"/>
    </row>
    <row r="1760" ht="33.75" customHeight="1">
      <c r="A1760" s="11" t="s">
        <v>2387</v>
      </c>
      <c r="B1760" s="22" t="s">
        <v>15</v>
      </c>
      <c r="C1760" s="11" t="s">
        <v>2389</v>
      </c>
      <c r="D1760" s="74"/>
      <c r="E1760" s="64">
        <v>46086.0</v>
      </c>
      <c r="F1760" s="14" t="s">
        <v>1133</v>
      </c>
      <c r="G1760" s="178">
        <v>746.0</v>
      </c>
      <c r="H1760" s="16">
        <v>537.0</v>
      </c>
      <c r="I1760" s="17">
        <f t="shared" si="52"/>
        <v>209</v>
      </c>
      <c r="J1760" s="34" t="s">
        <v>1</v>
      </c>
      <c r="K1760" s="35"/>
      <c r="L1760" s="35"/>
      <c r="M1760" s="35"/>
      <c r="N1760" s="35"/>
      <c r="O1760" s="35"/>
      <c r="P1760" s="35"/>
      <c r="Q1760" s="35"/>
      <c r="R1760" s="35"/>
      <c r="S1760" s="35"/>
      <c r="T1760" s="35"/>
      <c r="U1760" s="35"/>
      <c r="V1760" s="35"/>
      <c r="W1760" s="35"/>
      <c r="X1760" s="35"/>
      <c r="Y1760" s="35"/>
      <c r="Z1760" s="35"/>
    </row>
    <row r="1761" ht="33.75" customHeight="1">
      <c r="A1761" s="11" t="s">
        <v>1078</v>
      </c>
      <c r="B1761" s="11" t="s">
        <v>398</v>
      </c>
      <c r="C1761" s="11" t="s">
        <v>2482</v>
      </c>
      <c r="D1761" s="11" t="s">
        <v>2483</v>
      </c>
      <c r="E1761" s="11">
        <v>46086.0</v>
      </c>
      <c r="F1761" s="11" t="s">
        <v>1141</v>
      </c>
      <c r="G1761" s="11">
        <v>42000.0</v>
      </c>
      <c r="H1761" s="74">
        <v>39335.0</v>
      </c>
      <c r="I1761" s="281">
        <f t="shared" si="52"/>
        <v>2665</v>
      </c>
      <c r="J1761" s="34" t="s">
        <v>1</v>
      </c>
      <c r="K1761" s="35"/>
      <c r="L1761" s="35"/>
      <c r="M1761" s="35"/>
      <c r="N1761" s="35"/>
      <c r="O1761" s="35"/>
      <c r="P1761" s="35"/>
      <c r="Q1761" s="35"/>
      <c r="R1761" s="35"/>
      <c r="S1761" s="35"/>
      <c r="T1761" s="35"/>
      <c r="U1761" s="35"/>
      <c r="V1761" s="35"/>
      <c r="W1761" s="35"/>
      <c r="X1761" s="35"/>
      <c r="Y1761" s="35"/>
      <c r="Z1761" s="35"/>
    </row>
    <row r="1762" ht="33.75" customHeight="1">
      <c r="A1762" s="11" t="s">
        <v>1078</v>
      </c>
      <c r="B1762" s="11" t="s">
        <v>398</v>
      </c>
      <c r="C1762" s="11" t="s">
        <v>2484</v>
      </c>
      <c r="D1762" s="11" t="s">
        <v>2382</v>
      </c>
      <c r="E1762" s="11">
        <v>46086.0</v>
      </c>
      <c r="F1762" s="11" t="s">
        <v>1141</v>
      </c>
      <c r="G1762" s="11">
        <v>42000.0</v>
      </c>
      <c r="H1762" s="74">
        <v>39335.0</v>
      </c>
      <c r="I1762" s="74">
        <f t="shared" si="52"/>
        <v>2665</v>
      </c>
      <c r="J1762" s="77" t="s">
        <v>1</v>
      </c>
      <c r="K1762" s="35"/>
      <c r="L1762" s="35"/>
      <c r="M1762" s="35"/>
      <c r="N1762" s="35"/>
      <c r="O1762" s="35"/>
      <c r="P1762" s="35"/>
      <c r="Q1762" s="35"/>
      <c r="R1762" s="35"/>
      <c r="S1762" s="35"/>
      <c r="T1762" s="35"/>
      <c r="U1762" s="35"/>
      <c r="V1762" s="35"/>
      <c r="W1762" s="35"/>
      <c r="X1762" s="35"/>
      <c r="Y1762" s="35"/>
      <c r="Z1762" s="35"/>
    </row>
    <row r="1763" ht="33.75" customHeight="1">
      <c r="A1763" s="11" t="s">
        <v>2485</v>
      </c>
      <c r="B1763" s="22" t="s">
        <v>19</v>
      </c>
      <c r="C1763" s="11" t="s">
        <v>2486</v>
      </c>
      <c r="D1763" s="74" t="s">
        <v>2487</v>
      </c>
      <c r="E1763" s="64">
        <v>46086.0</v>
      </c>
      <c r="F1763" s="14" t="s">
        <v>17</v>
      </c>
      <c r="G1763" s="178">
        <v>20009.0</v>
      </c>
      <c r="H1763" s="28"/>
      <c r="I1763" s="17">
        <f t="shared" si="52"/>
        <v>20009</v>
      </c>
      <c r="J1763" s="17" t="s">
        <v>1</v>
      </c>
      <c r="K1763" s="252"/>
      <c r="L1763" s="252"/>
      <c r="M1763" s="252"/>
      <c r="N1763" s="252"/>
      <c r="O1763" s="252"/>
      <c r="P1763" s="252"/>
      <c r="Q1763" s="252"/>
      <c r="R1763" s="252"/>
      <c r="S1763" s="252"/>
      <c r="T1763" s="252"/>
      <c r="U1763" s="252"/>
      <c r="V1763" s="252"/>
      <c r="W1763" s="252"/>
      <c r="X1763" s="252"/>
      <c r="Y1763" s="252"/>
      <c r="Z1763" s="252"/>
    </row>
    <row r="1764" ht="33.75" customHeight="1">
      <c r="A1764" s="11" t="s">
        <v>1587</v>
      </c>
      <c r="B1764" s="22" t="s">
        <v>198</v>
      </c>
      <c r="C1764" s="11" t="s">
        <v>2488</v>
      </c>
      <c r="D1764" s="74">
        <v>9.47383217869387E14</v>
      </c>
      <c r="E1764" s="64">
        <v>46086.0</v>
      </c>
      <c r="F1764" s="14" t="s">
        <v>287</v>
      </c>
      <c r="G1764" s="178">
        <v>93172.0</v>
      </c>
      <c r="H1764" s="28"/>
      <c r="I1764" s="17">
        <f t="shared" si="52"/>
        <v>93172</v>
      </c>
      <c r="J1764" s="25" t="s">
        <v>1</v>
      </c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  <c r="W1764" s="26"/>
      <c r="X1764" s="26"/>
      <c r="Y1764" s="26"/>
      <c r="Z1764" s="26"/>
    </row>
    <row r="1765" ht="33.75" customHeight="1">
      <c r="A1765" s="11" t="s">
        <v>1587</v>
      </c>
      <c r="B1765" s="22" t="s">
        <v>2489</v>
      </c>
      <c r="C1765" s="11" t="s">
        <v>2490</v>
      </c>
      <c r="D1765" s="74">
        <v>8.76219438802458E14</v>
      </c>
      <c r="E1765" s="64">
        <v>46086.0</v>
      </c>
      <c r="F1765" s="14" t="s">
        <v>287</v>
      </c>
      <c r="G1765" s="178">
        <v>93171.0</v>
      </c>
      <c r="H1765" s="28"/>
      <c r="I1765" s="17">
        <f t="shared" si="52"/>
        <v>93171</v>
      </c>
      <c r="J1765" s="25" t="s">
        <v>1</v>
      </c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  <c r="W1765" s="26"/>
      <c r="X1765" s="26"/>
      <c r="Y1765" s="26"/>
      <c r="Z1765" s="26"/>
    </row>
    <row r="1766" ht="33.75" customHeight="1">
      <c r="A1766" s="44"/>
      <c r="B1766" s="45"/>
      <c r="C1766" s="44"/>
      <c r="D1766" s="329"/>
      <c r="E1766" s="323"/>
      <c r="F1766" s="46"/>
      <c r="G1766" s="324"/>
      <c r="H1766" s="309"/>
      <c r="I1766" s="48">
        <f t="shared" si="52"/>
        <v>0</v>
      </c>
      <c r="J1766" s="325"/>
      <c r="K1766" s="326"/>
      <c r="L1766" s="326"/>
      <c r="M1766" s="326"/>
      <c r="N1766" s="326"/>
      <c r="O1766" s="326"/>
      <c r="P1766" s="326"/>
      <c r="Q1766" s="326"/>
      <c r="R1766" s="326"/>
      <c r="S1766" s="326"/>
      <c r="T1766" s="326"/>
      <c r="U1766" s="326"/>
      <c r="V1766" s="326"/>
      <c r="W1766" s="326"/>
      <c r="X1766" s="326"/>
      <c r="Y1766" s="326"/>
      <c r="Z1766" s="326"/>
    </row>
    <row r="1767" ht="33.75" customHeight="1">
      <c r="A1767" s="11" t="s">
        <v>2491</v>
      </c>
      <c r="B1767" s="22" t="s">
        <v>1011</v>
      </c>
      <c r="C1767" s="11" t="s">
        <v>2492</v>
      </c>
      <c r="D1767" s="74" t="s">
        <v>2493</v>
      </c>
      <c r="E1767" s="64">
        <v>46087.0</v>
      </c>
      <c r="F1767" s="14" t="s">
        <v>1191</v>
      </c>
      <c r="G1767" s="15" t="s">
        <v>2494</v>
      </c>
      <c r="H1767" s="16">
        <v>522.0</v>
      </c>
      <c r="I1767" s="17">
        <f t="shared" si="52"/>
        <v>294</v>
      </c>
      <c r="J1767" s="17" t="s">
        <v>1</v>
      </c>
      <c r="K1767" s="252"/>
      <c r="L1767" s="252"/>
      <c r="M1767" s="252"/>
      <c r="N1767" s="252"/>
      <c r="O1767" s="252"/>
      <c r="P1767" s="252"/>
      <c r="Q1767" s="252"/>
      <c r="R1767" s="252"/>
      <c r="S1767" s="252"/>
      <c r="T1767" s="252"/>
      <c r="U1767" s="252"/>
      <c r="V1767" s="252"/>
      <c r="W1767" s="252"/>
      <c r="X1767" s="252"/>
      <c r="Y1767" s="252"/>
      <c r="Z1767" s="252"/>
    </row>
    <row r="1768" ht="33.75" customHeight="1">
      <c r="A1768" s="11" t="s">
        <v>2368</v>
      </c>
      <c r="B1768" s="22" t="s">
        <v>1011</v>
      </c>
      <c r="C1768" s="11" t="s">
        <v>2495</v>
      </c>
      <c r="D1768" s="74">
        <v>1.92009271220504E15</v>
      </c>
      <c r="E1768" s="64">
        <v>46087.0</v>
      </c>
      <c r="F1768" s="14" t="s">
        <v>1141</v>
      </c>
      <c r="G1768" s="15" t="s">
        <v>21</v>
      </c>
      <c r="H1768" s="16">
        <v>8172.0</v>
      </c>
      <c r="I1768" s="17">
        <f t="shared" si="52"/>
        <v>1828</v>
      </c>
      <c r="J1768" s="17" t="s">
        <v>1</v>
      </c>
      <c r="K1768" s="252"/>
      <c r="L1768" s="252"/>
      <c r="M1768" s="252"/>
      <c r="N1768" s="252"/>
      <c r="O1768" s="252"/>
      <c r="P1768" s="252"/>
      <c r="Q1768" s="252"/>
      <c r="R1768" s="252"/>
      <c r="S1768" s="252"/>
      <c r="T1768" s="252"/>
      <c r="U1768" s="252"/>
      <c r="V1768" s="252"/>
      <c r="W1768" s="252"/>
      <c r="X1768" s="252"/>
      <c r="Y1768" s="252"/>
      <c r="Z1768" s="252"/>
    </row>
    <row r="1769" ht="33.75" customHeight="1">
      <c r="A1769" s="11" t="s">
        <v>2496</v>
      </c>
      <c r="B1769" s="22" t="s">
        <v>49</v>
      </c>
      <c r="C1769" s="11" t="s">
        <v>2497</v>
      </c>
      <c r="D1769" s="74" t="s">
        <v>2498</v>
      </c>
      <c r="E1769" s="64">
        <v>46087.0</v>
      </c>
      <c r="F1769" s="14" t="s">
        <v>1141</v>
      </c>
      <c r="G1769" s="15" t="s">
        <v>2499</v>
      </c>
      <c r="H1769" s="15" t="s">
        <v>2500</v>
      </c>
      <c r="I1769" s="17">
        <f t="shared" si="52"/>
        <v>9896</v>
      </c>
      <c r="J1769" s="17" t="s">
        <v>1</v>
      </c>
      <c r="K1769" s="252"/>
      <c r="L1769" s="252"/>
      <c r="M1769" s="252"/>
      <c r="N1769" s="252"/>
      <c r="O1769" s="252"/>
      <c r="P1769" s="252"/>
      <c r="Q1769" s="252"/>
      <c r="R1769" s="252"/>
      <c r="S1769" s="252"/>
      <c r="T1769" s="252"/>
      <c r="U1769" s="252"/>
      <c r="V1769" s="252"/>
      <c r="W1769" s="252"/>
      <c r="X1769" s="252"/>
      <c r="Y1769" s="252"/>
      <c r="Z1769" s="252"/>
    </row>
    <row r="1770" ht="33.75" customHeight="1">
      <c r="A1770" s="11" t="s">
        <v>28</v>
      </c>
      <c r="B1770" s="22" t="s">
        <v>81</v>
      </c>
      <c r="C1770" s="11" t="s">
        <v>2501</v>
      </c>
      <c r="D1770" s="11" t="s">
        <v>2502</v>
      </c>
      <c r="E1770" s="64">
        <v>46087.0</v>
      </c>
      <c r="F1770" s="14" t="s">
        <v>17</v>
      </c>
      <c r="G1770" s="15" t="s">
        <v>336</v>
      </c>
      <c r="H1770" s="28"/>
      <c r="I1770" s="17">
        <f t="shared" si="52"/>
        <v>11000</v>
      </c>
      <c r="J1770" s="17" t="s">
        <v>1</v>
      </c>
      <c r="K1770" s="252"/>
      <c r="L1770" s="252"/>
      <c r="M1770" s="252"/>
      <c r="N1770" s="252"/>
      <c r="O1770" s="252"/>
      <c r="P1770" s="252"/>
      <c r="Q1770" s="252"/>
      <c r="R1770" s="252"/>
      <c r="S1770" s="252"/>
      <c r="T1770" s="252"/>
      <c r="U1770" s="252"/>
      <c r="V1770" s="252"/>
      <c r="W1770" s="252"/>
      <c r="X1770" s="252"/>
      <c r="Y1770" s="252"/>
      <c r="Z1770" s="252"/>
    </row>
    <row r="1771" ht="33.75" customHeight="1">
      <c r="A1771" s="11" t="s">
        <v>2414</v>
      </c>
      <c r="B1771" s="22" t="s">
        <v>85</v>
      </c>
      <c r="C1771" s="11" t="s">
        <v>2503</v>
      </c>
      <c r="D1771" s="74" t="s">
        <v>2416</v>
      </c>
      <c r="E1771" s="64">
        <v>46087.0</v>
      </c>
      <c r="F1771" s="14" t="s">
        <v>1191</v>
      </c>
      <c r="G1771" s="15" t="s">
        <v>2504</v>
      </c>
      <c r="H1771" s="16">
        <v>1722.0</v>
      </c>
      <c r="I1771" s="17">
        <f t="shared" si="52"/>
        <v>1519</v>
      </c>
      <c r="J1771" s="17" t="s">
        <v>1</v>
      </c>
      <c r="K1771" s="252"/>
      <c r="L1771" s="252"/>
      <c r="M1771" s="252"/>
      <c r="N1771" s="252"/>
      <c r="O1771" s="252"/>
      <c r="P1771" s="252"/>
      <c r="Q1771" s="252"/>
      <c r="R1771" s="252"/>
      <c r="S1771" s="252"/>
      <c r="T1771" s="252"/>
      <c r="U1771" s="252"/>
      <c r="V1771" s="252"/>
      <c r="W1771" s="252"/>
      <c r="X1771" s="252"/>
      <c r="Y1771" s="252"/>
      <c r="Z1771" s="252"/>
    </row>
    <row r="1772" ht="33.75" customHeight="1">
      <c r="A1772" s="11" t="s">
        <v>1587</v>
      </c>
      <c r="B1772" s="22" t="s">
        <v>2505</v>
      </c>
      <c r="C1772" s="11" t="s">
        <v>2506</v>
      </c>
      <c r="D1772" s="11">
        <v>8.50385194164186E14</v>
      </c>
      <c r="E1772" s="76">
        <v>46087.0</v>
      </c>
      <c r="F1772" s="14" t="s">
        <v>17</v>
      </c>
      <c r="G1772" s="178">
        <v>32589.0</v>
      </c>
      <c r="H1772" s="28"/>
      <c r="I1772" s="17">
        <f t="shared" si="52"/>
        <v>32589</v>
      </c>
      <c r="J1772" s="17" t="s">
        <v>1</v>
      </c>
      <c r="K1772" s="252"/>
      <c r="L1772" s="252"/>
      <c r="M1772" s="252"/>
      <c r="N1772" s="252"/>
      <c r="O1772" s="252"/>
      <c r="P1772" s="252"/>
      <c r="Q1772" s="252"/>
      <c r="R1772" s="252"/>
      <c r="S1772" s="252"/>
      <c r="T1772" s="252"/>
      <c r="U1772" s="252"/>
      <c r="V1772" s="252"/>
      <c r="W1772" s="252"/>
      <c r="X1772" s="252"/>
      <c r="Y1772" s="252"/>
      <c r="Z1772" s="252"/>
    </row>
    <row r="1773" ht="33.75" customHeight="1">
      <c r="A1773" s="11" t="s">
        <v>2038</v>
      </c>
      <c r="B1773" s="22"/>
      <c r="C1773" s="11" t="s">
        <v>2417</v>
      </c>
      <c r="D1773" s="74">
        <v>9.29952600211321E14</v>
      </c>
      <c r="E1773" s="64">
        <v>46087.0</v>
      </c>
      <c r="F1773" s="14" t="s">
        <v>1141</v>
      </c>
      <c r="G1773" s="27">
        <v>8531.0</v>
      </c>
      <c r="H1773" s="16">
        <v>7750.0</v>
      </c>
      <c r="I1773" s="17">
        <f t="shared" si="52"/>
        <v>781</v>
      </c>
      <c r="J1773" s="17" t="s">
        <v>1</v>
      </c>
      <c r="K1773" s="223"/>
      <c r="L1773" s="223"/>
      <c r="M1773" s="223"/>
      <c r="N1773" s="223"/>
      <c r="O1773" s="223"/>
      <c r="P1773" s="223"/>
      <c r="Q1773" s="223"/>
      <c r="R1773" s="223"/>
      <c r="S1773" s="223"/>
      <c r="T1773" s="223"/>
      <c r="U1773" s="223"/>
      <c r="V1773" s="223"/>
      <c r="W1773" s="223"/>
      <c r="X1773" s="223"/>
      <c r="Y1773" s="223"/>
      <c r="Z1773" s="223"/>
    </row>
    <row r="1774" ht="33.75" customHeight="1">
      <c r="A1774" s="11" t="s">
        <v>837</v>
      </c>
      <c r="B1774" s="22" t="s">
        <v>88</v>
      </c>
      <c r="C1774" s="11" t="s">
        <v>2507</v>
      </c>
      <c r="D1774" s="11">
        <v>9.05229535548849E14</v>
      </c>
      <c r="E1774" s="76">
        <v>46087.0</v>
      </c>
      <c r="F1774" s="14" t="s">
        <v>26</v>
      </c>
      <c r="G1774" s="15" t="s">
        <v>2508</v>
      </c>
      <c r="H1774" s="28"/>
      <c r="I1774" s="17">
        <f t="shared" si="52"/>
        <v>11819</v>
      </c>
      <c r="J1774" s="222" t="s">
        <v>700</v>
      </c>
      <c r="K1774" s="223"/>
      <c r="L1774" s="223"/>
      <c r="M1774" s="223"/>
      <c r="N1774" s="223"/>
      <c r="O1774" s="223"/>
      <c r="P1774" s="223"/>
      <c r="Q1774" s="223"/>
      <c r="R1774" s="223"/>
      <c r="S1774" s="223"/>
      <c r="T1774" s="223"/>
      <c r="U1774" s="223"/>
      <c r="V1774" s="223"/>
      <c r="W1774" s="223"/>
      <c r="X1774" s="223"/>
      <c r="Y1774" s="223"/>
      <c r="Z1774" s="223"/>
    </row>
    <row r="1775" ht="33.75" customHeight="1">
      <c r="A1775" s="11" t="s">
        <v>1587</v>
      </c>
      <c r="B1775" s="22" t="s">
        <v>88</v>
      </c>
      <c r="C1775" s="11" t="s">
        <v>2509</v>
      </c>
      <c r="D1775" s="11" t="s">
        <v>2510</v>
      </c>
      <c r="E1775" s="76">
        <v>46087.0</v>
      </c>
      <c r="F1775" s="14" t="s">
        <v>17</v>
      </c>
      <c r="G1775" s="15" t="s">
        <v>2511</v>
      </c>
      <c r="H1775" s="28"/>
      <c r="I1775" s="17">
        <f t="shared" si="52"/>
        <v>32590</v>
      </c>
      <c r="J1775" s="17" t="s">
        <v>1</v>
      </c>
      <c r="K1775" s="252"/>
      <c r="L1775" s="252"/>
      <c r="M1775" s="252"/>
      <c r="N1775" s="252"/>
      <c r="O1775" s="252"/>
      <c r="P1775" s="252"/>
      <c r="Q1775" s="252"/>
      <c r="R1775" s="252"/>
      <c r="S1775" s="252"/>
      <c r="T1775" s="252"/>
      <c r="U1775" s="252"/>
      <c r="V1775" s="252"/>
      <c r="W1775" s="252"/>
      <c r="X1775" s="252"/>
      <c r="Y1775" s="252"/>
      <c r="Z1775" s="252"/>
    </row>
    <row r="1776" ht="33.75" customHeight="1">
      <c r="A1776" s="11" t="s">
        <v>2136</v>
      </c>
      <c r="B1776" s="22" t="s">
        <v>81</v>
      </c>
      <c r="C1776" s="11" t="s">
        <v>2512</v>
      </c>
      <c r="D1776" s="74" t="s">
        <v>2513</v>
      </c>
      <c r="E1776" s="64">
        <v>46087.0</v>
      </c>
      <c r="F1776" s="14" t="s">
        <v>1133</v>
      </c>
      <c r="G1776" s="27">
        <v>8837.0</v>
      </c>
      <c r="H1776" s="28">
        <v>5747.0</v>
      </c>
      <c r="I1776" s="17">
        <f t="shared" si="52"/>
        <v>3090</v>
      </c>
      <c r="J1776" s="17" t="s">
        <v>1</v>
      </c>
      <c r="K1776" s="252"/>
      <c r="L1776" s="252"/>
      <c r="M1776" s="252"/>
      <c r="N1776" s="252"/>
      <c r="O1776" s="252"/>
      <c r="P1776" s="252"/>
      <c r="Q1776" s="252"/>
      <c r="R1776" s="252"/>
      <c r="S1776" s="252"/>
      <c r="T1776" s="252"/>
      <c r="U1776" s="252"/>
      <c r="V1776" s="252"/>
      <c r="W1776" s="252"/>
      <c r="X1776" s="252"/>
      <c r="Y1776" s="252"/>
      <c r="Z1776" s="252"/>
    </row>
    <row r="1777" ht="33.75" customHeight="1">
      <c r="A1777" s="11" t="s">
        <v>2514</v>
      </c>
      <c r="B1777" s="22" t="s">
        <v>81</v>
      </c>
      <c r="C1777" s="11" t="s">
        <v>2512</v>
      </c>
      <c r="D1777" s="74" t="s">
        <v>2513</v>
      </c>
      <c r="E1777" s="64">
        <v>46087.0</v>
      </c>
      <c r="F1777" s="14" t="s">
        <v>1133</v>
      </c>
      <c r="G1777" s="27">
        <v>5000.0</v>
      </c>
      <c r="H1777" s="28">
        <v>2935.0</v>
      </c>
      <c r="I1777" s="17">
        <f t="shared" si="52"/>
        <v>2065</v>
      </c>
      <c r="J1777" s="17" t="s">
        <v>1</v>
      </c>
      <c r="K1777" s="252"/>
      <c r="L1777" s="252"/>
      <c r="M1777" s="252"/>
      <c r="N1777" s="252"/>
      <c r="O1777" s="252"/>
      <c r="P1777" s="252"/>
      <c r="Q1777" s="252"/>
      <c r="R1777" s="252"/>
      <c r="S1777" s="252"/>
      <c r="T1777" s="252"/>
      <c r="U1777" s="252"/>
      <c r="V1777" s="252"/>
      <c r="W1777" s="252"/>
      <c r="X1777" s="252"/>
      <c r="Y1777" s="252"/>
      <c r="Z1777" s="252"/>
    </row>
    <row r="1778" ht="33.75" customHeight="1">
      <c r="A1778" s="11" t="s">
        <v>2515</v>
      </c>
      <c r="B1778" s="22" t="s">
        <v>81</v>
      </c>
      <c r="C1778" s="11" t="s">
        <v>2512</v>
      </c>
      <c r="D1778" s="74" t="s">
        <v>2513</v>
      </c>
      <c r="E1778" s="64">
        <v>46087.0</v>
      </c>
      <c r="F1778" s="14" t="s">
        <v>1133</v>
      </c>
      <c r="G1778" s="27">
        <v>5000.0</v>
      </c>
      <c r="H1778" s="28">
        <v>2104.0</v>
      </c>
      <c r="I1778" s="17">
        <f t="shared" si="52"/>
        <v>2896</v>
      </c>
      <c r="J1778" s="17" t="s">
        <v>1</v>
      </c>
      <c r="K1778" s="252"/>
      <c r="L1778" s="252"/>
      <c r="M1778" s="252"/>
      <c r="N1778" s="252"/>
      <c r="O1778" s="252"/>
      <c r="P1778" s="252"/>
      <c r="Q1778" s="252"/>
      <c r="R1778" s="252"/>
      <c r="S1778" s="252"/>
      <c r="T1778" s="252"/>
      <c r="U1778" s="252"/>
      <c r="V1778" s="252"/>
      <c r="W1778" s="252"/>
      <c r="X1778" s="252"/>
      <c r="Y1778" s="252"/>
      <c r="Z1778" s="252"/>
    </row>
    <row r="1779" ht="33.75" customHeight="1">
      <c r="A1779" s="11" t="s">
        <v>2516</v>
      </c>
      <c r="B1779" s="22" t="s">
        <v>81</v>
      </c>
      <c r="C1779" s="11" t="s">
        <v>2512</v>
      </c>
      <c r="D1779" s="74" t="s">
        <v>2513</v>
      </c>
      <c r="E1779" s="64">
        <v>46087.0</v>
      </c>
      <c r="F1779" s="14" t="s">
        <v>1133</v>
      </c>
      <c r="G1779" s="27">
        <v>5000.0</v>
      </c>
      <c r="H1779" s="28">
        <v>3708.0</v>
      </c>
      <c r="I1779" s="17">
        <f t="shared" si="52"/>
        <v>1292</v>
      </c>
      <c r="J1779" s="17" t="s">
        <v>1</v>
      </c>
      <c r="K1779" s="252"/>
      <c r="L1779" s="252"/>
      <c r="M1779" s="252"/>
      <c r="N1779" s="252"/>
      <c r="O1779" s="252"/>
      <c r="P1779" s="252"/>
      <c r="Q1779" s="252"/>
      <c r="R1779" s="252"/>
      <c r="S1779" s="252"/>
      <c r="T1779" s="252"/>
      <c r="U1779" s="252"/>
      <c r="V1779" s="252"/>
      <c r="W1779" s="252"/>
      <c r="X1779" s="252"/>
      <c r="Y1779" s="252"/>
      <c r="Z1779" s="252"/>
    </row>
    <row r="1780" ht="33.75" customHeight="1">
      <c r="A1780" s="11" t="s">
        <v>2517</v>
      </c>
      <c r="B1780" s="22" t="s">
        <v>81</v>
      </c>
      <c r="C1780" s="11" t="s">
        <v>2512</v>
      </c>
      <c r="D1780" s="74" t="s">
        <v>2513</v>
      </c>
      <c r="E1780" s="64">
        <v>46087.0</v>
      </c>
      <c r="F1780" s="14" t="s">
        <v>1133</v>
      </c>
      <c r="G1780" s="27">
        <v>8000.0</v>
      </c>
      <c r="H1780" s="28">
        <v>4366.0</v>
      </c>
      <c r="I1780" s="17">
        <f t="shared" si="52"/>
        <v>3634</v>
      </c>
      <c r="J1780" s="17" t="s">
        <v>1</v>
      </c>
      <c r="K1780" s="252"/>
      <c r="L1780" s="252"/>
      <c r="M1780" s="252"/>
      <c r="N1780" s="252"/>
      <c r="O1780" s="252"/>
      <c r="P1780" s="252"/>
      <c r="Q1780" s="252"/>
      <c r="R1780" s="252"/>
      <c r="S1780" s="252"/>
      <c r="T1780" s="252"/>
      <c r="U1780" s="252"/>
      <c r="V1780" s="252"/>
      <c r="W1780" s="252"/>
      <c r="X1780" s="252"/>
      <c r="Y1780" s="252"/>
      <c r="Z1780" s="252"/>
    </row>
    <row r="1781" ht="33.75" customHeight="1">
      <c r="A1781" s="11" t="s">
        <v>2518</v>
      </c>
      <c r="B1781" s="22" t="s">
        <v>81</v>
      </c>
      <c r="C1781" s="11" t="s">
        <v>2512</v>
      </c>
      <c r="D1781" s="74" t="s">
        <v>2513</v>
      </c>
      <c r="E1781" s="64">
        <v>46087.0</v>
      </c>
      <c r="F1781" s="14" t="s">
        <v>1133</v>
      </c>
      <c r="G1781" s="27">
        <v>5000.0</v>
      </c>
      <c r="H1781" s="28">
        <v>4072.0</v>
      </c>
      <c r="I1781" s="17">
        <f t="shared" si="52"/>
        <v>928</v>
      </c>
      <c r="J1781" s="17" t="s">
        <v>1</v>
      </c>
      <c r="K1781" s="252"/>
      <c r="L1781" s="252"/>
      <c r="M1781" s="252"/>
      <c r="N1781" s="252"/>
      <c r="O1781" s="252"/>
      <c r="P1781" s="252"/>
      <c r="Q1781" s="252"/>
      <c r="R1781" s="252"/>
      <c r="S1781" s="252"/>
      <c r="T1781" s="252"/>
      <c r="U1781" s="252"/>
      <c r="V1781" s="252"/>
      <c r="W1781" s="252"/>
      <c r="X1781" s="252"/>
      <c r="Y1781" s="252"/>
      <c r="Z1781" s="252"/>
    </row>
    <row r="1782" ht="33.75" customHeight="1">
      <c r="A1782" s="11" t="s">
        <v>2519</v>
      </c>
      <c r="B1782" s="22" t="s">
        <v>81</v>
      </c>
      <c r="C1782" s="11" t="s">
        <v>2512</v>
      </c>
      <c r="D1782" s="74" t="s">
        <v>2513</v>
      </c>
      <c r="E1782" s="64">
        <v>46087.0</v>
      </c>
      <c r="F1782" s="14" t="s">
        <v>1133</v>
      </c>
      <c r="G1782" s="27">
        <v>10000.0</v>
      </c>
      <c r="H1782" s="28">
        <v>4431.0</v>
      </c>
      <c r="I1782" s="17">
        <f t="shared" si="52"/>
        <v>5569</v>
      </c>
      <c r="J1782" s="17" t="s">
        <v>1</v>
      </c>
      <c r="K1782" s="252"/>
      <c r="L1782" s="252"/>
      <c r="M1782" s="252"/>
      <c r="N1782" s="252"/>
      <c r="O1782" s="252"/>
      <c r="P1782" s="252"/>
      <c r="Q1782" s="252"/>
      <c r="R1782" s="252"/>
      <c r="S1782" s="252"/>
      <c r="T1782" s="252"/>
      <c r="U1782" s="252"/>
      <c r="V1782" s="252"/>
      <c r="W1782" s="252"/>
      <c r="X1782" s="252"/>
      <c r="Y1782" s="252"/>
      <c r="Z1782" s="252"/>
    </row>
    <row r="1783" ht="33.75" customHeight="1">
      <c r="A1783" s="11" t="s">
        <v>2520</v>
      </c>
      <c r="B1783" s="22" t="s">
        <v>81</v>
      </c>
      <c r="C1783" s="11" t="s">
        <v>2512</v>
      </c>
      <c r="D1783" s="74" t="s">
        <v>2513</v>
      </c>
      <c r="E1783" s="64">
        <v>46087.0</v>
      </c>
      <c r="F1783" s="14" t="s">
        <v>1133</v>
      </c>
      <c r="G1783" s="27">
        <v>5000.0</v>
      </c>
      <c r="H1783" s="28">
        <v>3643.0</v>
      </c>
      <c r="I1783" s="17">
        <f t="shared" si="52"/>
        <v>1357</v>
      </c>
      <c r="J1783" s="17" t="s">
        <v>1</v>
      </c>
      <c r="K1783" s="252"/>
      <c r="L1783" s="252"/>
      <c r="M1783" s="252"/>
      <c r="N1783" s="252"/>
      <c r="O1783" s="252"/>
      <c r="P1783" s="252"/>
      <c r="Q1783" s="252"/>
      <c r="R1783" s="252"/>
      <c r="S1783" s="252"/>
      <c r="T1783" s="252"/>
      <c r="U1783" s="252"/>
      <c r="V1783" s="252"/>
      <c r="W1783" s="252"/>
      <c r="X1783" s="252"/>
      <c r="Y1783" s="252"/>
      <c r="Z1783" s="252"/>
    </row>
    <row r="1784" ht="33.75" customHeight="1">
      <c r="A1784" s="11" t="s">
        <v>2521</v>
      </c>
      <c r="B1784" s="22" t="s">
        <v>2522</v>
      </c>
      <c r="C1784" s="11" t="s">
        <v>2523</v>
      </c>
      <c r="D1784" s="74" t="s">
        <v>2524</v>
      </c>
      <c r="E1784" s="64">
        <v>46087.0</v>
      </c>
      <c r="F1784" s="14" t="s">
        <v>1133</v>
      </c>
      <c r="G1784" s="233">
        <v>5000.0</v>
      </c>
      <c r="H1784" s="28">
        <v>2775.0</v>
      </c>
      <c r="I1784" s="17">
        <f t="shared" si="52"/>
        <v>2225</v>
      </c>
      <c r="J1784" s="17" t="s">
        <v>1</v>
      </c>
      <c r="K1784" s="252"/>
      <c r="L1784" s="252"/>
      <c r="M1784" s="252"/>
      <c r="N1784" s="252"/>
      <c r="O1784" s="252"/>
      <c r="P1784" s="252"/>
      <c r="Q1784" s="252"/>
      <c r="R1784" s="252"/>
      <c r="S1784" s="252"/>
      <c r="T1784" s="252"/>
      <c r="U1784" s="252"/>
      <c r="V1784" s="252"/>
      <c r="W1784" s="252"/>
      <c r="X1784" s="252"/>
      <c r="Y1784" s="252"/>
      <c r="Z1784" s="252"/>
    </row>
    <row r="1785" ht="33.75" customHeight="1">
      <c r="A1785" s="11" t="s">
        <v>2265</v>
      </c>
      <c r="B1785" s="22" t="s">
        <v>2522</v>
      </c>
      <c r="C1785" s="11" t="s">
        <v>2523</v>
      </c>
      <c r="D1785" s="74" t="s">
        <v>2524</v>
      </c>
      <c r="E1785" s="64">
        <v>46087.0</v>
      </c>
      <c r="F1785" s="14" t="s">
        <v>1133</v>
      </c>
      <c r="G1785" s="233">
        <v>5000.0</v>
      </c>
      <c r="H1785" s="28">
        <v>2992.0</v>
      </c>
      <c r="I1785" s="17">
        <f t="shared" si="52"/>
        <v>2008</v>
      </c>
      <c r="J1785" s="17" t="s">
        <v>1</v>
      </c>
      <c r="K1785" s="252"/>
      <c r="L1785" s="252"/>
      <c r="M1785" s="252"/>
      <c r="N1785" s="252"/>
      <c r="O1785" s="252"/>
      <c r="P1785" s="252"/>
      <c r="Q1785" s="252"/>
      <c r="R1785" s="252"/>
      <c r="S1785" s="252"/>
      <c r="T1785" s="252"/>
      <c r="U1785" s="252"/>
      <c r="V1785" s="252"/>
      <c r="W1785" s="252"/>
      <c r="X1785" s="252"/>
      <c r="Y1785" s="252"/>
      <c r="Z1785" s="252"/>
    </row>
    <row r="1786" ht="33.75" customHeight="1">
      <c r="A1786" s="11" t="s">
        <v>2451</v>
      </c>
      <c r="B1786" s="22" t="s">
        <v>2522</v>
      </c>
      <c r="C1786" s="11" t="s">
        <v>2523</v>
      </c>
      <c r="D1786" s="74" t="s">
        <v>2524</v>
      </c>
      <c r="E1786" s="64">
        <v>46087.0</v>
      </c>
      <c r="F1786" s="14" t="s">
        <v>1133</v>
      </c>
      <c r="G1786" s="233">
        <v>5000.0</v>
      </c>
      <c r="H1786" s="28">
        <v>3018.0</v>
      </c>
      <c r="I1786" s="17">
        <v>5000.0</v>
      </c>
      <c r="J1786" s="17" t="s">
        <v>1</v>
      </c>
      <c r="K1786" s="252"/>
      <c r="L1786" s="252"/>
      <c r="M1786" s="252"/>
      <c r="N1786" s="252"/>
      <c r="O1786" s="252"/>
      <c r="P1786" s="252"/>
      <c r="Q1786" s="252"/>
      <c r="R1786" s="252"/>
      <c r="S1786" s="252"/>
      <c r="T1786" s="252"/>
      <c r="U1786" s="252"/>
      <c r="V1786" s="252"/>
      <c r="W1786" s="252"/>
      <c r="X1786" s="252"/>
      <c r="Y1786" s="252"/>
      <c r="Z1786" s="252"/>
    </row>
    <row r="1787" ht="33.75" customHeight="1">
      <c r="A1787" s="11" t="s">
        <v>2525</v>
      </c>
      <c r="B1787" s="22" t="s">
        <v>2522</v>
      </c>
      <c r="C1787" s="11" t="s">
        <v>2523</v>
      </c>
      <c r="D1787" s="74" t="s">
        <v>2524</v>
      </c>
      <c r="E1787" s="64">
        <v>46087.0</v>
      </c>
      <c r="F1787" s="14" t="s">
        <v>1133</v>
      </c>
      <c r="G1787" s="233">
        <v>10000.0</v>
      </c>
      <c r="H1787" s="28">
        <v>6246.0</v>
      </c>
      <c r="I1787" s="17">
        <v>10000.0</v>
      </c>
      <c r="J1787" s="17" t="s">
        <v>1</v>
      </c>
      <c r="K1787" s="252"/>
      <c r="L1787" s="252"/>
      <c r="M1787" s="252"/>
      <c r="N1787" s="252"/>
      <c r="O1787" s="252"/>
      <c r="P1787" s="252"/>
      <c r="Q1787" s="252"/>
      <c r="R1787" s="252"/>
      <c r="S1787" s="252"/>
      <c r="T1787" s="252"/>
      <c r="U1787" s="252"/>
      <c r="V1787" s="252"/>
      <c r="W1787" s="252"/>
      <c r="X1787" s="252"/>
      <c r="Y1787" s="252"/>
      <c r="Z1787" s="252"/>
    </row>
    <row r="1788" ht="33.75" customHeight="1">
      <c r="A1788" s="11" t="s">
        <v>2526</v>
      </c>
      <c r="B1788" s="22" t="s">
        <v>2522</v>
      </c>
      <c r="C1788" s="11" t="s">
        <v>2523</v>
      </c>
      <c r="D1788" s="74" t="s">
        <v>2524</v>
      </c>
      <c r="E1788" s="64">
        <v>46087.0</v>
      </c>
      <c r="F1788" s="14" t="s">
        <v>1133</v>
      </c>
      <c r="G1788" s="233">
        <v>8000.0</v>
      </c>
      <c r="H1788" s="28">
        <v>3303.0</v>
      </c>
      <c r="I1788" s="17">
        <v>8000.0</v>
      </c>
      <c r="J1788" s="17" t="s">
        <v>1</v>
      </c>
      <c r="K1788" s="252"/>
      <c r="L1788" s="252"/>
      <c r="M1788" s="252"/>
      <c r="N1788" s="252"/>
      <c r="O1788" s="252"/>
      <c r="P1788" s="252"/>
      <c r="Q1788" s="252"/>
      <c r="R1788" s="252"/>
      <c r="S1788" s="252"/>
      <c r="T1788" s="252"/>
      <c r="U1788" s="252"/>
      <c r="V1788" s="252"/>
      <c r="W1788" s="252"/>
      <c r="X1788" s="252"/>
      <c r="Y1788" s="252"/>
      <c r="Z1788" s="252"/>
    </row>
    <row r="1789" ht="33.75" customHeight="1">
      <c r="A1789" s="11" t="s">
        <v>2527</v>
      </c>
      <c r="B1789" s="22" t="s">
        <v>2522</v>
      </c>
      <c r="C1789" s="11" t="s">
        <v>2523</v>
      </c>
      <c r="D1789" s="74" t="s">
        <v>2524</v>
      </c>
      <c r="E1789" s="64">
        <v>46087.0</v>
      </c>
      <c r="F1789" s="14" t="s">
        <v>1133</v>
      </c>
      <c r="G1789" s="233">
        <v>5000.0</v>
      </c>
      <c r="H1789" s="28">
        <v>3220.0</v>
      </c>
      <c r="I1789" s="17">
        <f t="shared" ref="I1789:I1792" si="53">G1789-H1789</f>
        <v>1780</v>
      </c>
      <c r="J1789" s="17" t="s">
        <v>1</v>
      </c>
      <c r="K1789" s="252"/>
      <c r="L1789" s="252"/>
      <c r="M1789" s="252"/>
      <c r="N1789" s="252"/>
      <c r="O1789" s="252"/>
      <c r="P1789" s="252"/>
      <c r="Q1789" s="252"/>
      <c r="R1789" s="252"/>
      <c r="S1789" s="252"/>
      <c r="T1789" s="252"/>
      <c r="U1789" s="252"/>
      <c r="V1789" s="252"/>
      <c r="W1789" s="252"/>
      <c r="X1789" s="252"/>
      <c r="Y1789" s="252"/>
      <c r="Z1789" s="252"/>
    </row>
    <row r="1790" ht="33.75" customHeight="1">
      <c r="A1790" s="11" t="s">
        <v>1116</v>
      </c>
      <c r="B1790" s="22" t="s">
        <v>2522</v>
      </c>
      <c r="C1790" s="11" t="s">
        <v>2523</v>
      </c>
      <c r="D1790" s="74" t="s">
        <v>2524</v>
      </c>
      <c r="E1790" s="64">
        <v>46087.0</v>
      </c>
      <c r="F1790" s="14" t="s">
        <v>1133</v>
      </c>
      <c r="G1790" s="233">
        <v>10000.0</v>
      </c>
      <c r="H1790" s="28">
        <v>6325.0</v>
      </c>
      <c r="I1790" s="17">
        <f t="shared" si="53"/>
        <v>3675</v>
      </c>
      <c r="J1790" s="17" t="s">
        <v>1</v>
      </c>
      <c r="K1790" s="252"/>
      <c r="L1790" s="252"/>
      <c r="M1790" s="252"/>
      <c r="N1790" s="252"/>
      <c r="O1790" s="252"/>
      <c r="P1790" s="252"/>
      <c r="Q1790" s="252"/>
      <c r="R1790" s="252"/>
      <c r="S1790" s="252"/>
      <c r="T1790" s="252"/>
      <c r="U1790" s="252"/>
      <c r="V1790" s="252"/>
      <c r="W1790" s="252"/>
      <c r="X1790" s="252"/>
      <c r="Y1790" s="252"/>
      <c r="Z1790" s="252"/>
    </row>
    <row r="1791" ht="33.75" customHeight="1">
      <c r="A1791" s="11" t="s">
        <v>2528</v>
      </c>
      <c r="B1791" s="22" t="s">
        <v>2522</v>
      </c>
      <c r="C1791" s="11" t="s">
        <v>2523</v>
      </c>
      <c r="D1791" s="74" t="s">
        <v>2524</v>
      </c>
      <c r="E1791" s="64">
        <v>46087.0</v>
      </c>
      <c r="F1791" s="14" t="s">
        <v>1133</v>
      </c>
      <c r="G1791" s="233">
        <v>10000.0</v>
      </c>
      <c r="H1791" s="28">
        <v>4371.0</v>
      </c>
      <c r="I1791" s="17">
        <f t="shared" si="53"/>
        <v>5629</v>
      </c>
      <c r="J1791" s="17" t="s">
        <v>1</v>
      </c>
      <c r="K1791" s="252"/>
      <c r="L1791" s="252"/>
      <c r="M1791" s="252"/>
      <c r="N1791" s="252"/>
      <c r="O1791" s="252"/>
      <c r="P1791" s="252"/>
      <c r="Q1791" s="252"/>
      <c r="R1791" s="252"/>
      <c r="S1791" s="252"/>
      <c r="T1791" s="252"/>
      <c r="U1791" s="252"/>
      <c r="V1791" s="252"/>
      <c r="W1791" s="252"/>
      <c r="X1791" s="252"/>
      <c r="Y1791" s="252"/>
      <c r="Z1791" s="252"/>
    </row>
    <row r="1792" ht="33.75" customHeight="1">
      <c r="A1792" s="11" t="s">
        <v>2529</v>
      </c>
      <c r="B1792" s="22" t="s">
        <v>44</v>
      </c>
      <c r="C1792" s="11" t="s">
        <v>2530</v>
      </c>
      <c r="D1792" s="74" t="s">
        <v>2531</v>
      </c>
      <c r="E1792" s="64">
        <v>46087.0</v>
      </c>
      <c r="F1792" s="14" t="s">
        <v>1133</v>
      </c>
      <c r="G1792" s="233">
        <v>8000.0</v>
      </c>
      <c r="H1792" s="28">
        <v>3994.0</v>
      </c>
      <c r="I1792" s="17">
        <f t="shared" si="53"/>
        <v>4006</v>
      </c>
      <c r="J1792" s="17" t="s">
        <v>1</v>
      </c>
      <c r="K1792" s="252"/>
      <c r="L1792" s="252"/>
      <c r="M1792" s="252"/>
      <c r="N1792" s="252"/>
      <c r="O1792" s="252"/>
      <c r="P1792" s="252"/>
      <c r="Q1792" s="252"/>
      <c r="R1792" s="252"/>
      <c r="S1792" s="252"/>
      <c r="T1792" s="252"/>
      <c r="U1792" s="252"/>
      <c r="V1792" s="252"/>
      <c r="W1792" s="252"/>
      <c r="X1792" s="252"/>
      <c r="Y1792" s="252"/>
      <c r="Z1792" s="252"/>
    </row>
    <row r="1793" ht="33.75" customHeight="1">
      <c r="A1793" s="11" t="s">
        <v>2532</v>
      </c>
      <c r="B1793" s="22" t="s">
        <v>44</v>
      </c>
      <c r="C1793" s="11" t="s">
        <v>2530</v>
      </c>
      <c r="D1793" s="74" t="s">
        <v>2531</v>
      </c>
      <c r="E1793" s="64">
        <v>46087.0</v>
      </c>
      <c r="F1793" s="14" t="s">
        <v>1133</v>
      </c>
      <c r="G1793" s="233">
        <v>8000.0</v>
      </c>
      <c r="H1793" s="28">
        <v>3686.0</v>
      </c>
      <c r="I1793" s="17">
        <v>8000.0</v>
      </c>
      <c r="J1793" s="17" t="s">
        <v>1</v>
      </c>
      <c r="K1793" s="252"/>
      <c r="L1793" s="252"/>
      <c r="M1793" s="252"/>
      <c r="N1793" s="252"/>
      <c r="O1793" s="252"/>
      <c r="P1793" s="252"/>
      <c r="Q1793" s="252"/>
      <c r="R1793" s="252"/>
      <c r="S1793" s="252"/>
      <c r="T1793" s="252"/>
      <c r="U1793" s="252"/>
      <c r="V1793" s="252"/>
      <c r="W1793" s="252"/>
      <c r="X1793" s="252"/>
      <c r="Y1793" s="252"/>
      <c r="Z1793" s="252"/>
    </row>
    <row r="1794" ht="33.75" customHeight="1">
      <c r="A1794" s="11" t="s">
        <v>2533</v>
      </c>
      <c r="B1794" s="22" t="s">
        <v>44</v>
      </c>
      <c r="C1794" s="11" t="s">
        <v>2530</v>
      </c>
      <c r="D1794" s="74" t="s">
        <v>2531</v>
      </c>
      <c r="E1794" s="64">
        <v>46087.0</v>
      </c>
      <c r="F1794" s="14" t="s">
        <v>1133</v>
      </c>
      <c r="G1794" s="233">
        <v>10000.0</v>
      </c>
      <c r="H1794" s="28">
        <v>3512.0</v>
      </c>
      <c r="I1794" s="17">
        <f t="shared" ref="I1794:I1798" si="54">G1794-H1794</f>
        <v>6488</v>
      </c>
      <c r="J1794" s="17" t="s">
        <v>1</v>
      </c>
      <c r="K1794" s="252"/>
      <c r="L1794" s="252"/>
      <c r="M1794" s="252"/>
      <c r="N1794" s="252"/>
      <c r="O1794" s="252"/>
      <c r="P1794" s="252"/>
      <c r="Q1794" s="252"/>
      <c r="R1794" s="252"/>
      <c r="S1794" s="252"/>
      <c r="T1794" s="252"/>
      <c r="U1794" s="252"/>
      <c r="V1794" s="252"/>
      <c r="W1794" s="252"/>
      <c r="X1794" s="252"/>
      <c r="Y1794" s="252"/>
      <c r="Z1794" s="252"/>
    </row>
    <row r="1795" ht="33.75" customHeight="1">
      <c r="A1795" s="11" t="s">
        <v>667</v>
      </c>
      <c r="B1795" s="22" t="s">
        <v>44</v>
      </c>
      <c r="C1795" s="11" t="s">
        <v>2530</v>
      </c>
      <c r="D1795" s="74" t="s">
        <v>2531</v>
      </c>
      <c r="E1795" s="64">
        <v>46087.0</v>
      </c>
      <c r="F1795" s="14" t="s">
        <v>1133</v>
      </c>
      <c r="G1795" s="233">
        <v>10000.0</v>
      </c>
      <c r="H1795" s="28">
        <v>7539.0</v>
      </c>
      <c r="I1795" s="17">
        <f t="shared" si="54"/>
        <v>2461</v>
      </c>
      <c r="J1795" s="17" t="s">
        <v>1</v>
      </c>
      <c r="K1795" s="252"/>
      <c r="L1795" s="252"/>
      <c r="M1795" s="252"/>
      <c r="N1795" s="252"/>
      <c r="O1795" s="252"/>
      <c r="P1795" s="252"/>
      <c r="Q1795" s="252"/>
      <c r="R1795" s="252"/>
      <c r="S1795" s="252"/>
      <c r="T1795" s="252"/>
      <c r="U1795" s="252"/>
      <c r="V1795" s="252"/>
      <c r="W1795" s="252"/>
      <c r="X1795" s="252"/>
      <c r="Y1795" s="252"/>
      <c r="Z1795" s="252"/>
    </row>
    <row r="1796" ht="33.75" customHeight="1">
      <c r="A1796" s="11" t="s">
        <v>2534</v>
      </c>
      <c r="B1796" s="22" t="s">
        <v>44</v>
      </c>
      <c r="C1796" s="11" t="s">
        <v>2530</v>
      </c>
      <c r="D1796" s="74" t="s">
        <v>2531</v>
      </c>
      <c r="E1796" s="64">
        <v>46087.0</v>
      </c>
      <c r="F1796" s="14" t="s">
        <v>1133</v>
      </c>
      <c r="G1796" s="233">
        <v>10000.0</v>
      </c>
      <c r="H1796" s="28">
        <v>4937.0</v>
      </c>
      <c r="I1796" s="17">
        <f t="shared" si="54"/>
        <v>5063</v>
      </c>
      <c r="J1796" s="17" t="s">
        <v>1</v>
      </c>
      <c r="K1796" s="252"/>
      <c r="L1796" s="252"/>
      <c r="M1796" s="252"/>
      <c r="N1796" s="252"/>
      <c r="O1796" s="252"/>
      <c r="P1796" s="252"/>
      <c r="Q1796" s="252"/>
      <c r="R1796" s="252"/>
      <c r="S1796" s="252"/>
      <c r="T1796" s="252"/>
      <c r="U1796" s="252"/>
      <c r="V1796" s="252"/>
      <c r="W1796" s="252"/>
      <c r="X1796" s="252"/>
      <c r="Y1796" s="252"/>
      <c r="Z1796" s="252"/>
    </row>
    <row r="1797" ht="33.75" customHeight="1">
      <c r="A1797" s="11" t="s">
        <v>2535</v>
      </c>
      <c r="B1797" s="22" t="s">
        <v>44</v>
      </c>
      <c r="C1797" s="11" t="s">
        <v>2536</v>
      </c>
      <c r="D1797" s="74" t="s">
        <v>2537</v>
      </c>
      <c r="E1797" s="64">
        <v>46087.0</v>
      </c>
      <c r="F1797" s="14" t="s">
        <v>1133</v>
      </c>
      <c r="G1797" s="233">
        <v>5000.0</v>
      </c>
      <c r="H1797" s="28">
        <v>10.0</v>
      </c>
      <c r="I1797" s="17">
        <f t="shared" si="54"/>
        <v>4990</v>
      </c>
      <c r="J1797" s="17" t="s">
        <v>1</v>
      </c>
      <c r="K1797" s="252"/>
      <c r="L1797" s="252"/>
      <c r="M1797" s="252"/>
      <c r="N1797" s="252"/>
      <c r="O1797" s="252"/>
      <c r="P1797" s="252"/>
      <c r="Q1797" s="252"/>
      <c r="R1797" s="252"/>
      <c r="S1797" s="252"/>
      <c r="T1797" s="252"/>
      <c r="U1797" s="252"/>
      <c r="V1797" s="252"/>
      <c r="W1797" s="252"/>
      <c r="X1797" s="252"/>
      <c r="Y1797" s="252"/>
      <c r="Z1797" s="252"/>
    </row>
    <row r="1798" ht="33.75" customHeight="1">
      <c r="A1798" s="11" t="s">
        <v>2538</v>
      </c>
      <c r="B1798" s="22" t="s">
        <v>44</v>
      </c>
      <c r="C1798" s="11" t="s">
        <v>2536</v>
      </c>
      <c r="D1798" s="74" t="s">
        <v>2537</v>
      </c>
      <c r="E1798" s="64">
        <v>46087.0</v>
      </c>
      <c r="F1798" s="14" t="s">
        <v>1133</v>
      </c>
      <c r="G1798" s="233">
        <v>10000.0</v>
      </c>
      <c r="H1798" s="28">
        <v>6566.0</v>
      </c>
      <c r="I1798" s="17">
        <f t="shared" si="54"/>
        <v>3434</v>
      </c>
      <c r="J1798" s="17" t="s">
        <v>1</v>
      </c>
      <c r="K1798" s="252"/>
      <c r="L1798" s="252"/>
      <c r="M1798" s="252"/>
      <c r="N1798" s="252"/>
      <c r="O1798" s="252"/>
      <c r="P1798" s="252"/>
      <c r="Q1798" s="252"/>
      <c r="R1798" s="252"/>
      <c r="S1798" s="252"/>
      <c r="T1798" s="252"/>
      <c r="U1798" s="252"/>
      <c r="V1798" s="252"/>
      <c r="W1798" s="252"/>
      <c r="X1798" s="252"/>
      <c r="Y1798" s="252"/>
      <c r="Z1798" s="252"/>
    </row>
    <row r="1799" ht="33.75" customHeight="1">
      <c r="A1799" s="11" t="s">
        <v>2539</v>
      </c>
      <c r="B1799" s="22" t="s">
        <v>44</v>
      </c>
      <c r="C1799" s="11" t="s">
        <v>2536</v>
      </c>
      <c r="D1799" s="74" t="s">
        <v>2537</v>
      </c>
      <c r="E1799" s="64">
        <v>46087.0</v>
      </c>
      <c r="F1799" s="14" t="s">
        <v>1133</v>
      </c>
      <c r="G1799" s="233">
        <v>8000.0</v>
      </c>
      <c r="H1799" s="28">
        <v>3403.0</v>
      </c>
      <c r="I1799" s="17">
        <v>8000.0</v>
      </c>
      <c r="J1799" s="17" t="s">
        <v>1</v>
      </c>
      <c r="K1799" s="252"/>
      <c r="L1799" s="252"/>
      <c r="M1799" s="252"/>
      <c r="N1799" s="252"/>
      <c r="O1799" s="252"/>
      <c r="P1799" s="252"/>
      <c r="Q1799" s="252"/>
      <c r="R1799" s="252"/>
      <c r="S1799" s="252"/>
      <c r="T1799" s="252"/>
      <c r="U1799" s="252"/>
      <c r="V1799" s="252"/>
      <c r="W1799" s="252"/>
      <c r="X1799" s="252"/>
      <c r="Y1799" s="252"/>
      <c r="Z1799" s="252"/>
    </row>
    <row r="1800" ht="33.75" customHeight="1">
      <c r="A1800" s="11" t="s">
        <v>1808</v>
      </c>
      <c r="B1800" s="22" t="s">
        <v>44</v>
      </c>
      <c r="C1800" s="11" t="s">
        <v>2536</v>
      </c>
      <c r="D1800" s="74" t="s">
        <v>2537</v>
      </c>
      <c r="E1800" s="64">
        <v>46087.0</v>
      </c>
      <c r="F1800" s="14" t="s">
        <v>1133</v>
      </c>
      <c r="G1800" s="233">
        <v>10000.0</v>
      </c>
      <c r="H1800" s="28">
        <v>7982.0</v>
      </c>
      <c r="I1800" s="17">
        <f t="shared" ref="I1800:I1813" si="55">G1800-H1800</f>
        <v>2018</v>
      </c>
      <c r="J1800" s="17" t="s">
        <v>1</v>
      </c>
      <c r="K1800" s="252"/>
      <c r="L1800" s="252"/>
      <c r="M1800" s="252"/>
      <c r="N1800" s="252"/>
      <c r="O1800" s="252"/>
      <c r="P1800" s="252"/>
      <c r="Q1800" s="252"/>
      <c r="R1800" s="252"/>
      <c r="S1800" s="252"/>
      <c r="T1800" s="252"/>
      <c r="U1800" s="252"/>
      <c r="V1800" s="252"/>
      <c r="W1800" s="252"/>
      <c r="X1800" s="252"/>
      <c r="Y1800" s="252"/>
      <c r="Z1800" s="252"/>
    </row>
    <row r="1801" ht="33.75" customHeight="1">
      <c r="A1801" s="11" t="s">
        <v>2540</v>
      </c>
      <c r="B1801" s="22" t="s">
        <v>44</v>
      </c>
      <c r="C1801" s="11" t="s">
        <v>2536</v>
      </c>
      <c r="D1801" s="74" t="s">
        <v>2537</v>
      </c>
      <c r="E1801" s="64">
        <v>46087.0</v>
      </c>
      <c r="F1801" s="14" t="s">
        <v>1133</v>
      </c>
      <c r="G1801" s="233">
        <v>10000.0</v>
      </c>
      <c r="H1801" s="28">
        <v>4677.0</v>
      </c>
      <c r="I1801" s="17">
        <f t="shared" si="55"/>
        <v>5323</v>
      </c>
      <c r="J1801" s="17" t="s">
        <v>1</v>
      </c>
      <c r="K1801" s="252"/>
      <c r="L1801" s="252"/>
      <c r="M1801" s="252"/>
      <c r="N1801" s="252"/>
      <c r="O1801" s="252"/>
      <c r="P1801" s="252"/>
      <c r="Q1801" s="252"/>
      <c r="R1801" s="252"/>
      <c r="S1801" s="252"/>
      <c r="T1801" s="252"/>
      <c r="U1801" s="252"/>
      <c r="V1801" s="252"/>
      <c r="W1801" s="252"/>
      <c r="X1801" s="252"/>
      <c r="Y1801" s="252"/>
      <c r="Z1801" s="252"/>
    </row>
    <row r="1802" ht="33.75" customHeight="1">
      <c r="A1802" s="11" t="s">
        <v>2541</v>
      </c>
      <c r="B1802" s="22" t="s">
        <v>44</v>
      </c>
      <c r="C1802" s="11" t="s">
        <v>2536</v>
      </c>
      <c r="D1802" s="74" t="s">
        <v>2537</v>
      </c>
      <c r="E1802" s="64">
        <v>46087.0</v>
      </c>
      <c r="F1802" s="14" t="s">
        <v>1133</v>
      </c>
      <c r="G1802" s="233">
        <v>5000.0</v>
      </c>
      <c r="H1802" s="28">
        <v>3859.0</v>
      </c>
      <c r="I1802" s="17">
        <f t="shared" si="55"/>
        <v>1141</v>
      </c>
      <c r="J1802" s="17" t="s">
        <v>1</v>
      </c>
      <c r="K1802" s="252"/>
      <c r="L1802" s="252"/>
      <c r="M1802" s="252"/>
      <c r="N1802" s="252"/>
      <c r="O1802" s="252"/>
      <c r="P1802" s="252"/>
      <c r="Q1802" s="252"/>
      <c r="R1802" s="252"/>
      <c r="S1802" s="252"/>
      <c r="T1802" s="252"/>
      <c r="U1802" s="252"/>
      <c r="V1802" s="252"/>
      <c r="W1802" s="252"/>
      <c r="X1802" s="252"/>
      <c r="Y1802" s="252"/>
      <c r="Z1802" s="252"/>
    </row>
    <row r="1803" ht="33.75" customHeight="1">
      <c r="A1803" s="11" t="s">
        <v>2217</v>
      </c>
      <c r="B1803" s="22" t="s">
        <v>44</v>
      </c>
      <c r="C1803" s="11" t="s">
        <v>2542</v>
      </c>
      <c r="D1803" s="74" t="s">
        <v>2543</v>
      </c>
      <c r="E1803" s="64">
        <v>46087.0</v>
      </c>
      <c r="F1803" s="14" t="s">
        <v>1133</v>
      </c>
      <c r="G1803" s="233">
        <v>10000.0</v>
      </c>
      <c r="H1803" s="28">
        <v>5330.0</v>
      </c>
      <c r="I1803" s="17">
        <f t="shared" si="55"/>
        <v>4670</v>
      </c>
      <c r="J1803" s="17" t="s">
        <v>1</v>
      </c>
      <c r="K1803" s="252"/>
      <c r="L1803" s="252"/>
      <c r="M1803" s="252"/>
      <c r="N1803" s="252"/>
      <c r="O1803" s="252"/>
      <c r="P1803" s="252"/>
      <c r="Q1803" s="252"/>
      <c r="R1803" s="252"/>
      <c r="S1803" s="252"/>
      <c r="T1803" s="252"/>
      <c r="U1803" s="252"/>
      <c r="V1803" s="252"/>
      <c r="W1803" s="252"/>
      <c r="X1803" s="252"/>
      <c r="Y1803" s="252"/>
      <c r="Z1803" s="252"/>
    </row>
    <row r="1804" ht="33.75" customHeight="1">
      <c r="A1804" s="11" t="s">
        <v>2544</v>
      </c>
      <c r="B1804" s="22" t="s">
        <v>44</v>
      </c>
      <c r="C1804" s="11" t="s">
        <v>2542</v>
      </c>
      <c r="D1804" s="74" t="s">
        <v>2543</v>
      </c>
      <c r="E1804" s="64">
        <v>46087.0</v>
      </c>
      <c r="F1804" s="14" t="s">
        <v>1133</v>
      </c>
      <c r="G1804" s="233">
        <v>1000.0</v>
      </c>
      <c r="H1804" s="28">
        <v>955.0</v>
      </c>
      <c r="I1804" s="17">
        <f t="shared" si="55"/>
        <v>45</v>
      </c>
      <c r="J1804" s="17" t="s">
        <v>1</v>
      </c>
      <c r="K1804" s="252"/>
      <c r="L1804" s="252"/>
      <c r="M1804" s="252"/>
      <c r="N1804" s="252"/>
      <c r="O1804" s="252"/>
      <c r="P1804" s="252"/>
      <c r="Q1804" s="252"/>
      <c r="R1804" s="252"/>
      <c r="S1804" s="252"/>
      <c r="T1804" s="252"/>
      <c r="U1804" s="252"/>
      <c r="V1804" s="252"/>
      <c r="W1804" s="252"/>
      <c r="X1804" s="252"/>
      <c r="Y1804" s="252"/>
      <c r="Z1804" s="252"/>
    </row>
    <row r="1805" ht="33.75" customHeight="1">
      <c r="A1805" s="11" t="s">
        <v>2545</v>
      </c>
      <c r="B1805" s="22" t="s">
        <v>44</v>
      </c>
      <c r="C1805" s="11" t="s">
        <v>2542</v>
      </c>
      <c r="D1805" s="74" t="s">
        <v>2543</v>
      </c>
      <c r="E1805" s="64">
        <v>46087.0</v>
      </c>
      <c r="F1805" s="14" t="s">
        <v>1133</v>
      </c>
      <c r="G1805" s="233">
        <v>10000.0</v>
      </c>
      <c r="H1805" s="28">
        <v>4536.0</v>
      </c>
      <c r="I1805" s="17">
        <f t="shared" si="55"/>
        <v>5464</v>
      </c>
      <c r="J1805" s="17" t="s">
        <v>1</v>
      </c>
      <c r="K1805" s="252"/>
      <c r="L1805" s="252"/>
      <c r="M1805" s="252"/>
      <c r="N1805" s="252"/>
      <c r="O1805" s="252"/>
      <c r="P1805" s="252"/>
      <c r="Q1805" s="252"/>
      <c r="R1805" s="252"/>
      <c r="S1805" s="252"/>
      <c r="T1805" s="252"/>
      <c r="U1805" s="252"/>
      <c r="V1805" s="252"/>
      <c r="W1805" s="252"/>
      <c r="X1805" s="252"/>
      <c r="Y1805" s="252"/>
      <c r="Z1805" s="252"/>
    </row>
    <row r="1806" ht="33.75" customHeight="1">
      <c r="A1806" s="11" t="s">
        <v>2546</v>
      </c>
      <c r="B1806" s="22" t="s">
        <v>44</v>
      </c>
      <c r="C1806" s="11" t="s">
        <v>2542</v>
      </c>
      <c r="D1806" s="74" t="s">
        <v>2543</v>
      </c>
      <c r="E1806" s="64">
        <v>46087.0</v>
      </c>
      <c r="F1806" s="14" t="s">
        <v>1133</v>
      </c>
      <c r="G1806" s="233">
        <v>5000.0</v>
      </c>
      <c r="H1806" s="28">
        <v>3368.0</v>
      </c>
      <c r="I1806" s="17">
        <f t="shared" si="55"/>
        <v>1632</v>
      </c>
      <c r="J1806" s="17" t="s">
        <v>1</v>
      </c>
      <c r="K1806" s="252"/>
      <c r="L1806" s="252"/>
      <c r="M1806" s="252"/>
      <c r="N1806" s="252"/>
      <c r="O1806" s="252"/>
      <c r="P1806" s="252"/>
      <c r="Q1806" s="252"/>
      <c r="R1806" s="252"/>
      <c r="S1806" s="252"/>
      <c r="T1806" s="252"/>
      <c r="U1806" s="252"/>
      <c r="V1806" s="252"/>
      <c r="W1806" s="252"/>
      <c r="X1806" s="252"/>
      <c r="Y1806" s="252"/>
      <c r="Z1806" s="252"/>
    </row>
    <row r="1807" ht="33.75" customHeight="1">
      <c r="A1807" s="11" t="s">
        <v>2547</v>
      </c>
      <c r="B1807" s="22" t="s">
        <v>44</v>
      </c>
      <c r="C1807" s="11" t="s">
        <v>2542</v>
      </c>
      <c r="D1807" s="74" t="s">
        <v>2543</v>
      </c>
      <c r="E1807" s="64">
        <v>46087.0</v>
      </c>
      <c r="F1807" s="14" t="s">
        <v>1133</v>
      </c>
      <c r="G1807" s="233">
        <v>10000.0</v>
      </c>
      <c r="H1807" s="28">
        <v>4732.0</v>
      </c>
      <c r="I1807" s="17">
        <f t="shared" si="55"/>
        <v>5268</v>
      </c>
      <c r="J1807" s="17" t="s">
        <v>1</v>
      </c>
      <c r="K1807" s="252"/>
      <c r="L1807" s="252"/>
      <c r="M1807" s="252"/>
      <c r="N1807" s="252"/>
      <c r="O1807" s="252"/>
      <c r="P1807" s="252"/>
      <c r="Q1807" s="252"/>
      <c r="R1807" s="252"/>
      <c r="S1807" s="252"/>
      <c r="T1807" s="252"/>
      <c r="U1807" s="252"/>
      <c r="V1807" s="252"/>
      <c r="W1807" s="252"/>
      <c r="X1807" s="252"/>
      <c r="Y1807" s="252"/>
      <c r="Z1807" s="252"/>
    </row>
    <row r="1808" ht="33.75" customHeight="1">
      <c r="A1808" s="11" t="s">
        <v>2454</v>
      </c>
      <c r="B1808" s="22" t="s">
        <v>44</v>
      </c>
      <c r="C1808" s="11" t="s">
        <v>2542</v>
      </c>
      <c r="D1808" s="74" t="s">
        <v>2543</v>
      </c>
      <c r="E1808" s="64">
        <v>46087.0</v>
      </c>
      <c r="F1808" s="14" t="s">
        <v>1133</v>
      </c>
      <c r="G1808" s="233">
        <v>5000.0</v>
      </c>
      <c r="H1808" s="28">
        <v>3544.0</v>
      </c>
      <c r="I1808" s="17">
        <f t="shared" si="55"/>
        <v>1456</v>
      </c>
      <c r="J1808" s="17" t="s">
        <v>1</v>
      </c>
      <c r="K1808" s="252"/>
      <c r="L1808" s="252"/>
      <c r="M1808" s="252"/>
      <c r="N1808" s="252"/>
      <c r="O1808" s="252"/>
      <c r="P1808" s="252"/>
      <c r="Q1808" s="252"/>
      <c r="R1808" s="252"/>
      <c r="S1808" s="252"/>
      <c r="T1808" s="252"/>
      <c r="U1808" s="252"/>
      <c r="V1808" s="252"/>
      <c r="W1808" s="252"/>
      <c r="X1808" s="252"/>
      <c r="Y1808" s="252"/>
      <c r="Z1808" s="252"/>
    </row>
    <row r="1809" ht="33.75" customHeight="1">
      <c r="A1809" s="11" t="s">
        <v>2548</v>
      </c>
      <c r="B1809" s="22" t="s">
        <v>44</v>
      </c>
      <c r="C1809" s="11" t="s">
        <v>2549</v>
      </c>
      <c r="D1809" s="74">
        <v>9.21468060643038E14</v>
      </c>
      <c r="E1809" s="64">
        <v>46087.0</v>
      </c>
      <c r="F1809" s="14" t="s">
        <v>1133</v>
      </c>
      <c r="G1809" s="233">
        <v>10000.0</v>
      </c>
      <c r="H1809" s="28">
        <v>4582.0</v>
      </c>
      <c r="I1809" s="17">
        <f t="shared" si="55"/>
        <v>5418</v>
      </c>
      <c r="J1809" s="17" t="s">
        <v>1</v>
      </c>
      <c r="K1809" s="252"/>
      <c r="L1809" s="252"/>
      <c r="M1809" s="252"/>
      <c r="N1809" s="252"/>
      <c r="O1809" s="252"/>
      <c r="P1809" s="252"/>
      <c r="Q1809" s="252"/>
      <c r="R1809" s="252"/>
      <c r="S1809" s="252"/>
      <c r="T1809" s="252"/>
      <c r="U1809" s="252"/>
      <c r="V1809" s="252"/>
      <c r="W1809" s="252"/>
      <c r="X1809" s="252"/>
      <c r="Y1809" s="252"/>
      <c r="Z1809" s="252"/>
    </row>
    <row r="1810" ht="33.75" customHeight="1">
      <c r="A1810" s="11" t="s">
        <v>2447</v>
      </c>
      <c r="B1810" s="22" t="s">
        <v>44</v>
      </c>
      <c r="C1810" s="11" t="s">
        <v>2549</v>
      </c>
      <c r="D1810" s="74">
        <v>9.21468060643038E14</v>
      </c>
      <c r="E1810" s="64">
        <v>46087.0</v>
      </c>
      <c r="F1810" s="14" t="s">
        <v>1133</v>
      </c>
      <c r="G1810" s="233">
        <v>10000.0</v>
      </c>
      <c r="H1810" s="28">
        <v>3949.0</v>
      </c>
      <c r="I1810" s="17">
        <f t="shared" si="55"/>
        <v>6051</v>
      </c>
      <c r="J1810" s="17" t="s">
        <v>1</v>
      </c>
      <c r="K1810" s="252"/>
      <c r="L1810" s="252"/>
      <c r="M1810" s="252"/>
      <c r="N1810" s="252"/>
      <c r="O1810" s="252"/>
      <c r="P1810" s="252"/>
      <c r="Q1810" s="252"/>
      <c r="R1810" s="252"/>
      <c r="S1810" s="252"/>
      <c r="T1810" s="252"/>
      <c r="U1810" s="252"/>
      <c r="V1810" s="252"/>
      <c r="W1810" s="252"/>
      <c r="X1810" s="252"/>
      <c r="Y1810" s="252"/>
      <c r="Z1810" s="252"/>
    </row>
    <row r="1811" ht="33.75" customHeight="1">
      <c r="A1811" s="11" t="s">
        <v>2550</v>
      </c>
      <c r="B1811" s="22" t="s">
        <v>44</v>
      </c>
      <c r="C1811" s="11" t="s">
        <v>2549</v>
      </c>
      <c r="D1811" s="74">
        <v>9.21468060643038E14</v>
      </c>
      <c r="E1811" s="64">
        <v>46087.0</v>
      </c>
      <c r="F1811" s="14" t="s">
        <v>1133</v>
      </c>
      <c r="G1811" s="233">
        <v>8000.0</v>
      </c>
      <c r="H1811" s="28">
        <v>4426.0</v>
      </c>
      <c r="I1811" s="17">
        <f t="shared" si="55"/>
        <v>3574</v>
      </c>
      <c r="J1811" s="17" t="s">
        <v>1</v>
      </c>
      <c r="K1811" s="252"/>
      <c r="L1811" s="252"/>
      <c r="M1811" s="252"/>
      <c r="N1811" s="252"/>
      <c r="O1811" s="252"/>
      <c r="P1811" s="252"/>
      <c r="Q1811" s="252"/>
      <c r="R1811" s="252"/>
      <c r="S1811" s="252"/>
      <c r="T1811" s="252"/>
      <c r="U1811" s="252"/>
      <c r="V1811" s="252"/>
      <c r="W1811" s="252"/>
      <c r="X1811" s="252"/>
      <c r="Y1811" s="252"/>
      <c r="Z1811" s="252"/>
    </row>
    <row r="1812" ht="33.75" customHeight="1">
      <c r="A1812" s="11" t="s">
        <v>2551</v>
      </c>
      <c r="B1812" s="22" t="s">
        <v>44</v>
      </c>
      <c r="C1812" s="11" t="s">
        <v>2549</v>
      </c>
      <c r="D1812" s="74">
        <v>9.21468060643038E14</v>
      </c>
      <c r="E1812" s="64">
        <v>46087.0</v>
      </c>
      <c r="F1812" s="14" t="s">
        <v>1133</v>
      </c>
      <c r="G1812" s="233">
        <v>10000.0</v>
      </c>
      <c r="H1812" s="28">
        <v>4804.0</v>
      </c>
      <c r="I1812" s="17">
        <f t="shared" si="55"/>
        <v>5196</v>
      </c>
      <c r="J1812" s="17" t="s">
        <v>1</v>
      </c>
      <c r="K1812" s="252"/>
      <c r="L1812" s="252"/>
      <c r="M1812" s="252"/>
      <c r="N1812" s="252"/>
      <c r="O1812" s="252"/>
      <c r="P1812" s="252"/>
      <c r="Q1812" s="252"/>
      <c r="R1812" s="252"/>
      <c r="S1812" s="252"/>
      <c r="T1812" s="252"/>
      <c r="U1812" s="252"/>
      <c r="V1812" s="252"/>
      <c r="W1812" s="252"/>
      <c r="X1812" s="252"/>
      <c r="Y1812" s="252"/>
      <c r="Z1812" s="252"/>
    </row>
    <row r="1813" ht="33.75" customHeight="1">
      <c r="A1813" s="11" t="s">
        <v>2552</v>
      </c>
      <c r="B1813" s="22" t="s">
        <v>44</v>
      </c>
      <c r="C1813" s="11" t="s">
        <v>2549</v>
      </c>
      <c r="D1813" s="74">
        <v>9.21468060643038E14</v>
      </c>
      <c r="E1813" s="64">
        <v>46087.0</v>
      </c>
      <c r="F1813" s="14" t="s">
        <v>1133</v>
      </c>
      <c r="G1813" s="233">
        <v>5000.0</v>
      </c>
      <c r="H1813" s="28">
        <v>4642.0</v>
      </c>
      <c r="I1813" s="17">
        <f t="shared" si="55"/>
        <v>358</v>
      </c>
      <c r="J1813" s="17" t="s">
        <v>1</v>
      </c>
      <c r="K1813" s="252"/>
      <c r="L1813" s="252"/>
      <c r="M1813" s="252"/>
      <c r="N1813" s="252"/>
      <c r="O1813" s="252"/>
      <c r="P1813" s="252"/>
      <c r="Q1813" s="252"/>
      <c r="R1813" s="252"/>
      <c r="S1813" s="252"/>
      <c r="T1813" s="252"/>
      <c r="U1813" s="252"/>
      <c r="V1813" s="252"/>
      <c r="W1813" s="252"/>
      <c r="X1813" s="252"/>
      <c r="Y1813" s="252"/>
      <c r="Z1813" s="252"/>
    </row>
    <row r="1814" ht="33.75" customHeight="1">
      <c r="A1814" s="11" t="s">
        <v>2411</v>
      </c>
      <c r="B1814" s="22" t="s">
        <v>44</v>
      </c>
      <c r="C1814" s="11" t="s">
        <v>1552</v>
      </c>
      <c r="D1814" s="74">
        <v>7.73532835808218E14</v>
      </c>
      <c r="E1814" s="64">
        <v>46087.0</v>
      </c>
      <c r="F1814" s="14" t="s">
        <v>1133</v>
      </c>
      <c r="G1814" s="233">
        <v>5000.0</v>
      </c>
      <c r="H1814" s="28">
        <v>3862.0</v>
      </c>
      <c r="I1814" s="17">
        <v>8000.0</v>
      </c>
      <c r="J1814" s="17" t="s">
        <v>1</v>
      </c>
      <c r="K1814" s="252"/>
      <c r="L1814" s="252"/>
      <c r="M1814" s="252"/>
      <c r="N1814" s="252"/>
      <c r="O1814" s="252"/>
      <c r="P1814" s="252"/>
      <c r="Q1814" s="252"/>
      <c r="R1814" s="252"/>
      <c r="S1814" s="252"/>
      <c r="T1814" s="252"/>
      <c r="U1814" s="252"/>
      <c r="V1814" s="252"/>
      <c r="W1814" s="252"/>
      <c r="X1814" s="252"/>
      <c r="Y1814" s="252"/>
      <c r="Z1814" s="252"/>
    </row>
    <row r="1815" ht="33.75" customHeight="1">
      <c r="A1815" s="11" t="s">
        <v>480</v>
      </c>
      <c r="B1815" s="22" t="s">
        <v>44</v>
      </c>
      <c r="C1815" s="11" t="s">
        <v>2553</v>
      </c>
      <c r="D1815" s="74">
        <v>7.73532835808218E14</v>
      </c>
      <c r="E1815" s="64">
        <v>46087.0</v>
      </c>
      <c r="F1815" s="14" t="s">
        <v>1133</v>
      </c>
      <c r="G1815" s="233">
        <v>9000.0</v>
      </c>
      <c r="H1815" s="28">
        <v>5374.0</v>
      </c>
      <c r="I1815" s="17">
        <v>8000.0</v>
      </c>
      <c r="J1815" s="17" t="s">
        <v>1</v>
      </c>
      <c r="K1815" s="252"/>
      <c r="L1815" s="252"/>
      <c r="M1815" s="252"/>
      <c r="N1815" s="252"/>
      <c r="O1815" s="252"/>
      <c r="P1815" s="252"/>
      <c r="Q1815" s="252"/>
      <c r="R1815" s="252"/>
      <c r="S1815" s="252"/>
      <c r="T1815" s="252"/>
      <c r="U1815" s="252"/>
      <c r="V1815" s="252"/>
      <c r="W1815" s="252"/>
      <c r="X1815" s="252"/>
      <c r="Y1815" s="252"/>
      <c r="Z1815" s="252"/>
    </row>
    <row r="1816" ht="33.75" customHeight="1">
      <c r="A1816" s="11" t="s">
        <v>1160</v>
      </c>
      <c r="B1816" s="22" t="s">
        <v>81</v>
      </c>
      <c r="C1816" s="11" t="s">
        <v>2553</v>
      </c>
      <c r="D1816" s="74">
        <v>7.73532835808218E14</v>
      </c>
      <c r="E1816" s="64">
        <v>46087.0</v>
      </c>
      <c r="F1816" s="14" t="s">
        <v>1133</v>
      </c>
      <c r="G1816" s="233" t="s">
        <v>2554</v>
      </c>
      <c r="H1816" s="28">
        <v>4923.0</v>
      </c>
      <c r="I1816" s="17">
        <v>8000.0</v>
      </c>
      <c r="J1816" s="17" t="s">
        <v>1</v>
      </c>
      <c r="K1816" s="252"/>
      <c r="L1816" s="252"/>
      <c r="M1816" s="252"/>
      <c r="N1816" s="252"/>
      <c r="O1816" s="252"/>
      <c r="P1816" s="252"/>
      <c r="Q1816" s="252"/>
      <c r="R1816" s="252"/>
      <c r="S1816" s="252"/>
      <c r="T1816" s="252"/>
      <c r="U1816" s="252"/>
      <c r="V1816" s="252"/>
      <c r="W1816" s="252"/>
      <c r="X1816" s="252"/>
      <c r="Y1816" s="252"/>
      <c r="Z1816" s="252"/>
    </row>
    <row r="1817" ht="33.75" customHeight="1">
      <c r="A1817" s="11" t="s">
        <v>837</v>
      </c>
      <c r="B1817" s="22" t="s">
        <v>88</v>
      </c>
      <c r="C1817" s="11" t="s">
        <v>2507</v>
      </c>
      <c r="D1817" s="11">
        <v>9.05229535548849E14</v>
      </c>
      <c r="E1817" s="76">
        <v>46087.0</v>
      </c>
      <c r="F1817" s="14" t="s">
        <v>26</v>
      </c>
      <c r="G1817" s="15" t="s">
        <v>2508</v>
      </c>
      <c r="H1817" s="28"/>
      <c r="I1817" s="17">
        <f t="shared" ref="I1817:I1829" si="56">G1817-H1817</f>
        <v>11819</v>
      </c>
      <c r="J1817" s="222" t="s">
        <v>700</v>
      </c>
      <c r="K1817" s="223"/>
      <c r="L1817" s="223"/>
      <c r="M1817" s="223"/>
      <c r="N1817" s="223"/>
      <c r="O1817" s="223"/>
      <c r="P1817" s="223"/>
      <c r="Q1817" s="223"/>
      <c r="R1817" s="223"/>
      <c r="S1817" s="223"/>
      <c r="T1817" s="223"/>
      <c r="U1817" s="223"/>
      <c r="V1817" s="223"/>
      <c r="W1817" s="223"/>
      <c r="X1817" s="223"/>
      <c r="Y1817" s="223"/>
      <c r="Z1817" s="223"/>
    </row>
    <row r="1818" ht="33.75" customHeight="1">
      <c r="A1818" s="11" t="s">
        <v>135</v>
      </c>
      <c r="B1818" s="12"/>
      <c r="C1818" s="11" t="s">
        <v>2311</v>
      </c>
      <c r="D1818" s="36"/>
      <c r="E1818" s="76">
        <v>46087.0</v>
      </c>
      <c r="F1818" s="14" t="s">
        <v>1191</v>
      </c>
      <c r="G1818" s="15" t="s">
        <v>2555</v>
      </c>
      <c r="H1818" s="16">
        <v>16783.0</v>
      </c>
      <c r="I1818" s="17">
        <f t="shared" si="56"/>
        <v>1762</v>
      </c>
      <c r="J1818" s="17" t="s">
        <v>1</v>
      </c>
      <c r="K1818" s="223"/>
      <c r="L1818" s="223"/>
      <c r="M1818" s="223"/>
      <c r="N1818" s="223"/>
      <c r="O1818" s="223"/>
      <c r="P1818" s="223"/>
      <c r="Q1818" s="223"/>
      <c r="R1818" s="223"/>
      <c r="S1818" s="223"/>
      <c r="T1818" s="223"/>
      <c r="U1818" s="223"/>
      <c r="V1818" s="223"/>
      <c r="W1818" s="223"/>
      <c r="X1818" s="223"/>
      <c r="Y1818" s="223"/>
      <c r="Z1818" s="223"/>
    </row>
    <row r="1819" ht="33.75" customHeight="1">
      <c r="A1819" s="11" t="s">
        <v>1987</v>
      </c>
      <c r="B1819" s="12" t="s">
        <v>530</v>
      </c>
      <c r="C1819" s="11" t="s">
        <v>2481</v>
      </c>
      <c r="D1819" s="11">
        <v>1.64198899360608E15</v>
      </c>
      <c r="E1819" s="76">
        <v>46087.0</v>
      </c>
      <c r="F1819" s="14" t="s">
        <v>1133</v>
      </c>
      <c r="G1819" s="15" t="s">
        <v>573</v>
      </c>
      <c r="H1819" s="179">
        <v>9242.0</v>
      </c>
      <c r="I1819" s="17">
        <f t="shared" si="56"/>
        <v>758</v>
      </c>
      <c r="J1819" s="17" t="s">
        <v>1</v>
      </c>
      <c r="K1819" s="223"/>
      <c r="L1819" s="223"/>
      <c r="M1819" s="223"/>
      <c r="N1819" s="223"/>
      <c r="O1819" s="223"/>
      <c r="P1819" s="223"/>
      <c r="Q1819" s="223"/>
      <c r="R1819" s="223"/>
      <c r="S1819" s="223"/>
      <c r="T1819" s="223"/>
      <c r="U1819" s="223"/>
      <c r="V1819" s="223"/>
      <c r="W1819" s="223"/>
      <c r="X1819" s="223"/>
      <c r="Y1819" s="223"/>
      <c r="Z1819" s="223"/>
    </row>
    <row r="1820" ht="33.75" customHeight="1">
      <c r="A1820" s="11" t="s">
        <v>2478</v>
      </c>
      <c r="B1820" s="22"/>
      <c r="C1820" s="11" t="s">
        <v>2480</v>
      </c>
      <c r="D1820" s="11">
        <v>9.25588830120424E14</v>
      </c>
      <c r="E1820" s="76">
        <v>46087.0</v>
      </c>
      <c r="F1820" s="14" t="s">
        <v>1141</v>
      </c>
      <c r="G1820" s="15" t="s">
        <v>504</v>
      </c>
      <c r="H1820" s="16">
        <v>22454.0</v>
      </c>
      <c r="I1820" s="17">
        <f t="shared" si="56"/>
        <v>2546</v>
      </c>
      <c r="J1820" s="11" t="s">
        <v>1</v>
      </c>
      <c r="K1820" s="35"/>
      <c r="L1820" s="35"/>
      <c r="M1820" s="35"/>
      <c r="N1820" s="35"/>
      <c r="O1820" s="35"/>
      <c r="P1820" s="35"/>
      <c r="Q1820" s="35"/>
      <c r="R1820" s="35"/>
      <c r="S1820" s="35"/>
      <c r="T1820" s="35"/>
      <c r="U1820" s="35"/>
      <c r="V1820" s="35"/>
      <c r="W1820" s="35"/>
      <c r="X1820" s="35"/>
      <c r="Y1820" s="35"/>
      <c r="Z1820" s="35"/>
    </row>
    <row r="1821" ht="33.75" customHeight="1">
      <c r="A1821" s="11" t="s">
        <v>2556</v>
      </c>
      <c r="B1821" s="22" t="s">
        <v>161</v>
      </c>
      <c r="C1821" s="11" t="s">
        <v>2557</v>
      </c>
      <c r="D1821" s="11">
        <v>8.3233312593272E14</v>
      </c>
      <c r="E1821" s="76">
        <v>46087.0</v>
      </c>
      <c r="F1821" s="14" t="s">
        <v>17</v>
      </c>
      <c r="G1821" s="328" t="s">
        <v>2558</v>
      </c>
      <c r="H1821" s="16">
        <v>7423.0</v>
      </c>
      <c r="I1821" s="17">
        <f t="shared" si="56"/>
        <v>2416</v>
      </c>
      <c r="J1821" s="17" t="s">
        <v>1</v>
      </c>
      <c r="K1821" s="92"/>
      <c r="L1821" s="92"/>
      <c r="M1821" s="92"/>
      <c r="N1821" s="92"/>
      <c r="O1821" s="92"/>
      <c r="P1821" s="92"/>
      <c r="Q1821" s="92"/>
      <c r="R1821" s="92"/>
      <c r="S1821" s="92"/>
      <c r="T1821" s="92"/>
      <c r="U1821" s="92"/>
      <c r="V1821" s="92"/>
      <c r="W1821" s="92"/>
      <c r="X1821" s="92"/>
      <c r="Y1821" s="92"/>
      <c r="Z1821" s="92"/>
    </row>
    <row r="1822" ht="33.75" customHeight="1">
      <c r="A1822" s="11" t="s">
        <v>2172</v>
      </c>
      <c r="B1822" s="22" t="s">
        <v>323</v>
      </c>
      <c r="C1822" s="11" t="s">
        <v>2559</v>
      </c>
      <c r="D1822" s="11">
        <v>8.81523457979127E14</v>
      </c>
      <c r="E1822" s="76">
        <v>46087.0</v>
      </c>
      <c r="F1822" s="14" t="s">
        <v>17</v>
      </c>
      <c r="G1822" s="178">
        <v>77000.0</v>
      </c>
      <c r="H1822" s="28"/>
      <c r="I1822" s="17">
        <f t="shared" si="56"/>
        <v>77000</v>
      </c>
      <c r="J1822" s="17" t="s">
        <v>1</v>
      </c>
      <c r="K1822" s="92"/>
      <c r="L1822" s="92"/>
      <c r="M1822" s="92"/>
      <c r="N1822" s="92"/>
      <c r="O1822" s="92"/>
      <c r="P1822" s="92"/>
      <c r="Q1822" s="92"/>
      <c r="R1822" s="92"/>
      <c r="S1822" s="92"/>
      <c r="T1822" s="92"/>
      <c r="U1822" s="92"/>
      <c r="V1822" s="92"/>
      <c r="W1822" s="92"/>
      <c r="X1822" s="92"/>
      <c r="Y1822" s="92"/>
      <c r="Z1822" s="92"/>
    </row>
    <row r="1823" ht="33.75" customHeight="1">
      <c r="A1823" s="11" t="s">
        <v>2172</v>
      </c>
      <c r="B1823" s="22" t="s">
        <v>323</v>
      </c>
      <c r="C1823" s="11" t="s">
        <v>2560</v>
      </c>
      <c r="D1823" s="11">
        <v>9.13012638131824E14</v>
      </c>
      <c r="E1823" s="76">
        <v>46087.0</v>
      </c>
      <c r="F1823" s="14" t="s">
        <v>17</v>
      </c>
      <c r="G1823" s="178">
        <v>77000.0</v>
      </c>
      <c r="H1823" s="28"/>
      <c r="I1823" s="17">
        <f t="shared" si="56"/>
        <v>77000</v>
      </c>
      <c r="J1823" s="17" t="s">
        <v>1</v>
      </c>
      <c r="K1823" s="92"/>
      <c r="L1823" s="92"/>
      <c r="M1823" s="92"/>
      <c r="N1823" s="92"/>
      <c r="O1823" s="92"/>
      <c r="P1823" s="92"/>
      <c r="Q1823" s="92"/>
      <c r="R1823" s="92"/>
      <c r="S1823" s="92"/>
      <c r="T1823" s="92"/>
      <c r="U1823" s="92"/>
      <c r="V1823" s="92"/>
      <c r="W1823" s="92"/>
      <c r="X1823" s="92"/>
      <c r="Y1823" s="92"/>
      <c r="Z1823" s="92"/>
    </row>
    <row r="1824" ht="33.75" customHeight="1">
      <c r="A1824" s="11" t="s">
        <v>2172</v>
      </c>
      <c r="B1824" s="22" t="s">
        <v>323</v>
      </c>
      <c r="C1824" s="11" t="s">
        <v>2561</v>
      </c>
      <c r="D1824" s="11" t="s">
        <v>2562</v>
      </c>
      <c r="E1824" s="76">
        <v>46087.0</v>
      </c>
      <c r="F1824" s="14" t="s">
        <v>17</v>
      </c>
      <c r="G1824" s="178">
        <v>77000.0</v>
      </c>
      <c r="H1824" s="28"/>
      <c r="I1824" s="17">
        <f t="shared" si="56"/>
        <v>77000</v>
      </c>
      <c r="J1824" s="17" t="s">
        <v>1</v>
      </c>
      <c r="K1824" s="92"/>
      <c r="L1824" s="92"/>
      <c r="M1824" s="92"/>
      <c r="N1824" s="92"/>
      <c r="O1824" s="92"/>
      <c r="P1824" s="92"/>
      <c r="Q1824" s="92"/>
      <c r="R1824" s="92"/>
      <c r="S1824" s="92"/>
      <c r="T1824" s="92"/>
      <c r="U1824" s="92"/>
      <c r="V1824" s="92"/>
      <c r="W1824" s="92"/>
      <c r="X1824" s="92"/>
      <c r="Y1824" s="92"/>
      <c r="Z1824" s="92"/>
    </row>
    <row r="1825" ht="33.75" customHeight="1">
      <c r="A1825" s="11" t="s">
        <v>2172</v>
      </c>
      <c r="B1825" s="22" t="s">
        <v>323</v>
      </c>
      <c r="C1825" s="11" t="s">
        <v>2563</v>
      </c>
      <c r="D1825" s="11" t="s">
        <v>2564</v>
      </c>
      <c r="E1825" s="76">
        <v>46087.0</v>
      </c>
      <c r="F1825" s="14" t="s">
        <v>17</v>
      </c>
      <c r="G1825" s="178">
        <v>77000.0</v>
      </c>
      <c r="H1825" s="28"/>
      <c r="I1825" s="17">
        <f t="shared" si="56"/>
        <v>77000</v>
      </c>
      <c r="J1825" s="17" t="s">
        <v>1</v>
      </c>
      <c r="K1825" s="92"/>
      <c r="L1825" s="92"/>
      <c r="M1825" s="92"/>
      <c r="N1825" s="92"/>
      <c r="O1825" s="92"/>
      <c r="P1825" s="92"/>
      <c r="Q1825" s="92"/>
      <c r="R1825" s="92"/>
      <c r="S1825" s="92"/>
      <c r="T1825" s="92"/>
      <c r="U1825" s="92"/>
      <c r="V1825" s="92"/>
      <c r="W1825" s="92"/>
      <c r="X1825" s="92"/>
      <c r="Y1825" s="92"/>
      <c r="Z1825" s="92"/>
    </row>
    <row r="1826" ht="33.75" customHeight="1">
      <c r="A1826" s="11" t="s">
        <v>2172</v>
      </c>
      <c r="B1826" s="22" t="s">
        <v>323</v>
      </c>
      <c r="C1826" s="11" t="s">
        <v>2565</v>
      </c>
      <c r="D1826" s="11" t="s">
        <v>2566</v>
      </c>
      <c r="E1826" s="76">
        <v>46087.0</v>
      </c>
      <c r="F1826" s="14" t="s">
        <v>17</v>
      </c>
      <c r="G1826" s="178">
        <v>77000.0</v>
      </c>
      <c r="H1826" s="28"/>
      <c r="I1826" s="17">
        <f t="shared" si="56"/>
        <v>77000</v>
      </c>
      <c r="J1826" s="17" t="s">
        <v>1</v>
      </c>
      <c r="K1826" s="92"/>
      <c r="L1826" s="92"/>
      <c r="M1826" s="92"/>
      <c r="N1826" s="92"/>
      <c r="O1826" s="92"/>
      <c r="P1826" s="92"/>
      <c r="Q1826" s="92"/>
      <c r="R1826" s="92"/>
      <c r="S1826" s="92"/>
      <c r="T1826" s="92"/>
      <c r="U1826" s="92"/>
      <c r="V1826" s="92"/>
      <c r="W1826" s="92"/>
      <c r="X1826" s="92"/>
      <c r="Y1826" s="92"/>
      <c r="Z1826" s="92"/>
    </row>
    <row r="1827" ht="33.75" customHeight="1">
      <c r="A1827" s="11" t="s">
        <v>674</v>
      </c>
      <c r="B1827" s="22" t="s">
        <v>34</v>
      </c>
      <c r="C1827" s="11" t="s">
        <v>2567</v>
      </c>
      <c r="D1827" s="11" t="s">
        <v>2568</v>
      </c>
      <c r="E1827" s="76">
        <v>46087.0</v>
      </c>
      <c r="F1827" s="14" t="s">
        <v>17</v>
      </c>
      <c r="G1827" s="178">
        <v>11000.0</v>
      </c>
      <c r="H1827" s="28"/>
      <c r="I1827" s="17">
        <f t="shared" si="56"/>
        <v>11000</v>
      </c>
      <c r="J1827" s="17" t="s">
        <v>1</v>
      </c>
      <c r="K1827" s="92"/>
      <c r="L1827" s="92"/>
      <c r="M1827" s="92"/>
      <c r="N1827" s="92"/>
      <c r="O1827" s="92"/>
      <c r="P1827" s="92"/>
      <c r="Q1827" s="92"/>
      <c r="R1827" s="92"/>
      <c r="S1827" s="92"/>
      <c r="T1827" s="92"/>
      <c r="U1827" s="92"/>
      <c r="V1827" s="92"/>
      <c r="W1827" s="92"/>
      <c r="X1827" s="92"/>
      <c r="Y1827" s="92"/>
      <c r="Z1827" s="92"/>
    </row>
    <row r="1828" ht="33.75" customHeight="1">
      <c r="A1828" s="11" t="s">
        <v>1983</v>
      </c>
      <c r="B1828" s="22" t="s">
        <v>641</v>
      </c>
      <c r="C1828" s="11" t="s">
        <v>2477</v>
      </c>
      <c r="D1828" s="11">
        <v>1.8662615140235E15</v>
      </c>
      <c r="E1828" s="64">
        <v>46087.0</v>
      </c>
      <c r="F1828" s="14" t="s">
        <v>1133</v>
      </c>
      <c r="G1828" s="15" t="s">
        <v>2569</v>
      </c>
      <c r="H1828" s="16">
        <v>7501.0</v>
      </c>
      <c r="I1828" s="17">
        <f t="shared" si="56"/>
        <v>1499</v>
      </c>
      <c r="J1828" s="17" t="s">
        <v>1</v>
      </c>
      <c r="K1828" s="223"/>
      <c r="L1828" s="223"/>
      <c r="M1828" s="223"/>
      <c r="N1828" s="223"/>
      <c r="O1828" s="223"/>
      <c r="P1828" s="223"/>
      <c r="Q1828" s="223"/>
      <c r="R1828" s="223"/>
      <c r="S1828" s="223"/>
      <c r="T1828" s="223"/>
      <c r="U1828" s="223"/>
      <c r="V1828" s="223"/>
      <c r="W1828" s="223"/>
      <c r="X1828" s="223"/>
      <c r="Y1828" s="223"/>
      <c r="Z1828" s="223"/>
    </row>
    <row r="1829" ht="33.75" customHeight="1">
      <c r="A1829" s="11" t="s">
        <v>2376</v>
      </c>
      <c r="B1829" s="22" t="s">
        <v>140</v>
      </c>
      <c r="C1829" s="11" t="s">
        <v>2377</v>
      </c>
      <c r="D1829" s="11" t="s">
        <v>2378</v>
      </c>
      <c r="E1829" s="76">
        <v>46087.0</v>
      </c>
      <c r="F1829" s="14" t="s">
        <v>1133</v>
      </c>
      <c r="G1829" s="178">
        <v>1024.0</v>
      </c>
      <c r="H1829" s="16">
        <v>850.0</v>
      </c>
      <c r="I1829" s="17">
        <f t="shared" si="56"/>
        <v>174</v>
      </c>
      <c r="J1829" s="17" t="s">
        <v>1</v>
      </c>
      <c r="K1829" s="92"/>
      <c r="L1829" s="92"/>
      <c r="M1829" s="92"/>
      <c r="N1829" s="92"/>
      <c r="O1829" s="92"/>
      <c r="P1829" s="92"/>
      <c r="Q1829" s="92"/>
      <c r="R1829" s="92"/>
      <c r="S1829" s="92"/>
      <c r="T1829" s="92"/>
      <c r="U1829" s="92"/>
      <c r="V1829" s="92"/>
      <c r="W1829" s="92"/>
      <c r="X1829" s="92"/>
      <c r="Y1829" s="92"/>
      <c r="Z1829" s="92"/>
    </row>
    <row r="1830" ht="33.75" customHeight="1">
      <c r="A1830" s="11" t="s">
        <v>2387</v>
      </c>
      <c r="B1830" s="12"/>
      <c r="C1830" s="11" t="s">
        <v>2389</v>
      </c>
      <c r="D1830" s="11">
        <v>7.53987530911922E14</v>
      </c>
      <c r="E1830" s="76">
        <v>46087.0</v>
      </c>
      <c r="F1830" s="14" t="s">
        <v>287</v>
      </c>
      <c r="G1830" s="15" t="s">
        <v>2570</v>
      </c>
      <c r="H1830" s="16">
        <v>1393.0</v>
      </c>
      <c r="I1830" s="39">
        <v>0.0</v>
      </c>
      <c r="J1830" s="220" t="s">
        <v>1</v>
      </c>
      <c r="K1830" s="330"/>
      <c r="L1830" s="330"/>
      <c r="M1830" s="330"/>
      <c r="N1830" s="330"/>
      <c r="O1830" s="330"/>
      <c r="P1830" s="330"/>
      <c r="Q1830" s="330"/>
      <c r="R1830" s="330"/>
      <c r="S1830" s="330"/>
      <c r="T1830" s="330"/>
      <c r="U1830" s="330"/>
      <c r="V1830" s="330"/>
      <c r="W1830" s="330"/>
      <c r="X1830" s="330"/>
      <c r="Y1830" s="330"/>
      <c r="Z1830" s="330"/>
    </row>
    <row r="1831" ht="33.75" customHeight="1">
      <c r="A1831" s="44"/>
      <c r="B1831" s="331"/>
      <c r="C1831" s="44"/>
      <c r="D1831" s="322"/>
      <c r="E1831" s="307"/>
      <c r="F1831" s="46"/>
      <c r="G1831" s="47"/>
      <c r="H1831" s="309"/>
      <c r="I1831" s="48"/>
      <c r="J1831" s="332"/>
      <c r="K1831" s="330"/>
      <c r="L1831" s="330"/>
      <c r="M1831" s="330"/>
      <c r="N1831" s="330"/>
      <c r="O1831" s="330"/>
      <c r="P1831" s="330"/>
      <c r="Q1831" s="330"/>
      <c r="R1831" s="330"/>
      <c r="S1831" s="330"/>
      <c r="T1831" s="330"/>
      <c r="U1831" s="330"/>
      <c r="V1831" s="330"/>
      <c r="W1831" s="330"/>
      <c r="X1831" s="330"/>
      <c r="Y1831" s="330"/>
      <c r="Z1831" s="330"/>
    </row>
    <row r="1832" ht="33.75" customHeight="1">
      <c r="A1832" s="11" t="s">
        <v>1587</v>
      </c>
      <c r="B1832" s="22" t="s">
        <v>1011</v>
      </c>
      <c r="C1832" s="11" t="s">
        <v>2571</v>
      </c>
      <c r="D1832" s="24" t="s">
        <v>2572</v>
      </c>
      <c r="E1832" s="64">
        <v>46088.0</v>
      </c>
      <c r="F1832" s="14" t="s">
        <v>17</v>
      </c>
      <c r="G1832" s="178">
        <v>55043.0</v>
      </c>
      <c r="H1832" s="28"/>
      <c r="I1832" s="17">
        <f t="shared" ref="I1832:I1841" si="57">G1832-H1832</f>
        <v>55043</v>
      </c>
      <c r="J1832" s="220" t="s">
        <v>1</v>
      </c>
      <c r="K1832" s="330"/>
      <c r="L1832" s="330"/>
      <c r="M1832" s="330"/>
      <c r="N1832" s="330"/>
      <c r="O1832" s="330"/>
      <c r="P1832" s="330"/>
      <c r="Q1832" s="330"/>
      <c r="R1832" s="330"/>
      <c r="S1832" s="330"/>
      <c r="T1832" s="330"/>
      <c r="U1832" s="330"/>
      <c r="V1832" s="330"/>
      <c r="W1832" s="330"/>
      <c r="X1832" s="330"/>
      <c r="Y1832" s="330"/>
      <c r="Z1832" s="330"/>
    </row>
    <row r="1833" ht="33.75" customHeight="1">
      <c r="A1833" s="11" t="s">
        <v>1587</v>
      </c>
      <c r="B1833" s="22" t="s">
        <v>49</v>
      </c>
      <c r="C1833" s="11" t="s">
        <v>2573</v>
      </c>
      <c r="D1833" s="24">
        <v>7.44298941865028E14</v>
      </c>
      <c r="E1833" s="64">
        <v>46088.0</v>
      </c>
      <c r="F1833" s="14" t="s">
        <v>17</v>
      </c>
      <c r="G1833" s="178">
        <v>55043.0</v>
      </c>
      <c r="H1833" s="28"/>
      <c r="I1833" s="17">
        <f t="shared" si="57"/>
        <v>55043</v>
      </c>
      <c r="J1833" s="220" t="s">
        <v>1</v>
      </c>
      <c r="K1833" s="330"/>
      <c r="L1833" s="330"/>
      <c r="M1833" s="330"/>
      <c r="N1833" s="330"/>
      <c r="O1833" s="330"/>
      <c r="P1833" s="330"/>
      <c r="Q1833" s="330"/>
      <c r="R1833" s="330"/>
      <c r="S1833" s="330"/>
      <c r="T1833" s="330"/>
      <c r="U1833" s="330"/>
      <c r="V1833" s="330"/>
      <c r="W1833" s="330"/>
      <c r="X1833" s="330"/>
      <c r="Y1833" s="330"/>
      <c r="Z1833" s="330"/>
    </row>
    <row r="1834" ht="33.75" customHeight="1">
      <c r="A1834" s="11" t="s">
        <v>2574</v>
      </c>
      <c r="B1834" s="22" t="s">
        <v>85</v>
      </c>
      <c r="C1834" s="11" t="s">
        <v>2575</v>
      </c>
      <c r="D1834" s="29" t="s">
        <v>2576</v>
      </c>
      <c r="E1834" s="64">
        <v>46088.0</v>
      </c>
      <c r="F1834" s="14" t="s">
        <v>1141</v>
      </c>
      <c r="G1834" s="178">
        <v>14978.0</v>
      </c>
      <c r="H1834" s="16">
        <v>12207.0</v>
      </c>
      <c r="I1834" s="17">
        <f t="shared" si="57"/>
        <v>2771</v>
      </c>
      <c r="J1834" s="220" t="s">
        <v>1</v>
      </c>
      <c r="K1834" s="92"/>
      <c r="L1834" s="92"/>
      <c r="M1834" s="92"/>
      <c r="N1834" s="92"/>
      <c r="O1834" s="92"/>
      <c r="P1834" s="92"/>
      <c r="Q1834" s="92"/>
      <c r="R1834" s="92"/>
      <c r="S1834" s="92"/>
      <c r="T1834" s="92"/>
      <c r="U1834" s="92"/>
      <c r="V1834" s="92"/>
      <c r="W1834" s="92"/>
      <c r="X1834" s="92"/>
      <c r="Y1834" s="92"/>
      <c r="Z1834" s="92"/>
    </row>
    <row r="1835" ht="33.75" customHeight="1">
      <c r="A1835" s="11" t="s">
        <v>1587</v>
      </c>
      <c r="B1835" s="22" t="s">
        <v>85</v>
      </c>
      <c r="C1835" s="11" t="s">
        <v>2577</v>
      </c>
      <c r="D1835" s="11" t="s">
        <v>2578</v>
      </c>
      <c r="E1835" s="64">
        <v>46088.0</v>
      </c>
      <c r="F1835" s="14" t="s">
        <v>17</v>
      </c>
      <c r="G1835" s="178">
        <v>55038.0</v>
      </c>
      <c r="H1835" s="28"/>
      <c r="I1835" s="17">
        <f t="shared" si="57"/>
        <v>55038</v>
      </c>
      <c r="J1835" s="220" t="s">
        <v>1</v>
      </c>
      <c r="K1835" s="92"/>
      <c r="L1835" s="92"/>
      <c r="M1835" s="92"/>
      <c r="N1835" s="92"/>
      <c r="O1835" s="92"/>
      <c r="P1835" s="92"/>
      <c r="Q1835" s="92"/>
      <c r="R1835" s="92"/>
      <c r="S1835" s="92"/>
      <c r="T1835" s="92"/>
      <c r="U1835" s="92"/>
      <c r="V1835" s="92"/>
      <c r="W1835" s="92"/>
      <c r="X1835" s="92"/>
      <c r="Y1835" s="92"/>
      <c r="Z1835" s="92"/>
    </row>
    <row r="1836" ht="33.75" customHeight="1">
      <c r="A1836" s="11" t="s">
        <v>1587</v>
      </c>
      <c r="B1836" s="22" t="s">
        <v>88</v>
      </c>
      <c r="C1836" s="11" t="s">
        <v>2579</v>
      </c>
      <c r="D1836" s="11" t="s">
        <v>2580</v>
      </c>
      <c r="E1836" s="64">
        <v>46088.0</v>
      </c>
      <c r="F1836" s="14" t="s">
        <v>17</v>
      </c>
      <c r="G1836" s="178">
        <v>55043.0</v>
      </c>
      <c r="H1836" s="28"/>
      <c r="I1836" s="17">
        <f t="shared" si="57"/>
        <v>55043</v>
      </c>
      <c r="J1836" s="220" t="s">
        <v>1</v>
      </c>
      <c r="K1836" s="92"/>
      <c r="L1836" s="92"/>
      <c r="M1836" s="92"/>
      <c r="N1836" s="92"/>
      <c r="O1836" s="92"/>
      <c r="P1836" s="92"/>
      <c r="Q1836" s="92"/>
      <c r="R1836" s="92"/>
      <c r="S1836" s="92"/>
      <c r="T1836" s="92"/>
      <c r="U1836" s="92"/>
      <c r="V1836" s="92"/>
      <c r="W1836" s="92"/>
      <c r="X1836" s="92"/>
      <c r="Y1836" s="92"/>
      <c r="Z1836" s="92"/>
    </row>
    <row r="1837" ht="33.75" customHeight="1">
      <c r="A1837" s="11" t="s">
        <v>489</v>
      </c>
      <c r="B1837" s="22" t="s">
        <v>88</v>
      </c>
      <c r="C1837" s="11" t="s">
        <v>2430</v>
      </c>
      <c r="D1837" s="11" t="s">
        <v>2419</v>
      </c>
      <c r="E1837" s="64">
        <v>46088.0</v>
      </c>
      <c r="F1837" s="14" t="s">
        <v>1141</v>
      </c>
      <c r="G1837" s="178">
        <v>552.0</v>
      </c>
      <c r="H1837" s="16">
        <v>510.0</v>
      </c>
      <c r="I1837" s="17">
        <f t="shared" si="57"/>
        <v>42</v>
      </c>
      <c r="J1837" s="17" t="s">
        <v>1</v>
      </c>
      <c r="K1837" s="326"/>
      <c r="L1837" s="326"/>
      <c r="M1837" s="326"/>
      <c r="N1837" s="326"/>
      <c r="O1837" s="326"/>
      <c r="P1837" s="326"/>
      <c r="Q1837" s="326"/>
      <c r="R1837" s="326"/>
      <c r="S1837" s="326"/>
      <c r="T1837" s="326"/>
      <c r="U1837" s="326"/>
      <c r="V1837" s="326"/>
      <c r="W1837" s="326"/>
      <c r="X1837" s="326"/>
      <c r="Y1837" s="326"/>
      <c r="Z1837" s="326"/>
    </row>
    <row r="1838" ht="33.75" customHeight="1">
      <c r="A1838" s="11" t="s">
        <v>184</v>
      </c>
      <c r="B1838" s="22" t="s">
        <v>260</v>
      </c>
      <c r="C1838" s="11" t="s">
        <v>2581</v>
      </c>
      <c r="D1838" s="11" t="s">
        <v>2582</v>
      </c>
      <c r="E1838" s="64">
        <v>46088.0</v>
      </c>
      <c r="F1838" s="14" t="s">
        <v>26</v>
      </c>
      <c r="G1838" s="178">
        <v>26848.0</v>
      </c>
      <c r="H1838" s="28"/>
      <c r="I1838" s="17">
        <f t="shared" si="57"/>
        <v>26848</v>
      </c>
      <c r="J1838" s="17" t="s">
        <v>1</v>
      </c>
      <c r="K1838" s="326"/>
      <c r="L1838" s="326"/>
      <c r="M1838" s="326"/>
      <c r="N1838" s="326"/>
      <c r="O1838" s="326"/>
      <c r="P1838" s="326"/>
      <c r="Q1838" s="326"/>
      <c r="R1838" s="326"/>
      <c r="S1838" s="326"/>
      <c r="T1838" s="326"/>
      <c r="U1838" s="326"/>
      <c r="V1838" s="326"/>
      <c r="W1838" s="326"/>
      <c r="X1838" s="326"/>
      <c r="Y1838" s="326"/>
      <c r="Z1838" s="326"/>
    </row>
    <row r="1839" ht="33.75" customHeight="1">
      <c r="A1839" s="11" t="s">
        <v>1587</v>
      </c>
      <c r="B1839" s="22" t="s">
        <v>31</v>
      </c>
      <c r="C1839" s="11" t="s">
        <v>2583</v>
      </c>
      <c r="D1839" s="11" t="s">
        <v>2584</v>
      </c>
      <c r="E1839" s="64">
        <v>46088.0</v>
      </c>
      <c r="F1839" s="14" t="s">
        <v>17</v>
      </c>
      <c r="G1839" s="178">
        <v>55043.0</v>
      </c>
      <c r="H1839" s="28"/>
      <c r="I1839" s="17">
        <f t="shared" si="57"/>
        <v>55043</v>
      </c>
      <c r="J1839" s="220" t="s">
        <v>1</v>
      </c>
      <c r="K1839" s="92"/>
      <c r="L1839" s="92"/>
      <c r="M1839" s="92"/>
      <c r="N1839" s="92"/>
      <c r="O1839" s="92"/>
      <c r="P1839" s="92"/>
      <c r="Q1839" s="92"/>
      <c r="R1839" s="92"/>
      <c r="S1839" s="92"/>
      <c r="T1839" s="92"/>
      <c r="U1839" s="92"/>
      <c r="V1839" s="92"/>
      <c r="W1839" s="92"/>
      <c r="X1839" s="92"/>
      <c r="Y1839" s="92"/>
      <c r="Z1839" s="92"/>
    </row>
    <row r="1840" ht="33.75" customHeight="1">
      <c r="A1840" s="11" t="s">
        <v>2585</v>
      </c>
      <c r="B1840" s="22" t="s">
        <v>31</v>
      </c>
      <c r="C1840" s="11" t="s">
        <v>2586</v>
      </c>
      <c r="D1840" s="11" t="s">
        <v>2587</v>
      </c>
      <c r="E1840" s="64">
        <v>46088.0</v>
      </c>
      <c r="F1840" s="14" t="s">
        <v>1133</v>
      </c>
      <c r="G1840" s="178">
        <v>7134.0</v>
      </c>
      <c r="H1840" s="16">
        <v>6581.0</v>
      </c>
      <c r="I1840" s="17">
        <f t="shared" si="57"/>
        <v>553</v>
      </c>
      <c r="J1840" s="17" t="s">
        <v>1</v>
      </c>
      <c r="K1840" s="92"/>
      <c r="L1840" s="92"/>
      <c r="M1840" s="92"/>
      <c r="N1840" s="92"/>
      <c r="O1840" s="92"/>
      <c r="P1840" s="92"/>
      <c r="Q1840" s="92"/>
      <c r="R1840" s="92"/>
      <c r="S1840" s="92"/>
      <c r="T1840" s="92"/>
      <c r="U1840" s="92"/>
      <c r="V1840" s="92"/>
      <c r="W1840" s="92"/>
      <c r="X1840" s="92"/>
      <c r="Y1840" s="92"/>
      <c r="Z1840" s="92"/>
    </row>
    <row r="1841" ht="33.75" customHeight="1">
      <c r="A1841" s="11" t="s">
        <v>882</v>
      </c>
      <c r="B1841" s="22" t="s">
        <v>31</v>
      </c>
      <c r="C1841" s="11" t="s">
        <v>2588</v>
      </c>
      <c r="D1841" s="74">
        <v>2.95457734472637E15</v>
      </c>
      <c r="E1841" s="64">
        <v>46088.0</v>
      </c>
      <c r="F1841" s="14" t="s">
        <v>1191</v>
      </c>
      <c r="G1841" s="178">
        <v>11000.0</v>
      </c>
      <c r="H1841" s="16">
        <v>9422.0</v>
      </c>
      <c r="I1841" s="17">
        <f t="shared" si="57"/>
        <v>1578</v>
      </c>
      <c r="J1841" s="17" t="s">
        <v>1</v>
      </c>
      <c r="K1841" s="26"/>
      <c r="L1841" s="26"/>
      <c r="M1841" s="26"/>
      <c r="N1841" s="26"/>
      <c r="O1841" s="26"/>
      <c r="P1841" s="26"/>
      <c r="Q1841" s="26"/>
      <c r="R1841" s="26"/>
      <c r="S1841" s="26"/>
      <c r="T1841" s="26"/>
      <c r="U1841" s="26"/>
      <c r="V1841" s="26"/>
      <c r="W1841" s="26"/>
      <c r="X1841" s="26"/>
      <c r="Y1841" s="26"/>
      <c r="Z1841" s="26"/>
    </row>
    <row r="1842" ht="33.75" customHeight="1">
      <c r="A1842" s="11" t="s">
        <v>1496</v>
      </c>
      <c r="B1842" s="22" t="s">
        <v>31</v>
      </c>
      <c r="C1842" s="11" t="s">
        <v>2589</v>
      </c>
      <c r="D1842" s="11" t="s">
        <v>2279</v>
      </c>
      <c r="E1842" s="64">
        <v>46088.0</v>
      </c>
      <c r="F1842" s="14" t="s">
        <v>17</v>
      </c>
      <c r="G1842" s="178">
        <v>14720.0</v>
      </c>
      <c r="H1842" s="28"/>
      <c r="I1842" s="17">
        <v>14720.0</v>
      </c>
      <c r="J1842" s="222" t="s">
        <v>1139</v>
      </c>
      <c r="K1842" s="92"/>
      <c r="L1842" s="92"/>
      <c r="M1842" s="92"/>
      <c r="N1842" s="92"/>
      <c r="O1842" s="92"/>
      <c r="P1842" s="92"/>
      <c r="Q1842" s="92"/>
      <c r="R1842" s="92"/>
      <c r="S1842" s="92"/>
      <c r="T1842" s="92"/>
      <c r="U1842" s="92"/>
      <c r="V1842" s="92"/>
      <c r="W1842" s="92"/>
      <c r="X1842" s="92"/>
      <c r="Y1842" s="92"/>
      <c r="Z1842" s="92"/>
    </row>
    <row r="1843" ht="33.75" customHeight="1">
      <c r="A1843" s="11" t="s">
        <v>2590</v>
      </c>
      <c r="B1843" s="22" t="s">
        <v>31</v>
      </c>
      <c r="C1843" s="11" t="s">
        <v>2591</v>
      </c>
      <c r="D1843" s="74">
        <v>2.63433882026822E15</v>
      </c>
      <c r="E1843" s="64">
        <v>46088.0</v>
      </c>
      <c r="F1843" s="14" t="s">
        <v>26</v>
      </c>
      <c r="G1843" s="178">
        <v>10000.0</v>
      </c>
      <c r="H1843" s="16">
        <v>7708.0</v>
      </c>
      <c r="I1843" s="17">
        <f t="shared" ref="I1843:I1849" si="58">G1843-H1843</f>
        <v>2292</v>
      </c>
      <c r="J1843" s="17" t="s">
        <v>1</v>
      </c>
      <c r="K1843" s="92"/>
      <c r="L1843" s="92"/>
      <c r="M1843" s="92"/>
      <c r="N1843" s="92"/>
      <c r="O1843" s="92"/>
      <c r="P1843" s="92"/>
      <c r="Q1843" s="92"/>
      <c r="R1843" s="92"/>
      <c r="S1843" s="92"/>
      <c r="T1843" s="92"/>
      <c r="U1843" s="92"/>
      <c r="V1843" s="92"/>
      <c r="W1843" s="92"/>
      <c r="X1843" s="92"/>
      <c r="Y1843" s="92"/>
      <c r="Z1843" s="92"/>
    </row>
    <row r="1844" ht="33.75" customHeight="1">
      <c r="A1844" s="11" t="s">
        <v>1587</v>
      </c>
      <c r="B1844" s="22" t="s">
        <v>91</v>
      </c>
      <c r="C1844" s="11" t="s">
        <v>2592</v>
      </c>
      <c r="D1844" s="74" t="s">
        <v>2593</v>
      </c>
      <c r="E1844" s="64">
        <v>46088.0</v>
      </c>
      <c r="F1844" s="14" t="s">
        <v>17</v>
      </c>
      <c r="G1844" s="178">
        <v>55054.0</v>
      </c>
      <c r="H1844" s="28"/>
      <c r="I1844" s="17">
        <f t="shared" si="58"/>
        <v>55054</v>
      </c>
      <c r="J1844" s="220" t="s">
        <v>1</v>
      </c>
      <c r="K1844" s="92"/>
      <c r="L1844" s="92"/>
      <c r="M1844" s="92"/>
      <c r="N1844" s="92"/>
      <c r="O1844" s="92"/>
      <c r="P1844" s="92"/>
      <c r="Q1844" s="92"/>
      <c r="R1844" s="92"/>
      <c r="S1844" s="92"/>
      <c r="T1844" s="92"/>
      <c r="U1844" s="92"/>
      <c r="V1844" s="92"/>
      <c r="W1844" s="92"/>
      <c r="X1844" s="92"/>
      <c r="Y1844" s="92"/>
      <c r="Z1844" s="92"/>
    </row>
    <row r="1845" ht="33.75" customHeight="1">
      <c r="A1845" s="11" t="s">
        <v>2594</v>
      </c>
      <c r="B1845" s="22" t="s">
        <v>125</v>
      </c>
      <c r="C1845" s="11" t="s">
        <v>2595</v>
      </c>
      <c r="D1845" s="74" t="s">
        <v>2596</v>
      </c>
      <c r="E1845" s="64">
        <v>46088.0</v>
      </c>
      <c r="F1845" s="14" t="s">
        <v>26</v>
      </c>
      <c r="G1845" s="178">
        <v>11602.0</v>
      </c>
      <c r="H1845" s="28"/>
      <c r="I1845" s="17">
        <f t="shared" si="58"/>
        <v>11602</v>
      </c>
      <c r="J1845" s="17" t="s">
        <v>1</v>
      </c>
      <c r="K1845" s="92"/>
      <c r="L1845" s="92"/>
      <c r="M1845" s="92"/>
      <c r="N1845" s="92"/>
      <c r="O1845" s="92"/>
      <c r="P1845" s="92"/>
      <c r="Q1845" s="92"/>
      <c r="R1845" s="92"/>
      <c r="S1845" s="92"/>
      <c r="T1845" s="92"/>
      <c r="U1845" s="92"/>
      <c r="V1845" s="92"/>
      <c r="W1845" s="92"/>
      <c r="X1845" s="92"/>
      <c r="Y1845" s="92"/>
      <c r="Z1845" s="92"/>
    </row>
    <row r="1846" ht="33.75" customHeight="1">
      <c r="A1846" s="11" t="s">
        <v>1987</v>
      </c>
      <c r="B1846" s="22" t="s">
        <v>161</v>
      </c>
      <c r="C1846" s="11" t="s">
        <v>2481</v>
      </c>
      <c r="D1846" s="74">
        <v>1.64198899360608E15</v>
      </c>
      <c r="E1846" s="64">
        <v>46088.0</v>
      </c>
      <c r="F1846" s="14" t="s">
        <v>1191</v>
      </c>
      <c r="G1846" s="178">
        <v>9981.0</v>
      </c>
      <c r="H1846" s="16">
        <v>8878.0</v>
      </c>
      <c r="I1846" s="17">
        <f t="shared" si="58"/>
        <v>1103</v>
      </c>
      <c r="J1846" s="17" t="s">
        <v>1</v>
      </c>
      <c r="K1846" s="92"/>
      <c r="L1846" s="92"/>
      <c r="M1846" s="92"/>
      <c r="N1846" s="92"/>
      <c r="O1846" s="92"/>
      <c r="P1846" s="92"/>
      <c r="Q1846" s="92"/>
      <c r="R1846" s="92"/>
      <c r="S1846" s="92"/>
      <c r="T1846" s="92"/>
      <c r="U1846" s="92"/>
      <c r="V1846" s="92"/>
      <c r="W1846" s="92"/>
      <c r="X1846" s="92"/>
      <c r="Y1846" s="92"/>
      <c r="Z1846" s="92"/>
    </row>
    <row r="1847" ht="33.75" customHeight="1">
      <c r="A1847" s="11" t="s">
        <v>1987</v>
      </c>
      <c r="B1847" s="22" t="s">
        <v>34</v>
      </c>
      <c r="C1847" s="11" t="s">
        <v>2481</v>
      </c>
      <c r="D1847" s="74">
        <v>1.64198899360608E15</v>
      </c>
      <c r="E1847" s="64">
        <v>46088.0</v>
      </c>
      <c r="F1847" s="14" t="s">
        <v>1133</v>
      </c>
      <c r="G1847" s="178">
        <v>10000.0</v>
      </c>
      <c r="H1847" s="16">
        <v>9798.0</v>
      </c>
      <c r="I1847" s="17">
        <f t="shared" si="58"/>
        <v>202</v>
      </c>
      <c r="J1847" s="17" t="s">
        <v>1</v>
      </c>
      <c r="K1847" s="330"/>
      <c r="L1847" s="330"/>
      <c r="M1847" s="330"/>
      <c r="N1847" s="330"/>
      <c r="O1847" s="330"/>
      <c r="P1847" s="330"/>
      <c r="Q1847" s="330"/>
      <c r="R1847" s="330"/>
      <c r="S1847" s="330"/>
      <c r="T1847" s="330"/>
      <c r="U1847" s="330"/>
      <c r="V1847" s="330"/>
      <c r="W1847" s="330"/>
      <c r="X1847" s="330"/>
      <c r="Y1847" s="330"/>
      <c r="Z1847" s="330"/>
    </row>
    <row r="1848" ht="33.75" customHeight="1">
      <c r="A1848" s="11" t="s">
        <v>1078</v>
      </c>
      <c r="B1848" s="11" t="s">
        <v>398</v>
      </c>
      <c r="C1848" s="11" t="s">
        <v>2482</v>
      </c>
      <c r="D1848" s="11" t="s">
        <v>2483</v>
      </c>
      <c r="E1848" s="64">
        <v>46088.0</v>
      </c>
      <c r="F1848" s="11" t="s">
        <v>1141</v>
      </c>
      <c r="G1848" s="11">
        <v>42000.0</v>
      </c>
      <c r="H1848" s="74"/>
      <c r="I1848" s="281">
        <f t="shared" si="58"/>
        <v>42000</v>
      </c>
      <c r="J1848" s="17" t="s">
        <v>1</v>
      </c>
      <c r="K1848" s="330"/>
      <c r="L1848" s="330"/>
      <c r="M1848" s="330"/>
      <c r="N1848" s="330"/>
      <c r="O1848" s="330"/>
      <c r="P1848" s="330"/>
      <c r="Q1848" s="330"/>
      <c r="R1848" s="330"/>
      <c r="S1848" s="330"/>
      <c r="T1848" s="330"/>
      <c r="U1848" s="330"/>
      <c r="V1848" s="330"/>
      <c r="W1848" s="330"/>
      <c r="X1848" s="330"/>
      <c r="Y1848" s="330"/>
      <c r="Z1848" s="330"/>
    </row>
    <row r="1849" ht="33.75" customHeight="1">
      <c r="A1849" s="11" t="s">
        <v>1078</v>
      </c>
      <c r="B1849" s="11" t="s">
        <v>398</v>
      </c>
      <c r="C1849" s="11" t="s">
        <v>2484</v>
      </c>
      <c r="D1849" s="11" t="s">
        <v>2382</v>
      </c>
      <c r="E1849" s="64">
        <v>46088.0</v>
      </c>
      <c r="F1849" s="11" t="s">
        <v>1141</v>
      </c>
      <c r="G1849" s="11">
        <v>42000.0</v>
      </c>
      <c r="H1849" s="74"/>
      <c r="I1849" s="74">
        <f t="shared" si="58"/>
        <v>42000</v>
      </c>
      <c r="J1849" s="17" t="s">
        <v>1</v>
      </c>
      <c r="K1849" s="321"/>
      <c r="L1849" s="321"/>
      <c r="M1849" s="321"/>
      <c r="N1849" s="321"/>
      <c r="O1849" s="321"/>
      <c r="P1849" s="321"/>
      <c r="Q1849" s="321"/>
      <c r="R1849" s="321"/>
      <c r="S1849" s="321"/>
      <c r="T1849" s="321"/>
      <c r="U1849" s="321"/>
      <c r="V1849" s="321"/>
      <c r="W1849" s="321"/>
      <c r="X1849" s="321"/>
      <c r="Y1849" s="321"/>
      <c r="Z1849" s="321"/>
    </row>
    <row r="1850" ht="33.75" customHeight="1">
      <c r="A1850" s="313"/>
      <c r="B1850" s="333"/>
      <c r="C1850" s="313"/>
      <c r="D1850" s="334"/>
      <c r="E1850" s="316"/>
      <c r="F1850" s="317"/>
      <c r="G1850" s="335"/>
      <c r="H1850" s="319"/>
      <c r="I1850" s="249"/>
      <c r="J1850" s="249"/>
      <c r="K1850" s="321"/>
      <c r="L1850" s="321"/>
      <c r="M1850" s="321"/>
      <c r="N1850" s="321"/>
      <c r="O1850" s="321"/>
      <c r="P1850" s="321"/>
      <c r="Q1850" s="321"/>
      <c r="R1850" s="321"/>
      <c r="S1850" s="321"/>
      <c r="T1850" s="321"/>
      <c r="U1850" s="321"/>
      <c r="V1850" s="321"/>
      <c r="W1850" s="321"/>
      <c r="X1850" s="321"/>
      <c r="Y1850" s="321"/>
      <c r="Z1850" s="321"/>
    </row>
    <row r="1851" ht="33.75" customHeight="1">
      <c r="A1851" s="11" t="s">
        <v>1987</v>
      </c>
      <c r="B1851" s="22" t="s">
        <v>34</v>
      </c>
      <c r="C1851" s="11" t="s">
        <v>2481</v>
      </c>
      <c r="D1851" s="74">
        <v>1.64198899360608E15</v>
      </c>
      <c r="E1851" s="64">
        <v>46089.0</v>
      </c>
      <c r="F1851" s="14" t="s">
        <v>1141</v>
      </c>
      <c r="G1851" s="178">
        <v>10000.0</v>
      </c>
      <c r="H1851" s="16">
        <v>9631.0</v>
      </c>
      <c r="I1851" s="17">
        <f t="shared" ref="I1851:I1853" si="59">G1851-H1851</f>
        <v>369</v>
      </c>
      <c r="J1851" s="17" t="s">
        <v>1</v>
      </c>
      <c r="K1851" s="321"/>
      <c r="L1851" s="321"/>
      <c r="M1851" s="321"/>
      <c r="N1851" s="321"/>
      <c r="O1851" s="321"/>
      <c r="P1851" s="321"/>
      <c r="Q1851" s="321"/>
      <c r="R1851" s="321"/>
      <c r="S1851" s="321"/>
      <c r="T1851" s="321"/>
      <c r="U1851" s="321"/>
      <c r="V1851" s="321"/>
      <c r="W1851" s="321"/>
      <c r="X1851" s="321"/>
      <c r="Y1851" s="321"/>
      <c r="Z1851" s="321"/>
    </row>
    <row r="1852" ht="33.75" customHeight="1">
      <c r="A1852" s="11" t="s">
        <v>1078</v>
      </c>
      <c r="B1852" s="22" t="s">
        <v>398</v>
      </c>
      <c r="C1852" s="11" t="s">
        <v>2482</v>
      </c>
      <c r="D1852" s="74" t="s">
        <v>2483</v>
      </c>
      <c r="E1852" s="64">
        <v>46089.0</v>
      </c>
      <c r="F1852" s="14" t="s">
        <v>1141</v>
      </c>
      <c r="G1852" s="178">
        <v>42000.0</v>
      </c>
      <c r="H1852" s="16">
        <v>39814.0</v>
      </c>
      <c r="I1852" s="17">
        <f t="shared" si="59"/>
        <v>2186</v>
      </c>
      <c r="J1852" s="17" t="s">
        <v>1</v>
      </c>
      <c r="K1852" s="321"/>
      <c r="L1852" s="321"/>
      <c r="M1852" s="321"/>
      <c r="N1852" s="321"/>
      <c r="O1852" s="321"/>
      <c r="P1852" s="321"/>
      <c r="Q1852" s="321"/>
      <c r="R1852" s="321"/>
      <c r="S1852" s="321"/>
      <c r="T1852" s="321"/>
      <c r="U1852" s="321"/>
      <c r="V1852" s="321"/>
      <c r="W1852" s="321"/>
      <c r="X1852" s="321"/>
      <c r="Y1852" s="321"/>
      <c r="Z1852" s="321"/>
    </row>
    <row r="1853" ht="33.75" customHeight="1">
      <c r="A1853" s="11" t="s">
        <v>1078</v>
      </c>
      <c r="B1853" s="22" t="s">
        <v>398</v>
      </c>
      <c r="C1853" s="11" t="s">
        <v>2484</v>
      </c>
      <c r="D1853" s="74" t="s">
        <v>2382</v>
      </c>
      <c r="E1853" s="64">
        <v>46089.0</v>
      </c>
      <c r="F1853" s="14" t="s">
        <v>1141</v>
      </c>
      <c r="G1853" s="178">
        <v>42000.0</v>
      </c>
      <c r="H1853" s="16">
        <v>39814.0</v>
      </c>
      <c r="I1853" s="17">
        <f t="shared" si="59"/>
        <v>2186</v>
      </c>
      <c r="J1853" s="17" t="s">
        <v>1</v>
      </c>
      <c r="K1853" s="321"/>
      <c r="L1853" s="321"/>
      <c r="M1853" s="321"/>
      <c r="N1853" s="321"/>
      <c r="O1853" s="321"/>
      <c r="P1853" s="321"/>
      <c r="Q1853" s="321"/>
      <c r="R1853" s="321"/>
      <c r="S1853" s="321"/>
      <c r="T1853" s="321"/>
      <c r="U1853" s="321"/>
      <c r="V1853" s="321"/>
      <c r="W1853" s="321"/>
      <c r="X1853" s="321"/>
      <c r="Y1853" s="321"/>
      <c r="Z1853" s="321"/>
    </row>
    <row r="1854" ht="33.75" customHeight="1">
      <c r="A1854" s="313"/>
      <c r="B1854" s="333"/>
      <c r="C1854" s="313"/>
      <c r="D1854" s="313"/>
      <c r="E1854" s="316"/>
      <c r="F1854" s="317"/>
      <c r="G1854" s="335"/>
      <c r="H1854" s="319"/>
      <c r="I1854" s="249"/>
      <c r="J1854" s="336"/>
      <c r="K1854" s="321"/>
      <c r="L1854" s="321"/>
      <c r="M1854" s="321"/>
      <c r="N1854" s="321"/>
      <c r="O1854" s="321"/>
      <c r="P1854" s="321"/>
      <c r="Q1854" s="321"/>
      <c r="R1854" s="321"/>
      <c r="S1854" s="321"/>
      <c r="T1854" s="321"/>
      <c r="U1854" s="321"/>
      <c r="V1854" s="321"/>
      <c r="W1854" s="321"/>
      <c r="X1854" s="321"/>
      <c r="Y1854" s="321"/>
      <c r="Z1854" s="321"/>
    </row>
    <row r="1855" ht="33.75" customHeight="1">
      <c r="A1855" s="11" t="s">
        <v>1451</v>
      </c>
      <c r="B1855" s="22" t="s">
        <v>1011</v>
      </c>
      <c r="C1855" s="11" t="s">
        <v>2321</v>
      </c>
      <c r="D1855" s="74" t="s">
        <v>2597</v>
      </c>
      <c r="E1855" s="64">
        <v>46090.0</v>
      </c>
      <c r="F1855" s="14" t="s">
        <v>1191</v>
      </c>
      <c r="G1855" s="178">
        <v>2238.0</v>
      </c>
      <c r="H1855" s="16">
        <v>1561.0</v>
      </c>
      <c r="I1855" s="17">
        <f t="shared" ref="I1855:I1881" si="60">G1855-H1855</f>
        <v>677</v>
      </c>
      <c r="J1855" s="17" t="s">
        <v>1</v>
      </c>
      <c r="K1855" s="252"/>
      <c r="L1855" s="252"/>
      <c r="M1855" s="252"/>
      <c r="N1855" s="252"/>
      <c r="O1855" s="252"/>
      <c r="P1855" s="252"/>
      <c r="Q1855" s="252"/>
      <c r="R1855" s="252"/>
      <c r="S1855" s="252"/>
      <c r="T1855" s="252"/>
      <c r="U1855" s="252"/>
      <c r="V1855" s="252"/>
      <c r="W1855" s="252"/>
      <c r="X1855" s="252"/>
      <c r="Y1855" s="252"/>
      <c r="Z1855" s="252"/>
    </row>
    <row r="1856" ht="33.75" customHeight="1">
      <c r="A1856" s="11" t="s">
        <v>2496</v>
      </c>
      <c r="B1856" s="22" t="s">
        <v>49</v>
      </c>
      <c r="C1856" s="11" t="s">
        <v>2598</v>
      </c>
      <c r="D1856" s="74" t="s">
        <v>2498</v>
      </c>
      <c r="E1856" s="64">
        <v>46090.0</v>
      </c>
      <c r="F1856" s="14" t="s">
        <v>1141</v>
      </c>
      <c r="G1856" s="178">
        <v>35000.0</v>
      </c>
      <c r="H1856" s="16">
        <v>23442.0</v>
      </c>
      <c r="I1856" s="17">
        <f t="shared" si="60"/>
        <v>11558</v>
      </c>
      <c r="J1856" s="17" t="s">
        <v>1</v>
      </c>
      <c r="K1856" s="321"/>
      <c r="L1856" s="321"/>
      <c r="M1856" s="321"/>
      <c r="N1856" s="321"/>
      <c r="O1856" s="321"/>
      <c r="P1856" s="321"/>
      <c r="Q1856" s="321"/>
      <c r="R1856" s="321"/>
      <c r="S1856" s="321"/>
      <c r="T1856" s="321"/>
      <c r="U1856" s="321"/>
      <c r="V1856" s="321"/>
      <c r="W1856" s="321"/>
      <c r="X1856" s="321"/>
      <c r="Y1856" s="321"/>
      <c r="Z1856" s="321"/>
    </row>
    <row r="1857" ht="33.75" customHeight="1">
      <c r="A1857" s="11" t="s">
        <v>28</v>
      </c>
      <c r="B1857" s="22" t="s">
        <v>81</v>
      </c>
      <c r="C1857" s="11" t="s">
        <v>2599</v>
      </c>
      <c r="D1857" s="74" t="s">
        <v>2600</v>
      </c>
      <c r="E1857" s="64">
        <v>46090.0</v>
      </c>
      <c r="F1857" s="14" t="s">
        <v>17</v>
      </c>
      <c r="G1857" s="178">
        <v>11000.0</v>
      </c>
      <c r="H1857" s="16">
        <v>9233.0</v>
      </c>
      <c r="I1857" s="17">
        <f t="shared" si="60"/>
        <v>1767</v>
      </c>
      <c r="J1857" s="17" t="s">
        <v>1</v>
      </c>
      <c r="K1857" s="321"/>
      <c r="L1857" s="321"/>
      <c r="M1857" s="321"/>
      <c r="N1857" s="321"/>
      <c r="O1857" s="321"/>
      <c r="P1857" s="321"/>
      <c r="Q1857" s="321"/>
      <c r="R1857" s="321"/>
      <c r="S1857" s="321"/>
      <c r="T1857" s="321"/>
      <c r="U1857" s="321"/>
      <c r="V1857" s="321"/>
      <c r="W1857" s="321"/>
      <c r="X1857" s="321"/>
      <c r="Y1857" s="321"/>
      <c r="Z1857" s="321"/>
    </row>
    <row r="1858" ht="33.75" customHeight="1">
      <c r="A1858" s="11" t="s">
        <v>2038</v>
      </c>
      <c r="B1858" s="22" t="s">
        <v>85</v>
      </c>
      <c r="C1858" s="11" t="s">
        <v>2417</v>
      </c>
      <c r="D1858" s="74">
        <v>9.29952600211321E14</v>
      </c>
      <c r="E1858" s="64">
        <v>46090.0</v>
      </c>
      <c r="F1858" s="14" t="s">
        <v>1141</v>
      </c>
      <c r="G1858" s="178">
        <v>5114.0</v>
      </c>
      <c r="H1858" s="16">
        <v>4444.0</v>
      </c>
      <c r="I1858" s="17">
        <f t="shared" si="60"/>
        <v>670</v>
      </c>
      <c r="J1858" s="254" t="s">
        <v>700</v>
      </c>
      <c r="K1858" s="321"/>
      <c r="L1858" s="321"/>
      <c r="M1858" s="321"/>
      <c r="N1858" s="321"/>
      <c r="O1858" s="321"/>
      <c r="P1858" s="321"/>
      <c r="Q1858" s="321"/>
      <c r="R1858" s="321"/>
      <c r="S1858" s="321"/>
      <c r="T1858" s="321"/>
      <c r="U1858" s="321"/>
      <c r="V1858" s="321"/>
      <c r="W1858" s="321"/>
      <c r="X1858" s="321"/>
      <c r="Y1858" s="321"/>
      <c r="Z1858" s="321"/>
    </row>
    <row r="1859" ht="33.75" customHeight="1">
      <c r="A1859" s="11" t="s">
        <v>2038</v>
      </c>
      <c r="B1859" s="22" t="s">
        <v>85</v>
      </c>
      <c r="C1859" s="11" t="s">
        <v>2417</v>
      </c>
      <c r="D1859" s="74">
        <v>9.29952600211321E14</v>
      </c>
      <c r="E1859" s="64">
        <v>46090.0</v>
      </c>
      <c r="F1859" s="14" t="s">
        <v>1141</v>
      </c>
      <c r="G1859" s="178">
        <v>4670.0</v>
      </c>
      <c r="H1859" s="16">
        <v>4238.0</v>
      </c>
      <c r="I1859" s="17">
        <f t="shared" si="60"/>
        <v>432</v>
      </c>
      <c r="J1859" s="254" t="s">
        <v>700</v>
      </c>
      <c r="K1859" s="330"/>
      <c r="L1859" s="330"/>
      <c r="M1859" s="330"/>
      <c r="N1859" s="330"/>
      <c r="O1859" s="330"/>
      <c r="P1859" s="330"/>
      <c r="Q1859" s="330"/>
      <c r="R1859" s="330"/>
      <c r="S1859" s="330"/>
      <c r="T1859" s="330"/>
      <c r="U1859" s="330"/>
      <c r="V1859" s="330"/>
      <c r="W1859" s="330"/>
      <c r="X1859" s="330"/>
      <c r="Y1859" s="330"/>
      <c r="Z1859" s="330"/>
    </row>
    <row r="1860" ht="33.75" customHeight="1">
      <c r="A1860" s="11" t="s">
        <v>2601</v>
      </c>
      <c r="B1860" s="22" t="s">
        <v>85</v>
      </c>
      <c r="C1860" s="11" t="s">
        <v>2602</v>
      </c>
      <c r="D1860" s="74" t="s">
        <v>2603</v>
      </c>
      <c r="E1860" s="64">
        <v>46090.0</v>
      </c>
      <c r="F1860" s="14" t="s">
        <v>1133</v>
      </c>
      <c r="G1860" s="178">
        <v>5000.0</v>
      </c>
      <c r="H1860" s="16">
        <v>3222.0</v>
      </c>
      <c r="I1860" s="17">
        <f t="shared" si="60"/>
        <v>1778</v>
      </c>
      <c r="J1860" s="17" t="s">
        <v>1</v>
      </c>
      <c r="K1860" s="330"/>
      <c r="L1860" s="330"/>
      <c r="M1860" s="330"/>
      <c r="N1860" s="330"/>
      <c r="O1860" s="330"/>
      <c r="P1860" s="330"/>
      <c r="Q1860" s="330"/>
      <c r="R1860" s="330"/>
      <c r="S1860" s="330"/>
      <c r="T1860" s="330"/>
      <c r="U1860" s="330"/>
      <c r="V1860" s="330"/>
      <c r="W1860" s="330"/>
      <c r="X1860" s="330"/>
      <c r="Y1860" s="330"/>
      <c r="Z1860" s="330"/>
    </row>
    <row r="1861" ht="33.75" customHeight="1">
      <c r="A1861" s="11" t="s">
        <v>2604</v>
      </c>
      <c r="B1861" s="22" t="s">
        <v>85</v>
      </c>
      <c r="C1861" s="11" t="s">
        <v>2602</v>
      </c>
      <c r="D1861" s="74" t="s">
        <v>2603</v>
      </c>
      <c r="E1861" s="64">
        <v>46090.0</v>
      </c>
      <c r="F1861" s="14" t="s">
        <v>1133</v>
      </c>
      <c r="G1861" s="178">
        <v>7000.0</v>
      </c>
      <c r="H1861" s="16">
        <v>3984.0</v>
      </c>
      <c r="I1861" s="17">
        <f t="shared" si="60"/>
        <v>3016</v>
      </c>
      <c r="J1861" s="17" t="s">
        <v>1</v>
      </c>
      <c r="K1861" s="330"/>
      <c r="L1861" s="330"/>
      <c r="M1861" s="330"/>
      <c r="N1861" s="330"/>
      <c r="O1861" s="330"/>
      <c r="P1861" s="330"/>
      <c r="Q1861" s="330"/>
      <c r="R1861" s="330"/>
      <c r="S1861" s="330"/>
      <c r="T1861" s="330"/>
      <c r="U1861" s="330"/>
      <c r="V1861" s="330"/>
      <c r="W1861" s="330"/>
      <c r="X1861" s="330"/>
      <c r="Y1861" s="330"/>
      <c r="Z1861" s="330"/>
    </row>
    <row r="1862" ht="33.75" customHeight="1">
      <c r="A1862" s="11" t="s">
        <v>2605</v>
      </c>
      <c r="B1862" s="22" t="s">
        <v>85</v>
      </c>
      <c r="C1862" s="11" t="s">
        <v>2602</v>
      </c>
      <c r="D1862" s="74" t="s">
        <v>2603</v>
      </c>
      <c r="E1862" s="64">
        <v>46090.0</v>
      </c>
      <c r="F1862" s="14" t="s">
        <v>1133</v>
      </c>
      <c r="G1862" s="178">
        <v>5000.0</v>
      </c>
      <c r="H1862" s="16">
        <v>3236.0</v>
      </c>
      <c r="I1862" s="17">
        <f t="shared" si="60"/>
        <v>1764</v>
      </c>
      <c r="J1862" s="17" t="s">
        <v>1</v>
      </c>
      <c r="K1862" s="330"/>
      <c r="L1862" s="330"/>
      <c r="M1862" s="330"/>
      <c r="N1862" s="330"/>
      <c r="O1862" s="330"/>
      <c r="P1862" s="330"/>
      <c r="Q1862" s="330"/>
      <c r="R1862" s="330"/>
      <c r="S1862" s="330"/>
      <c r="T1862" s="330"/>
      <c r="U1862" s="330"/>
      <c r="V1862" s="330"/>
      <c r="W1862" s="330"/>
      <c r="X1862" s="330"/>
      <c r="Y1862" s="330"/>
      <c r="Z1862" s="330"/>
    </row>
    <row r="1863" ht="33.75" customHeight="1">
      <c r="A1863" s="11" t="s">
        <v>2606</v>
      </c>
      <c r="B1863" s="22" t="s">
        <v>85</v>
      </c>
      <c r="C1863" s="11" t="s">
        <v>2602</v>
      </c>
      <c r="D1863" s="74" t="s">
        <v>2603</v>
      </c>
      <c r="E1863" s="64">
        <v>46090.0</v>
      </c>
      <c r="F1863" s="14" t="s">
        <v>1133</v>
      </c>
      <c r="G1863" s="178">
        <v>12000.0</v>
      </c>
      <c r="H1863" s="16">
        <v>4195.0</v>
      </c>
      <c r="I1863" s="17">
        <f t="shared" si="60"/>
        <v>7805</v>
      </c>
      <c r="J1863" s="17" t="s">
        <v>1</v>
      </c>
      <c r="K1863" s="330"/>
      <c r="L1863" s="330"/>
      <c r="M1863" s="330"/>
      <c r="N1863" s="330"/>
      <c r="O1863" s="330"/>
      <c r="P1863" s="330"/>
      <c r="Q1863" s="330"/>
      <c r="R1863" s="330"/>
      <c r="S1863" s="330"/>
      <c r="T1863" s="330"/>
      <c r="U1863" s="330"/>
      <c r="V1863" s="330"/>
      <c r="W1863" s="330"/>
      <c r="X1863" s="330"/>
      <c r="Y1863" s="330"/>
      <c r="Z1863" s="330"/>
    </row>
    <row r="1864" ht="33.75" customHeight="1">
      <c r="A1864" s="11" t="s">
        <v>2607</v>
      </c>
      <c r="B1864" s="22" t="s">
        <v>85</v>
      </c>
      <c r="C1864" s="11" t="s">
        <v>2602</v>
      </c>
      <c r="D1864" s="74" t="s">
        <v>2603</v>
      </c>
      <c r="E1864" s="64">
        <v>46090.0</v>
      </c>
      <c r="F1864" s="14" t="s">
        <v>1133</v>
      </c>
      <c r="G1864" s="178">
        <v>8000.0</v>
      </c>
      <c r="H1864" s="16">
        <v>4446.0</v>
      </c>
      <c r="I1864" s="17">
        <f t="shared" si="60"/>
        <v>3554</v>
      </c>
      <c r="J1864" s="17" t="s">
        <v>1</v>
      </c>
      <c r="K1864" s="330"/>
      <c r="L1864" s="330"/>
      <c r="M1864" s="330"/>
      <c r="N1864" s="330"/>
      <c r="O1864" s="330"/>
      <c r="P1864" s="330"/>
      <c r="Q1864" s="330"/>
      <c r="R1864" s="330"/>
      <c r="S1864" s="330"/>
      <c r="T1864" s="330"/>
      <c r="U1864" s="330"/>
      <c r="V1864" s="330"/>
      <c r="W1864" s="330"/>
      <c r="X1864" s="330"/>
      <c r="Y1864" s="330"/>
      <c r="Z1864" s="330"/>
    </row>
    <row r="1865" ht="33.75" customHeight="1">
      <c r="A1865" s="11" t="s">
        <v>2544</v>
      </c>
      <c r="B1865" s="22" t="s">
        <v>85</v>
      </c>
      <c r="C1865" s="11" t="s">
        <v>2602</v>
      </c>
      <c r="D1865" s="74" t="s">
        <v>2603</v>
      </c>
      <c r="E1865" s="64">
        <v>46090.0</v>
      </c>
      <c r="F1865" s="14" t="s">
        <v>1133</v>
      </c>
      <c r="G1865" s="178">
        <v>1000.0</v>
      </c>
      <c r="H1865" s="16">
        <v>934.0</v>
      </c>
      <c r="I1865" s="17">
        <f t="shared" si="60"/>
        <v>66</v>
      </c>
      <c r="J1865" s="17" t="s">
        <v>1</v>
      </c>
      <c r="K1865" s="330"/>
      <c r="L1865" s="330"/>
      <c r="M1865" s="330"/>
      <c r="N1865" s="330"/>
      <c r="O1865" s="330"/>
      <c r="P1865" s="330"/>
      <c r="Q1865" s="330"/>
      <c r="R1865" s="330"/>
      <c r="S1865" s="330"/>
      <c r="T1865" s="330"/>
      <c r="U1865" s="330"/>
      <c r="V1865" s="330"/>
      <c r="W1865" s="330"/>
      <c r="X1865" s="330"/>
      <c r="Y1865" s="330"/>
      <c r="Z1865" s="330"/>
    </row>
    <row r="1866" ht="33.75" customHeight="1">
      <c r="A1866" s="11" t="s">
        <v>2608</v>
      </c>
      <c r="B1866" s="22" t="s">
        <v>85</v>
      </c>
      <c r="C1866" s="11" t="s">
        <v>2602</v>
      </c>
      <c r="D1866" s="74" t="s">
        <v>2603</v>
      </c>
      <c r="E1866" s="64">
        <v>46090.0</v>
      </c>
      <c r="F1866" s="14" t="s">
        <v>1133</v>
      </c>
      <c r="G1866" s="178">
        <v>5000.0</v>
      </c>
      <c r="H1866" s="16">
        <v>3108.0</v>
      </c>
      <c r="I1866" s="17">
        <f t="shared" si="60"/>
        <v>1892</v>
      </c>
      <c r="J1866" s="17" t="s">
        <v>1</v>
      </c>
      <c r="K1866" s="330"/>
      <c r="L1866" s="330"/>
      <c r="M1866" s="330"/>
      <c r="N1866" s="330"/>
      <c r="O1866" s="330"/>
      <c r="P1866" s="330"/>
      <c r="Q1866" s="330"/>
      <c r="R1866" s="330"/>
      <c r="S1866" s="330"/>
      <c r="T1866" s="330"/>
      <c r="U1866" s="330"/>
      <c r="V1866" s="330"/>
      <c r="W1866" s="330"/>
      <c r="X1866" s="330"/>
      <c r="Y1866" s="330"/>
      <c r="Z1866" s="330"/>
    </row>
    <row r="1867" ht="33.75" customHeight="1">
      <c r="A1867" s="11" t="s">
        <v>2266</v>
      </c>
      <c r="B1867" s="22" t="s">
        <v>85</v>
      </c>
      <c r="C1867" s="11" t="s">
        <v>2609</v>
      </c>
      <c r="D1867" s="74" t="s">
        <v>2603</v>
      </c>
      <c r="E1867" s="64">
        <v>46090.0</v>
      </c>
      <c r="F1867" s="14" t="s">
        <v>1133</v>
      </c>
      <c r="G1867" s="178">
        <v>10000.0</v>
      </c>
      <c r="H1867" s="16">
        <v>8514.0</v>
      </c>
      <c r="I1867" s="17">
        <f t="shared" si="60"/>
        <v>1486</v>
      </c>
      <c r="J1867" s="17" t="s">
        <v>1</v>
      </c>
      <c r="K1867" s="330"/>
      <c r="L1867" s="330"/>
      <c r="M1867" s="330"/>
      <c r="N1867" s="330"/>
      <c r="O1867" s="330"/>
      <c r="P1867" s="330"/>
      <c r="Q1867" s="330"/>
      <c r="R1867" s="330"/>
      <c r="S1867" s="330"/>
      <c r="T1867" s="330"/>
      <c r="U1867" s="330"/>
      <c r="V1867" s="330"/>
      <c r="W1867" s="330"/>
      <c r="X1867" s="330"/>
      <c r="Y1867" s="330"/>
      <c r="Z1867" s="330"/>
    </row>
    <row r="1868" ht="33.75" customHeight="1">
      <c r="A1868" s="11" t="s">
        <v>2610</v>
      </c>
      <c r="B1868" s="22" t="s">
        <v>85</v>
      </c>
      <c r="C1868" s="11" t="s">
        <v>2609</v>
      </c>
      <c r="D1868" s="74" t="s">
        <v>2603</v>
      </c>
      <c r="E1868" s="64">
        <v>46090.0</v>
      </c>
      <c r="F1868" s="14" t="s">
        <v>1133</v>
      </c>
      <c r="G1868" s="178">
        <v>5000.0</v>
      </c>
      <c r="H1868" s="16">
        <v>3530.0</v>
      </c>
      <c r="I1868" s="17">
        <f t="shared" si="60"/>
        <v>1470</v>
      </c>
      <c r="J1868" s="17" t="s">
        <v>1</v>
      </c>
      <c r="K1868" s="330"/>
      <c r="L1868" s="330"/>
      <c r="M1868" s="330"/>
      <c r="N1868" s="330"/>
      <c r="O1868" s="330"/>
      <c r="P1868" s="330"/>
      <c r="Q1868" s="330"/>
      <c r="R1868" s="330"/>
      <c r="S1868" s="330"/>
      <c r="T1868" s="330"/>
      <c r="U1868" s="330"/>
      <c r="V1868" s="330"/>
      <c r="W1868" s="330"/>
      <c r="X1868" s="330"/>
      <c r="Y1868" s="330"/>
      <c r="Z1868" s="330"/>
    </row>
    <row r="1869" ht="33.75" customHeight="1">
      <c r="A1869" s="11" t="s">
        <v>2611</v>
      </c>
      <c r="B1869" s="22" t="s">
        <v>85</v>
      </c>
      <c r="C1869" s="11" t="s">
        <v>2609</v>
      </c>
      <c r="D1869" s="74" t="s">
        <v>2603</v>
      </c>
      <c r="E1869" s="64">
        <v>46090.0</v>
      </c>
      <c r="F1869" s="14" t="s">
        <v>1133</v>
      </c>
      <c r="G1869" s="178">
        <v>5000.0</v>
      </c>
      <c r="H1869" s="16">
        <v>3646.0</v>
      </c>
      <c r="I1869" s="17">
        <f t="shared" si="60"/>
        <v>1354</v>
      </c>
      <c r="J1869" s="17" t="s">
        <v>1</v>
      </c>
      <c r="K1869" s="330"/>
      <c r="L1869" s="330"/>
      <c r="M1869" s="330"/>
      <c r="N1869" s="330"/>
      <c r="O1869" s="330"/>
      <c r="P1869" s="330"/>
      <c r="Q1869" s="330"/>
      <c r="R1869" s="330"/>
      <c r="S1869" s="330"/>
      <c r="T1869" s="330"/>
      <c r="U1869" s="330"/>
      <c r="V1869" s="330"/>
      <c r="W1869" s="330"/>
      <c r="X1869" s="330"/>
      <c r="Y1869" s="330"/>
      <c r="Z1869" s="330"/>
    </row>
    <row r="1870" ht="33.75" customHeight="1">
      <c r="A1870" s="11" t="s">
        <v>2533</v>
      </c>
      <c r="B1870" s="22" t="s">
        <v>85</v>
      </c>
      <c r="C1870" s="11" t="s">
        <v>2609</v>
      </c>
      <c r="D1870" s="74" t="s">
        <v>2603</v>
      </c>
      <c r="E1870" s="64">
        <v>46090.0</v>
      </c>
      <c r="F1870" s="14" t="s">
        <v>1133</v>
      </c>
      <c r="G1870" s="178">
        <v>5000.0</v>
      </c>
      <c r="H1870" s="16">
        <v>4007.0</v>
      </c>
      <c r="I1870" s="17">
        <f t="shared" si="60"/>
        <v>993</v>
      </c>
      <c r="J1870" s="17" t="s">
        <v>1</v>
      </c>
      <c r="K1870" s="330"/>
      <c r="L1870" s="330"/>
      <c r="M1870" s="330"/>
      <c r="N1870" s="330"/>
      <c r="O1870" s="330"/>
      <c r="P1870" s="330"/>
      <c r="Q1870" s="330"/>
      <c r="R1870" s="330"/>
      <c r="S1870" s="330"/>
      <c r="T1870" s="330"/>
      <c r="U1870" s="330"/>
      <c r="V1870" s="330"/>
      <c r="W1870" s="330"/>
      <c r="X1870" s="330"/>
      <c r="Y1870" s="330"/>
      <c r="Z1870" s="330"/>
    </row>
    <row r="1871" ht="33.75" customHeight="1">
      <c r="A1871" s="11" t="s">
        <v>2612</v>
      </c>
      <c r="B1871" s="22" t="s">
        <v>85</v>
      </c>
      <c r="C1871" s="11" t="s">
        <v>2609</v>
      </c>
      <c r="D1871" s="74" t="s">
        <v>2603</v>
      </c>
      <c r="E1871" s="64">
        <v>46090.0</v>
      </c>
      <c r="F1871" s="14" t="s">
        <v>1133</v>
      </c>
      <c r="G1871" s="178">
        <v>12000.0</v>
      </c>
      <c r="H1871" s="16">
        <v>3946.0</v>
      </c>
      <c r="I1871" s="17">
        <f t="shared" si="60"/>
        <v>8054</v>
      </c>
      <c r="J1871" s="17" t="s">
        <v>1</v>
      </c>
      <c r="K1871" s="330"/>
      <c r="L1871" s="330"/>
      <c r="M1871" s="330"/>
      <c r="N1871" s="330"/>
      <c r="O1871" s="330"/>
      <c r="P1871" s="330"/>
      <c r="Q1871" s="330"/>
      <c r="R1871" s="330"/>
      <c r="S1871" s="330"/>
      <c r="T1871" s="330"/>
      <c r="U1871" s="330"/>
      <c r="V1871" s="330"/>
      <c r="W1871" s="330"/>
      <c r="X1871" s="330"/>
      <c r="Y1871" s="330"/>
      <c r="Z1871" s="330"/>
    </row>
    <row r="1872" ht="33.75" customHeight="1">
      <c r="A1872" s="11" t="s">
        <v>2519</v>
      </c>
      <c r="B1872" s="22" t="s">
        <v>85</v>
      </c>
      <c r="C1872" s="11" t="s">
        <v>2609</v>
      </c>
      <c r="D1872" s="74" t="s">
        <v>2603</v>
      </c>
      <c r="E1872" s="64">
        <v>46090.0</v>
      </c>
      <c r="F1872" s="14" t="s">
        <v>1133</v>
      </c>
      <c r="G1872" s="178">
        <v>5000.0</v>
      </c>
      <c r="H1872" s="16">
        <v>3318.0</v>
      </c>
      <c r="I1872" s="17">
        <f t="shared" si="60"/>
        <v>1682</v>
      </c>
      <c r="J1872" s="17" t="s">
        <v>1</v>
      </c>
      <c r="K1872" s="330"/>
      <c r="L1872" s="330"/>
      <c r="M1872" s="330"/>
      <c r="N1872" s="330"/>
      <c r="O1872" s="330"/>
      <c r="P1872" s="330"/>
      <c r="Q1872" s="330"/>
      <c r="R1872" s="330"/>
      <c r="S1872" s="330"/>
      <c r="T1872" s="330"/>
      <c r="U1872" s="330"/>
      <c r="V1872" s="330"/>
      <c r="W1872" s="330"/>
      <c r="X1872" s="330"/>
      <c r="Y1872" s="330"/>
      <c r="Z1872" s="330"/>
    </row>
    <row r="1873" ht="33.75" customHeight="1">
      <c r="A1873" s="11" t="s">
        <v>2411</v>
      </c>
      <c r="B1873" s="22" t="s">
        <v>85</v>
      </c>
      <c r="C1873" s="11" t="s">
        <v>2609</v>
      </c>
      <c r="D1873" s="74" t="s">
        <v>2603</v>
      </c>
      <c r="E1873" s="64">
        <v>46090.0</v>
      </c>
      <c r="F1873" s="14" t="s">
        <v>1133</v>
      </c>
      <c r="G1873" s="178">
        <v>10000.0</v>
      </c>
      <c r="H1873" s="16">
        <v>7505.0</v>
      </c>
      <c r="I1873" s="17">
        <f t="shared" si="60"/>
        <v>2495</v>
      </c>
      <c r="J1873" s="17" t="s">
        <v>1</v>
      </c>
      <c r="K1873" s="35"/>
      <c r="L1873" s="35"/>
      <c r="M1873" s="35"/>
      <c r="N1873" s="35"/>
      <c r="O1873" s="35"/>
      <c r="P1873" s="35"/>
      <c r="Q1873" s="35"/>
      <c r="R1873" s="35"/>
      <c r="S1873" s="35"/>
      <c r="T1873" s="35"/>
      <c r="U1873" s="35"/>
      <c r="V1873" s="35"/>
      <c r="W1873" s="35"/>
      <c r="X1873" s="35"/>
      <c r="Y1873" s="35"/>
      <c r="Z1873" s="35"/>
    </row>
    <row r="1874" ht="33.75" customHeight="1">
      <c r="A1874" s="11" t="s">
        <v>1294</v>
      </c>
      <c r="B1874" s="22" t="s">
        <v>85</v>
      </c>
      <c r="C1874" s="11" t="s">
        <v>2609</v>
      </c>
      <c r="D1874" s="74" t="s">
        <v>2603</v>
      </c>
      <c r="E1874" s="64">
        <v>46090.0</v>
      </c>
      <c r="F1874" s="14" t="s">
        <v>1133</v>
      </c>
      <c r="G1874" s="178">
        <v>8000.0</v>
      </c>
      <c r="H1874" s="16">
        <v>4232.0</v>
      </c>
      <c r="I1874" s="17">
        <f t="shared" si="60"/>
        <v>3768</v>
      </c>
      <c r="J1874" s="17" t="s">
        <v>1</v>
      </c>
      <c r="K1874" s="35"/>
      <c r="L1874" s="35"/>
      <c r="M1874" s="35"/>
      <c r="N1874" s="35"/>
      <c r="O1874" s="35"/>
      <c r="P1874" s="35"/>
      <c r="Q1874" s="35"/>
      <c r="R1874" s="35"/>
      <c r="S1874" s="35"/>
      <c r="T1874" s="35"/>
      <c r="U1874" s="35"/>
      <c r="V1874" s="35"/>
      <c r="W1874" s="35"/>
      <c r="X1874" s="35"/>
      <c r="Y1874" s="35"/>
      <c r="Z1874" s="35"/>
    </row>
    <row r="1875" ht="33.75" customHeight="1">
      <c r="A1875" s="11" t="s">
        <v>1377</v>
      </c>
      <c r="B1875" s="22" t="s">
        <v>85</v>
      </c>
      <c r="C1875" s="11" t="s">
        <v>2609</v>
      </c>
      <c r="D1875" s="74" t="s">
        <v>2603</v>
      </c>
      <c r="E1875" s="64">
        <v>46090.0</v>
      </c>
      <c r="F1875" s="14" t="s">
        <v>1133</v>
      </c>
      <c r="G1875" s="178">
        <v>10000.0</v>
      </c>
      <c r="H1875" s="16">
        <v>4307.0</v>
      </c>
      <c r="I1875" s="17">
        <f t="shared" si="60"/>
        <v>5693</v>
      </c>
      <c r="J1875" s="17" t="s">
        <v>1</v>
      </c>
      <c r="K1875" s="35"/>
      <c r="L1875" s="35"/>
      <c r="M1875" s="35"/>
      <c r="N1875" s="35"/>
      <c r="O1875" s="35"/>
      <c r="P1875" s="35"/>
      <c r="Q1875" s="35"/>
      <c r="R1875" s="35"/>
      <c r="S1875" s="35"/>
      <c r="T1875" s="35"/>
      <c r="U1875" s="35"/>
      <c r="V1875" s="35"/>
      <c r="W1875" s="35"/>
      <c r="X1875" s="35"/>
      <c r="Y1875" s="35"/>
      <c r="Z1875" s="35"/>
    </row>
    <row r="1876" ht="33.75" customHeight="1">
      <c r="A1876" s="11" t="s">
        <v>373</v>
      </c>
      <c r="B1876" s="22" t="s">
        <v>88</v>
      </c>
      <c r="C1876" s="11" t="s">
        <v>2613</v>
      </c>
      <c r="D1876" s="74">
        <v>8.96962543215056E14</v>
      </c>
      <c r="E1876" s="64">
        <v>46090.0</v>
      </c>
      <c r="F1876" s="14" t="s">
        <v>1133</v>
      </c>
      <c r="G1876" s="178">
        <v>8000.0</v>
      </c>
      <c r="H1876" s="16">
        <v>5019.0</v>
      </c>
      <c r="I1876" s="17">
        <f t="shared" si="60"/>
        <v>2981</v>
      </c>
      <c r="J1876" s="17" t="s">
        <v>1</v>
      </c>
      <c r="K1876" s="330"/>
      <c r="L1876" s="330"/>
      <c r="M1876" s="330"/>
      <c r="N1876" s="330"/>
      <c r="O1876" s="330"/>
      <c r="P1876" s="330"/>
      <c r="Q1876" s="330"/>
      <c r="R1876" s="330"/>
      <c r="S1876" s="330"/>
      <c r="T1876" s="330"/>
      <c r="U1876" s="330"/>
      <c r="V1876" s="330"/>
      <c r="W1876" s="330"/>
      <c r="X1876" s="330"/>
      <c r="Y1876" s="330"/>
      <c r="Z1876" s="330"/>
    </row>
    <row r="1877" ht="33.75" customHeight="1">
      <c r="A1877" s="11" t="s">
        <v>370</v>
      </c>
      <c r="B1877" s="22" t="s">
        <v>88</v>
      </c>
      <c r="C1877" s="11" t="s">
        <v>2613</v>
      </c>
      <c r="D1877" s="74">
        <v>8.96962543215056E14</v>
      </c>
      <c r="E1877" s="64">
        <v>46090.0</v>
      </c>
      <c r="F1877" s="14" t="s">
        <v>1133</v>
      </c>
      <c r="G1877" s="178">
        <v>8000.0</v>
      </c>
      <c r="H1877" s="16">
        <v>5604.0</v>
      </c>
      <c r="I1877" s="17">
        <f t="shared" si="60"/>
        <v>2396</v>
      </c>
      <c r="J1877" s="17" t="s">
        <v>1</v>
      </c>
      <c r="K1877" s="330"/>
      <c r="L1877" s="330"/>
      <c r="M1877" s="330"/>
      <c r="N1877" s="330"/>
      <c r="O1877" s="330"/>
      <c r="P1877" s="330"/>
      <c r="Q1877" s="330"/>
      <c r="R1877" s="330"/>
      <c r="S1877" s="330"/>
      <c r="T1877" s="330"/>
      <c r="U1877" s="330"/>
      <c r="V1877" s="330"/>
      <c r="W1877" s="330"/>
      <c r="X1877" s="330"/>
      <c r="Y1877" s="330"/>
      <c r="Z1877" s="330"/>
    </row>
    <row r="1878" ht="33.75" customHeight="1">
      <c r="A1878" s="11" t="s">
        <v>1160</v>
      </c>
      <c r="B1878" s="22" t="s">
        <v>88</v>
      </c>
      <c r="C1878" s="11" t="s">
        <v>2613</v>
      </c>
      <c r="D1878" s="74">
        <v>8.96962543215056E14</v>
      </c>
      <c r="E1878" s="64">
        <v>46090.0</v>
      </c>
      <c r="F1878" s="14" t="s">
        <v>1133</v>
      </c>
      <c r="G1878" s="178">
        <v>8000.0</v>
      </c>
      <c r="H1878" s="16">
        <v>7169.0</v>
      </c>
      <c r="I1878" s="17">
        <f t="shared" si="60"/>
        <v>831</v>
      </c>
      <c r="J1878" s="17" t="s">
        <v>1</v>
      </c>
      <c r="K1878" s="330"/>
      <c r="L1878" s="330"/>
      <c r="M1878" s="330"/>
      <c r="N1878" s="330"/>
      <c r="O1878" s="330"/>
      <c r="P1878" s="330"/>
      <c r="Q1878" s="330"/>
      <c r="R1878" s="330"/>
      <c r="S1878" s="330"/>
      <c r="T1878" s="330"/>
      <c r="U1878" s="330"/>
      <c r="V1878" s="330"/>
      <c r="W1878" s="330"/>
      <c r="X1878" s="330"/>
      <c r="Y1878" s="330"/>
      <c r="Z1878" s="330"/>
    </row>
    <row r="1879" ht="33.75" customHeight="1">
      <c r="A1879" s="11" t="s">
        <v>1365</v>
      </c>
      <c r="B1879" s="22" t="s">
        <v>88</v>
      </c>
      <c r="C1879" s="11" t="s">
        <v>2613</v>
      </c>
      <c r="D1879" s="74">
        <v>8.96962543215056E14</v>
      </c>
      <c r="E1879" s="64">
        <v>46090.0</v>
      </c>
      <c r="F1879" s="14" t="s">
        <v>1133</v>
      </c>
      <c r="G1879" s="178">
        <v>3000.0</v>
      </c>
      <c r="H1879" s="16">
        <v>2855.0</v>
      </c>
      <c r="I1879" s="17">
        <f t="shared" si="60"/>
        <v>145</v>
      </c>
      <c r="J1879" s="17" t="s">
        <v>1</v>
      </c>
      <c r="K1879" s="330"/>
      <c r="L1879" s="330"/>
      <c r="M1879" s="330"/>
      <c r="N1879" s="330"/>
      <c r="O1879" s="330"/>
      <c r="P1879" s="330"/>
      <c r="Q1879" s="330"/>
      <c r="R1879" s="330"/>
      <c r="S1879" s="330"/>
      <c r="T1879" s="330"/>
      <c r="U1879" s="330"/>
      <c r="V1879" s="330"/>
      <c r="W1879" s="330"/>
      <c r="X1879" s="330"/>
      <c r="Y1879" s="330"/>
      <c r="Z1879" s="330"/>
    </row>
    <row r="1880" ht="33.75" customHeight="1">
      <c r="A1880" s="11" t="s">
        <v>1587</v>
      </c>
      <c r="B1880" s="22" t="s">
        <v>88</v>
      </c>
      <c r="C1880" s="337" t="s">
        <v>2614</v>
      </c>
      <c r="D1880" s="74">
        <v>9.14989381030668E14</v>
      </c>
      <c r="E1880" s="64">
        <v>46090.0</v>
      </c>
      <c r="F1880" s="14" t="s">
        <v>17</v>
      </c>
      <c r="G1880" s="178">
        <v>19527.0</v>
      </c>
      <c r="H1880" s="16">
        <v>16952.0</v>
      </c>
      <c r="I1880" s="17">
        <f t="shared" si="60"/>
        <v>2575</v>
      </c>
      <c r="J1880" s="17" t="s">
        <v>1</v>
      </c>
      <c r="K1880" s="330"/>
      <c r="L1880" s="330"/>
      <c r="M1880" s="330"/>
      <c r="N1880" s="330"/>
      <c r="O1880" s="330"/>
      <c r="P1880" s="330"/>
      <c r="Q1880" s="330"/>
      <c r="R1880" s="330"/>
      <c r="S1880" s="330"/>
      <c r="T1880" s="330"/>
      <c r="U1880" s="330"/>
      <c r="V1880" s="330"/>
      <c r="W1880" s="330"/>
      <c r="X1880" s="330"/>
      <c r="Y1880" s="330"/>
      <c r="Z1880" s="330"/>
    </row>
    <row r="1881" ht="33.75" customHeight="1">
      <c r="A1881" s="11" t="s">
        <v>210</v>
      </c>
      <c r="B1881" s="22" t="s">
        <v>1794</v>
      </c>
      <c r="C1881" s="11" t="s">
        <v>1912</v>
      </c>
      <c r="D1881" s="74"/>
      <c r="E1881" s="64">
        <v>46090.0</v>
      </c>
      <c r="F1881" s="14" t="s">
        <v>1141</v>
      </c>
      <c r="G1881" s="178">
        <v>15000.0</v>
      </c>
      <c r="H1881" s="16">
        <v>12923.0</v>
      </c>
      <c r="I1881" s="17">
        <f t="shared" si="60"/>
        <v>2077</v>
      </c>
      <c r="J1881" s="17" t="s">
        <v>1</v>
      </c>
      <c r="K1881" s="330"/>
      <c r="L1881" s="330"/>
      <c r="M1881" s="330"/>
      <c r="N1881" s="330"/>
      <c r="O1881" s="330"/>
      <c r="P1881" s="330"/>
      <c r="Q1881" s="330"/>
      <c r="R1881" s="330"/>
      <c r="S1881" s="330"/>
      <c r="T1881" s="330"/>
      <c r="U1881" s="330"/>
      <c r="V1881" s="330"/>
      <c r="W1881" s="330"/>
      <c r="X1881" s="330"/>
      <c r="Y1881" s="330"/>
      <c r="Z1881" s="330"/>
    </row>
    <row r="1882" ht="33.75" customHeight="1">
      <c r="A1882" s="11" t="s">
        <v>1587</v>
      </c>
      <c r="B1882" s="22" t="s">
        <v>1244</v>
      </c>
      <c r="C1882" s="337" t="s">
        <v>2615</v>
      </c>
      <c r="D1882" s="11" t="s">
        <v>2616</v>
      </c>
      <c r="E1882" s="64">
        <v>46090.0</v>
      </c>
      <c r="F1882" s="14" t="s">
        <v>287</v>
      </c>
      <c r="G1882" s="178">
        <v>53530.0</v>
      </c>
      <c r="H1882" s="28"/>
      <c r="I1882" s="17">
        <v>0.0</v>
      </c>
      <c r="J1882" s="17" t="s">
        <v>1</v>
      </c>
      <c r="K1882" s="330"/>
      <c r="L1882" s="330"/>
      <c r="M1882" s="330"/>
      <c r="N1882" s="330"/>
      <c r="O1882" s="330"/>
      <c r="P1882" s="330"/>
      <c r="Q1882" s="330"/>
      <c r="R1882" s="330"/>
      <c r="S1882" s="330"/>
      <c r="T1882" s="330"/>
      <c r="U1882" s="330"/>
      <c r="V1882" s="330"/>
      <c r="W1882" s="330"/>
      <c r="X1882" s="330"/>
      <c r="Y1882" s="330"/>
      <c r="Z1882" s="330"/>
    </row>
    <row r="1883" ht="33.75" customHeight="1">
      <c r="A1883" s="11" t="s">
        <v>28</v>
      </c>
      <c r="B1883" s="22" t="s">
        <v>37</v>
      </c>
      <c r="C1883" s="11" t="s">
        <v>2599</v>
      </c>
      <c r="D1883" s="74" t="s">
        <v>2600</v>
      </c>
      <c r="E1883" s="64">
        <v>46090.0</v>
      </c>
      <c r="F1883" s="14" t="s">
        <v>17</v>
      </c>
      <c r="G1883" s="178">
        <v>11000.0</v>
      </c>
      <c r="H1883" s="16">
        <v>9234.0</v>
      </c>
      <c r="I1883" s="17">
        <v>0.0</v>
      </c>
      <c r="J1883" s="17" t="s">
        <v>1</v>
      </c>
      <c r="K1883" s="330"/>
      <c r="L1883" s="330"/>
      <c r="M1883" s="330"/>
      <c r="N1883" s="330"/>
      <c r="O1883" s="330"/>
      <c r="P1883" s="330"/>
      <c r="Q1883" s="330"/>
      <c r="R1883" s="330"/>
      <c r="S1883" s="330"/>
      <c r="T1883" s="330"/>
      <c r="U1883" s="330"/>
      <c r="V1883" s="330"/>
      <c r="W1883" s="330"/>
      <c r="X1883" s="330"/>
      <c r="Y1883" s="330"/>
      <c r="Z1883" s="330"/>
    </row>
    <row r="1884" ht="33.75" customHeight="1">
      <c r="A1884" s="11" t="s">
        <v>1587</v>
      </c>
      <c r="B1884" s="22" t="s">
        <v>2617</v>
      </c>
      <c r="C1884" s="337" t="s">
        <v>2618</v>
      </c>
      <c r="D1884" s="11" t="s">
        <v>2619</v>
      </c>
      <c r="E1884" s="64">
        <v>46090.0</v>
      </c>
      <c r="F1884" s="14" t="s">
        <v>287</v>
      </c>
      <c r="G1884" s="178">
        <v>53530.0</v>
      </c>
      <c r="H1884" s="28"/>
      <c r="I1884" s="17">
        <v>0.0</v>
      </c>
      <c r="J1884" s="17" t="s">
        <v>1</v>
      </c>
      <c r="K1884" s="330"/>
      <c r="L1884" s="330"/>
      <c r="M1884" s="330"/>
      <c r="N1884" s="330"/>
      <c r="O1884" s="330"/>
      <c r="P1884" s="330"/>
      <c r="Q1884" s="330"/>
      <c r="R1884" s="330"/>
      <c r="S1884" s="330"/>
      <c r="T1884" s="330"/>
      <c r="U1884" s="330"/>
      <c r="V1884" s="330"/>
      <c r="W1884" s="330"/>
      <c r="X1884" s="330"/>
      <c r="Y1884" s="330"/>
      <c r="Z1884" s="330"/>
    </row>
    <row r="1885" ht="33.75" customHeight="1">
      <c r="A1885" s="11" t="s">
        <v>1587</v>
      </c>
      <c r="B1885" s="22" t="s">
        <v>2620</v>
      </c>
      <c r="C1885" s="337" t="s">
        <v>2621</v>
      </c>
      <c r="D1885" s="11" t="s">
        <v>2622</v>
      </c>
      <c r="E1885" s="64">
        <v>46090.0</v>
      </c>
      <c r="F1885" s="14" t="s">
        <v>287</v>
      </c>
      <c r="G1885" s="178">
        <v>53530.0</v>
      </c>
      <c r="H1885" s="28"/>
      <c r="I1885" s="17">
        <v>0.0</v>
      </c>
      <c r="J1885" s="17" t="s">
        <v>1</v>
      </c>
      <c r="K1885" s="330"/>
      <c r="L1885" s="330"/>
      <c r="M1885" s="330"/>
      <c r="N1885" s="330"/>
      <c r="O1885" s="330"/>
      <c r="P1885" s="330"/>
      <c r="Q1885" s="330"/>
      <c r="R1885" s="330"/>
      <c r="S1885" s="330"/>
      <c r="T1885" s="330"/>
      <c r="U1885" s="330"/>
      <c r="V1885" s="330"/>
      <c r="W1885" s="330"/>
      <c r="X1885" s="330"/>
      <c r="Y1885" s="330"/>
      <c r="Z1885" s="330"/>
    </row>
    <row r="1886" ht="33.75" customHeight="1">
      <c r="A1886" s="11" t="s">
        <v>1587</v>
      </c>
      <c r="B1886" s="22" t="s">
        <v>1005</v>
      </c>
      <c r="C1886" s="11" t="s">
        <v>2623</v>
      </c>
      <c r="D1886" s="74">
        <v>1.7786419263893E15</v>
      </c>
      <c r="E1886" s="64">
        <v>46090.0</v>
      </c>
      <c r="F1886" s="14" t="s">
        <v>287</v>
      </c>
      <c r="G1886" s="178">
        <v>53530.0</v>
      </c>
      <c r="H1886" s="28"/>
      <c r="I1886" s="17">
        <v>0.0</v>
      </c>
      <c r="J1886" s="17" t="s">
        <v>1</v>
      </c>
      <c r="K1886" s="330"/>
      <c r="L1886" s="330"/>
      <c r="M1886" s="330"/>
      <c r="N1886" s="330"/>
      <c r="O1886" s="330"/>
      <c r="P1886" s="330"/>
      <c r="Q1886" s="330"/>
      <c r="R1886" s="330"/>
      <c r="S1886" s="330"/>
      <c r="T1886" s="330"/>
      <c r="U1886" s="330"/>
      <c r="V1886" s="330"/>
      <c r="W1886" s="330"/>
      <c r="X1886" s="330"/>
      <c r="Y1886" s="330"/>
      <c r="Z1886" s="330"/>
    </row>
    <row r="1887" ht="33.75" customHeight="1">
      <c r="A1887" s="11" t="s">
        <v>135</v>
      </c>
      <c r="B1887" s="22" t="s">
        <v>530</v>
      </c>
      <c r="C1887" s="11" t="s">
        <v>2311</v>
      </c>
      <c r="D1887" s="74"/>
      <c r="E1887" s="64">
        <v>46090.0</v>
      </c>
      <c r="F1887" s="14" t="s">
        <v>1141</v>
      </c>
      <c r="G1887" s="178">
        <v>18546.0</v>
      </c>
      <c r="H1887" s="16">
        <v>16733.0</v>
      </c>
      <c r="I1887" s="17">
        <v>0.0</v>
      </c>
      <c r="J1887" s="254" t="s">
        <v>1</v>
      </c>
      <c r="K1887" s="330"/>
      <c r="L1887" s="330"/>
      <c r="M1887" s="330"/>
      <c r="N1887" s="330"/>
      <c r="O1887" s="330"/>
      <c r="P1887" s="330"/>
      <c r="Q1887" s="330"/>
      <c r="R1887" s="330"/>
      <c r="S1887" s="330"/>
      <c r="T1887" s="330"/>
      <c r="U1887" s="330"/>
      <c r="V1887" s="330"/>
      <c r="W1887" s="330"/>
      <c r="X1887" s="330"/>
      <c r="Y1887" s="330"/>
      <c r="Z1887" s="330"/>
    </row>
    <row r="1888" ht="33.75" customHeight="1">
      <c r="A1888" s="11" t="s">
        <v>489</v>
      </c>
      <c r="B1888" s="22" t="s">
        <v>530</v>
      </c>
      <c r="C1888" s="11" t="s">
        <v>2430</v>
      </c>
      <c r="D1888" s="11" t="s">
        <v>2419</v>
      </c>
      <c r="E1888" s="64">
        <v>46090.0</v>
      </c>
      <c r="F1888" s="14" t="s">
        <v>1191</v>
      </c>
      <c r="G1888" s="178">
        <v>10000.0</v>
      </c>
      <c r="H1888" s="16">
        <v>9225.0</v>
      </c>
      <c r="I1888" s="17">
        <v>0.0</v>
      </c>
      <c r="J1888" s="17" t="s">
        <v>1</v>
      </c>
      <c r="K1888" s="330"/>
      <c r="L1888" s="330"/>
      <c r="M1888" s="330"/>
      <c r="N1888" s="330"/>
      <c r="O1888" s="330"/>
      <c r="P1888" s="330"/>
      <c r="Q1888" s="330"/>
      <c r="R1888" s="330"/>
      <c r="S1888" s="330"/>
      <c r="T1888" s="330"/>
      <c r="U1888" s="330"/>
      <c r="V1888" s="330"/>
      <c r="W1888" s="330"/>
      <c r="X1888" s="330"/>
      <c r="Y1888" s="330"/>
      <c r="Z1888" s="330"/>
    </row>
    <row r="1889" ht="33.75" customHeight="1">
      <c r="A1889" s="11" t="s">
        <v>1587</v>
      </c>
      <c r="B1889" s="22" t="s">
        <v>528</v>
      </c>
      <c r="C1889" s="11" t="s">
        <v>2624</v>
      </c>
      <c r="D1889" s="11" t="s">
        <v>2625</v>
      </c>
      <c r="E1889" s="64">
        <v>46090.0</v>
      </c>
      <c r="F1889" s="14" t="s">
        <v>287</v>
      </c>
      <c r="G1889" s="178">
        <v>53530.0</v>
      </c>
      <c r="H1889" s="28"/>
      <c r="I1889" s="17">
        <v>0.0</v>
      </c>
      <c r="J1889" s="17" t="s">
        <v>1</v>
      </c>
      <c r="K1889" s="330"/>
      <c r="L1889" s="330"/>
      <c r="M1889" s="330"/>
      <c r="N1889" s="330"/>
      <c r="O1889" s="330"/>
      <c r="P1889" s="330"/>
      <c r="Q1889" s="330"/>
      <c r="R1889" s="330"/>
      <c r="S1889" s="330"/>
      <c r="T1889" s="330"/>
      <c r="U1889" s="330"/>
      <c r="V1889" s="330"/>
      <c r="W1889" s="330"/>
      <c r="X1889" s="330"/>
      <c r="Y1889" s="330"/>
      <c r="Z1889" s="330"/>
    </row>
    <row r="1890" ht="33.75" customHeight="1">
      <c r="A1890" s="11" t="s">
        <v>1587</v>
      </c>
      <c r="B1890" s="22" t="s">
        <v>34</v>
      </c>
      <c r="C1890" s="11" t="s">
        <v>2626</v>
      </c>
      <c r="D1890" s="11">
        <v>9.06407482423931E14</v>
      </c>
      <c r="E1890" s="64">
        <v>46090.0</v>
      </c>
      <c r="F1890" s="14" t="s">
        <v>287</v>
      </c>
      <c r="G1890" s="178">
        <v>53536.0</v>
      </c>
      <c r="H1890" s="28"/>
      <c r="I1890" s="17">
        <v>0.0</v>
      </c>
      <c r="J1890" s="17" t="s">
        <v>1</v>
      </c>
      <c r="K1890" s="330"/>
      <c r="L1890" s="330"/>
      <c r="M1890" s="330"/>
      <c r="N1890" s="330"/>
      <c r="O1890" s="330"/>
      <c r="P1890" s="330"/>
      <c r="Q1890" s="330"/>
      <c r="R1890" s="330"/>
      <c r="S1890" s="330"/>
      <c r="T1890" s="330"/>
      <c r="U1890" s="330"/>
      <c r="V1890" s="330"/>
      <c r="W1890" s="330"/>
      <c r="X1890" s="330"/>
      <c r="Y1890" s="330"/>
      <c r="Z1890" s="330"/>
    </row>
    <row r="1891" ht="33.75" customHeight="1">
      <c r="A1891" s="11" t="s">
        <v>2478</v>
      </c>
      <c r="B1891" s="22" t="s">
        <v>237</v>
      </c>
      <c r="C1891" s="11" t="s">
        <v>2627</v>
      </c>
      <c r="D1891" s="11" t="s">
        <v>2628</v>
      </c>
      <c r="E1891" s="64">
        <v>46090.0</v>
      </c>
      <c r="F1891" s="14" t="s">
        <v>17</v>
      </c>
      <c r="G1891" s="178">
        <v>10001.0</v>
      </c>
      <c r="H1891" s="16">
        <v>7124.0</v>
      </c>
      <c r="I1891" s="17">
        <v>0.0</v>
      </c>
      <c r="J1891" s="17" t="s">
        <v>1</v>
      </c>
      <c r="K1891" s="330"/>
      <c r="L1891" s="330"/>
      <c r="M1891" s="330"/>
      <c r="N1891" s="330"/>
      <c r="O1891" s="330"/>
      <c r="P1891" s="330"/>
      <c r="Q1891" s="330"/>
      <c r="R1891" s="330"/>
      <c r="S1891" s="330"/>
      <c r="T1891" s="330"/>
      <c r="U1891" s="330"/>
      <c r="V1891" s="330"/>
      <c r="W1891" s="330"/>
      <c r="X1891" s="330"/>
      <c r="Y1891" s="330"/>
      <c r="Z1891" s="330"/>
    </row>
    <row r="1892" ht="33.75" customHeight="1">
      <c r="A1892" s="11" t="s">
        <v>2485</v>
      </c>
      <c r="B1892" s="22" t="s">
        <v>19</v>
      </c>
      <c r="C1892" s="11" t="s">
        <v>2486</v>
      </c>
      <c r="D1892" s="11" t="s">
        <v>2487</v>
      </c>
      <c r="E1892" s="76">
        <v>46090.0</v>
      </c>
      <c r="F1892" s="14" t="s">
        <v>17</v>
      </c>
      <c r="G1892" s="178">
        <v>54016.0</v>
      </c>
      <c r="H1892" s="28"/>
      <c r="I1892" s="17">
        <v>0.0</v>
      </c>
      <c r="J1892" s="17" t="s">
        <v>1</v>
      </c>
      <c r="K1892" s="330"/>
      <c r="L1892" s="330"/>
      <c r="M1892" s="330"/>
      <c r="N1892" s="330"/>
      <c r="O1892" s="330"/>
      <c r="P1892" s="330"/>
      <c r="Q1892" s="330"/>
      <c r="R1892" s="330"/>
      <c r="S1892" s="330"/>
      <c r="T1892" s="330"/>
      <c r="U1892" s="330"/>
      <c r="V1892" s="330"/>
      <c r="W1892" s="330"/>
      <c r="X1892" s="330"/>
      <c r="Y1892" s="330"/>
      <c r="Z1892" s="330"/>
    </row>
    <row r="1893" ht="33.75" customHeight="1">
      <c r="A1893" s="11" t="s">
        <v>1994</v>
      </c>
      <c r="B1893" s="22"/>
      <c r="C1893" s="11" t="s">
        <v>2629</v>
      </c>
      <c r="D1893" s="11" t="s">
        <v>2630</v>
      </c>
      <c r="E1893" s="64">
        <v>46090.0</v>
      </c>
      <c r="F1893" s="14" t="s">
        <v>1141</v>
      </c>
      <c r="G1893" s="178">
        <v>48482.0</v>
      </c>
      <c r="H1893" s="16">
        <v>37079.0</v>
      </c>
      <c r="I1893" s="17" t="s">
        <v>2631</v>
      </c>
      <c r="J1893" s="17" t="s">
        <v>1</v>
      </c>
      <c r="K1893" s="330"/>
      <c r="L1893" s="330"/>
      <c r="M1893" s="330"/>
      <c r="N1893" s="330"/>
      <c r="O1893" s="330"/>
      <c r="P1893" s="330"/>
      <c r="Q1893" s="330"/>
      <c r="R1893" s="330"/>
      <c r="S1893" s="330"/>
      <c r="T1893" s="330"/>
      <c r="U1893" s="330"/>
      <c r="V1893" s="330"/>
      <c r="W1893" s="330"/>
      <c r="X1893" s="330"/>
      <c r="Y1893" s="330"/>
      <c r="Z1893" s="330"/>
    </row>
    <row r="1894" ht="33.75" customHeight="1">
      <c r="A1894" s="11" t="s">
        <v>1994</v>
      </c>
      <c r="B1894" s="22"/>
      <c r="C1894" s="11" t="s">
        <v>2632</v>
      </c>
      <c r="D1894" s="11" t="s">
        <v>2630</v>
      </c>
      <c r="E1894" s="64">
        <v>46090.0</v>
      </c>
      <c r="F1894" s="14" t="s">
        <v>1141</v>
      </c>
      <c r="G1894" s="178">
        <v>48482.0</v>
      </c>
      <c r="H1894" s="16">
        <v>37079.0</v>
      </c>
      <c r="I1894" s="17">
        <v>0.0</v>
      </c>
      <c r="J1894" s="17" t="s">
        <v>1</v>
      </c>
      <c r="K1894" s="330"/>
      <c r="L1894" s="330"/>
      <c r="M1894" s="330"/>
      <c r="N1894" s="330"/>
      <c r="O1894" s="330"/>
      <c r="P1894" s="330"/>
      <c r="Q1894" s="330"/>
      <c r="R1894" s="330"/>
      <c r="S1894" s="330"/>
      <c r="T1894" s="330"/>
      <c r="U1894" s="330"/>
      <c r="V1894" s="330"/>
      <c r="W1894" s="330"/>
      <c r="X1894" s="330"/>
      <c r="Y1894" s="330"/>
      <c r="Z1894" s="330"/>
    </row>
    <row r="1895" ht="15.75" customHeight="1">
      <c r="A1895" s="44"/>
      <c r="B1895" s="45"/>
      <c r="C1895" s="44"/>
      <c r="D1895" s="322"/>
      <c r="E1895" s="245"/>
      <c r="F1895" s="46"/>
      <c r="G1895" s="47"/>
      <c r="H1895" s="309"/>
      <c r="I1895" s="330"/>
      <c r="J1895" s="338"/>
      <c r="K1895" s="330"/>
      <c r="L1895" s="330"/>
      <c r="M1895" s="330"/>
      <c r="N1895" s="330"/>
      <c r="O1895" s="330"/>
      <c r="P1895" s="330"/>
      <c r="Q1895" s="330"/>
      <c r="R1895" s="330"/>
      <c r="S1895" s="330"/>
      <c r="T1895" s="330"/>
      <c r="U1895" s="330"/>
      <c r="V1895" s="330"/>
      <c r="W1895" s="330"/>
      <c r="X1895" s="330"/>
      <c r="Y1895" s="330"/>
      <c r="Z1895" s="330"/>
    </row>
    <row r="1896" ht="33.75" customHeight="1">
      <c r="A1896" s="11" t="s">
        <v>1314</v>
      </c>
      <c r="B1896" s="22" t="s">
        <v>1011</v>
      </c>
      <c r="C1896" s="11" t="s">
        <v>2322</v>
      </c>
      <c r="D1896" s="11" t="s">
        <v>2323</v>
      </c>
      <c r="E1896" s="64">
        <v>46091.0</v>
      </c>
      <c r="F1896" s="14" t="s">
        <v>1191</v>
      </c>
      <c r="G1896" s="178">
        <v>3000.0</v>
      </c>
      <c r="H1896" s="16">
        <v>2475.0</v>
      </c>
      <c r="I1896" s="17">
        <f t="shared" ref="I1896:I1951" si="61">G1896-H1896</f>
        <v>525</v>
      </c>
      <c r="J1896" s="17" t="s">
        <v>1</v>
      </c>
      <c r="K1896" s="252"/>
      <c r="L1896" s="252"/>
      <c r="M1896" s="252"/>
      <c r="N1896" s="252"/>
      <c r="O1896" s="252"/>
      <c r="P1896" s="252"/>
      <c r="Q1896" s="252"/>
      <c r="R1896" s="252"/>
      <c r="S1896" s="252"/>
      <c r="T1896" s="252"/>
      <c r="U1896" s="252"/>
      <c r="V1896" s="252"/>
      <c r="W1896" s="252"/>
      <c r="X1896" s="252"/>
      <c r="Y1896" s="252"/>
      <c r="Z1896" s="252"/>
    </row>
    <row r="1897" ht="33.75" customHeight="1">
      <c r="A1897" s="39" t="s">
        <v>2368</v>
      </c>
      <c r="B1897" s="39" t="s">
        <v>144</v>
      </c>
      <c r="C1897" s="39" t="s">
        <v>2495</v>
      </c>
      <c r="D1897" s="39">
        <v>1.92009271220504E15</v>
      </c>
      <c r="E1897" s="64">
        <v>46091.0</v>
      </c>
      <c r="F1897" s="39" t="s">
        <v>1141</v>
      </c>
      <c r="G1897" s="39">
        <v>10478.0</v>
      </c>
      <c r="H1897" s="39">
        <v>8385.0</v>
      </c>
      <c r="I1897" s="17">
        <f t="shared" si="61"/>
        <v>2093</v>
      </c>
      <c r="J1897" s="39" t="s">
        <v>1</v>
      </c>
      <c r="K1897" s="223"/>
      <c r="L1897" s="223"/>
      <c r="M1897" s="223"/>
      <c r="N1897" s="223"/>
      <c r="O1897" s="223"/>
      <c r="P1897" s="223"/>
      <c r="Q1897" s="223"/>
      <c r="R1897" s="223"/>
      <c r="S1897" s="223"/>
      <c r="T1897" s="223"/>
      <c r="U1897" s="223"/>
      <c r="V1897" s="223"/>
      <c r="W1897" s="223"/>
      <c r="X1897" s="223"/>
      <c r="Y1897" s="223"/>
      <c r="Z1897" s="223"/>
    </row>
    <row r="1898" ht="33.75" customHeight="1">
      <c r="A1898" s="39" t="s">
        <v>2633</v>
      </c>
      <c r="B1898" s="39" t="s">
        <v>49</v>
      </c>
      <c r="C1898" s="39" t="s">
        <v>2634</v>
      </c>
      <c r="D1898" s="39" t="s">
        <v>2635</v>
      </c>
      <c r="E1898" s="64">
        <v>46091.0</v>
      </c>
      <c r="F1898" s="39" t="s">
        <v>1141</v>
      </c>
      <c r="G1898" s="39">
        <v>1314.0</v>
      </c>
      <c r="H1898" s="39">
        <v>1125.0</v>
      </c>
      <c r="I1898" s="17">
        <f t="shared" si="61"/>
        <v>189</v>
      </c>
      <c r="J1898" s="39" t="s">
        <v>1</v>
      </c>
      <c r="K1898" s="39"/>
      <c r="L1898" s="254"/>
      <c r="M1898" s="339"/>
      <c r="N1898" s="339"/>
      <c r="O1898" s="339"/>
      <c r="P1898" s="339"/>
      <c r="Q1898" s="339"/>
      <c r="R1898" s="339"/>
      <c r="S1898" s="339"/>
      <c r="T1898" s="92"/>
      <c r="U1898" s="92"/>
      <c r="V1898" s="92"/>
      <c r="W1898" s="92"/>
      <c r="X1898" s="92"/>
      <c r="Y1898" s="92"/>
      <c r="Z1898" s="92"/>
    </row>
    <row r="1899" ht="33.75" customHeight="1">
      <c r="A1899" s="11" t="s">
        <v>1381</v>
      </c>
      <c r="B1899" s="22" t="s">
        <v>49</v>
      </c>
      <c r="C1899" s="11" t="s">
        <v>2636</v>
      </c>
      <c r="D1899" s="11">
        <v>9.62764609773528E14</v>
      </c>
      <c r="E1899" s="64">
        <v>46091.0</v>
      </c>
      <c r="F1899" s="14" t="s">
        <v>1191</v>
      </c>
      <c r="G1899" s="178">
        <v>2500.0</v>
      </c>
      <c r="H1899" s="16">
        <v>2121.0</v>
      </c>
      <c r="I1899" s="17">
        <f t="shared" si="61"/>
        <v>379</v>
      </c>
      <c r="J1899" s="17" t="s">
        <v>1</v>
      </c>
      <c r="K1899" s="252"/>
      <c r="L1899" s="252"/>
      <c r="M1899" s="252"/>
      <c r="N1899" s="252"/>
      <c r="O1899" s="252"/>
      <c r="P1899" s="252"/>
      <c r="Q1899" s="252"/>
      <c r="R1899" s="252"/>
      <c r="S1899" s="252"/>
      <c r="T1899" s="252"/>
      <c r="U1899" s="252"/>
      <c r="V1899" s="252"/>
      <c r="W1899" s="252"/>
      <c r="X1899" s="252"/>
      <c r="Y1899" s="252"/>
      <c r="Z1899" s="252"/>
    </row>
    <row r="1900" ht="33.75" customHeight="1">
      <c r="A1900" s="11" t="s">
        <v>2227</v>
      </c>
      <c r="B1900" s="22" t="s">
        <v>49</v>
      </c>
      <c r="C1900" s="11" t="s">
        <v>2637</v>
      </c>
      <c r="D1900" s="11" t="s">
        <v>2638</v>
      </c>
      <c r="E1900" s="64">
        <v>46091.0</v>
      </c>
      <c r="F1900" s="14" t="s">
        <v>1133</v>
      </c>
      <c r="G1900" s="178">
        <v>5000.0</v>
      </c>
      <c r="H1900" s="16">
        <v>2838.0</v>
      </c>
      <c r="I1900" s="17">
        <f t="shared" si="61"/>
        <v>2162</v>
      </c>
      <c r="J1900" s="17" t="s">
        <v>1</v>
      </c>
      <c r="K1900" s="330"/>
      <c r="L1900" s="330"/>
      <c r="M1900" s="330"/>
      <c r="N1900" s="330"/>
      <c r="O1900" s="330"/>
      <c r="P1900" s="330"/>
      <c r="Q1900" s="330"/>
      <c r="R1900" s="330"/>
      <c r="S1900" s="330"/>
      <c r="T1900" s="330"/>
      <c r="U1900" s="330"/>
      <c r="V1900" s="330"/>
      <c r="W1900" s="330"/>
      <c r="X1900" s="330"/>
      <c r="Y1900" s="330"/>
      <c r="Z1900" s="330"/>
    </row>
    <row r="1901" ht="33.75" customHeight="1">
      <c r="A1901" s="11" t="s">
        <v>2639</v>
      </c>
      <c r="B1901" s="22" t="s">
        <v>49</v>
      </c>
      <c r="C1901" s="11" t="s">
        <v>2637</v>
      </c>
      <c r="D1901" s="11" t="s">
        <v>2638</v>
      </c>
      <c r="E1901" s="64">
        <v>46091.0</v>
      </c>
      <c r="F1901" s="14" t="s">
        <v>1133</v>
      </c>
      <c r="G1901" s="178">
        <v>8000.0</v>
      </c>
      <c r="H1901" s="28">
        <f>3022+2708</f>
        <v>5730</v>
      </c>
      <c r="I1901" s="17">
        <f t="shared" si="61"/>
        <v>2270</v>
      </c>
      <c r="J1901" s="17" t="s">
        <v>1</v>
      </c>
      <c r="K1901" s="330"/>
      <c r="L1901" s="330"/>
      <c r="M1901" s="330"/>
      <c r="N1901" s="330"/>
      <c r="O1901" s="330"/>
      <c r="P1901" s="330"/>
      <c r="Q1901" s="330"/>
      <c r="R1901" s="330"/>
      <c r="S1901" s="330"/>
      <c r="T1901" s="330"/>
      <c r="U1901" s="330"/>
      <c r="V1901" s="330"/>
      <c r="W1901" s="330"/>
      <c r="X1901" s="330"/>
      <c r="Y1901" s="330"/>
      <c r="Z1901" s="330"/>
    </row>
    <row r="1902" ht="33.75" customHeight="1">
      <c r="A1902" s="11" t="s">
        <v>2640</v>
      </c>
      <c r="B1902" s="22" t="s">
        <v>49</v>
      </c>
      <c r="C1902" s="11" t="s">
        <v>2637</v>
      </c>
      <c r="D1902" s="11" t="s">
        <v>2638</v>
      </c>
      <c r="E1902" s="64">
        <v>46091.0</v>
      </c>
      <c r="F1902" s="14" t="s">
        <v>1133</v>
      </c>
      <c r="G1902" s="178">
        <v>8000.0</v>
      </c>
      <c r="H1902" s="28">
        <f>3239+3541</f>
        <v>6780</v>
      </c>
      <c r="I1902" s="17">
        <f t="shared" si="61"/>
        <v>1220</v>
      </c>
      <c r="J1902" s="17" t="s">
        <v>1</v>
      </c>
      <c r="K1902" s="330"/>
      <c r="L1902" s="330"/>
      <c r="M1902" s="330"/>
      <c r="N1902" s="330"/>
      <c r="O1902" s="330"/>
      <c r="P1902" s="330"/>
      <c r="Q1902" s="330"/>
      <c r="R1902" s="330"/>
      <c r="S1902" s="330"/>
      <c r="T1902" s="330"/>
      <c r="U1902" s="330"/>
      <c r="V1902" s="330"/>
      <c r="W1902" s="330"/>
      <c r="X1902" s="330"/>
      <c r="Y1902" s="330"/>
      <c r="Z1902" s="330"/>
    </row>
    <row r="1903" ht="33.75" customHeight="1">
      <c r="A1903" s="11" t="s">
        <v>2641</v>
      </c>
      <c r="B1903" s="22" t="s">
        <v>49</v>
      </c>
      <c r="C1903" s="11" t="s">
        <v>2637</v>
      </c>
      <c r="D1903" s="11" t="s">
        <v>2638</v>
      </c>
      <c r="E1903" s="64">
        <v>46091.0</v>
      </c>
      <c r="F1903" s="14" t="s">
        <v>1133</v>
      </c>
      <c r="G1903" s="178">
        <v>8000.0</v>
      </c>
      <c r="H1903" s="28">
        <f>3578+535</f>
        <v>4113</v>
      </c>
      <c r="I1903" s="17">
        <f t="shared" si="61"/>
        <v>3887</v>
      </c>
      <c r="J1903" s="17" t="s">
        <v>1</v>
      </c>
      <c r="K1903" s="330"/>
      <c r="L1903" s="330"/>
      <c r="M1903" s="330"/>
      <c r="N1903" s="330"/>
      <c r="O1903" s="330"/>
      <c r="P1903" s="330"/>
      <c r="Q1903" s="330"/>
      <c r="R1903" s="330"/>
      <c r="S1903" s="330"/>
      <c r="T1903" s="330"/>
      <c r="U1903" s="330"/>
      <c r="V1903" s="330"/>
      <c r="W1903" s="330"/>
      <c r="X1903" s="330"/>
      <c r="Y1903" s="330"/>
      <c r="Z1903" s="330"/>
    </row>
    <row r="1904" ht="33.75" customHeight="1">
      <c r="A1904" s="11" t="s">
        <v>2642</v>
      </c>
      <c r="B1904" s="22" t="s">
        <v>49</v>
      </c>
      <c r="C1904" s="11" t="s">
        <v>2637</v>
      </c>
      <c r="D1904" s="11" t="s">
        <v>2638</v>
      </c>
      <c r="E1904" s="64">
        <v>46091.0</v>
      </c>
      <c r="F1904" s="14" t="s">
        <v>1133</v>
      </c>
      <c r="G1904" s="178">
        <v>12000.0</v>
      </c>
      <c r="H1904" s="16">
        <v>4450.0</v>
      </c>
      <c r="I1904" s="17">
        <f t="shared" si="61"/>
        <v>7550</v>
      </c>
      <c r="J1904" s="17" t="s">
        <v>1</v>
      </c>
      <c r="K1904" s="330"/>
      <c r="L1904" s="330"/>
      <c r="M1904" s="330"/>
      <c r="N1904" s="330"/>
      <c r="O1904" s="330"/>
      <c r="P1904" s="330"/>
      <c r="Q1904" s="330"/>
      <c r="R1904" s="330"/>
      <c r="S1904" s="330"/>
      <c r="T1904" s="330"/>
      <c r="U1904" s="330"/>
      <c r="V1904" s="330"/>
      <c r="W1904" s="330"/>
      <c r="X1904" s="330"/>
      <c r="Y1904" s="330"/>
      <c r="Z1904" s="330"/>
    </row>
    <row r="1905" ht="33.75" customHeight="1">
      <c r="A1905" s="11" t="s">
        <v>2409</v>
      </c>
      <c r="B1905" s="22" t="s">
        <v>49</v>
      </c>
      <c r="C1905" s="11" t="s">
        <v>2643</v>
      </c>
      <c r="D1905" s="11" t="s">
        <v>2638</v>
      </c>
      <c r="E1905" s="64">
        <v>46091.0</v>
      </c>
      <c r="F1905" s="14" t="s">
        <v>1133</v>
      </c>
      <c r="G1905" s="178">
        <v>8000.0</v>
      </c>
      <c r="H1905" s="16">
        <v>4450.0</v>
      </c>
      <c r="I1905" s="17">
        <f t="shared" si="61"/>
        <v>3550</v>
      </c>
      <c r="J1905" s="17" t="s">
        <v>1</v>
      </c>
      <c r="K1905" s="330"/>
      <c r="L1905" s="330"/>
      <c r="M1905" s="330"/>
      <c r="N1905" s="330"/>
      <c r="O1905" s="330"/>
      <c r="P1905" s="330"/>
      <c r="Q1905" s="330"/>
      <c r="R1905" s="330"/>
      <c r="S1905" s="330"/>
      <c r="T1905" s="330"/>
      <c r="U1905" s="330"/>
      <c r="V1905" s="330"/>
      <c r="W1905" s="330"/>
      <c r="X1905" s="330"/>
      <c r="Y1905" s="330"/>
      <c r="Z1905" s="330"/>
    </row>
    <row r="1906" ht="33.75" customHeight="1">
      <c r="A1906" s="11" t="s">
        <v>2644</v>
      </c>
      <c r="B1906" s="22" t="s">
        <v>49</v>
      </c>
      <c r="C1906" s="11" t="s">
        <v>2643</v>
      </c>
      <c r="D1906" s="11" t="s">
        <v>2638</v>
      </c>
      <c r="E1906" s="64">
        <v>46091.0</v>
      </c>
      <c r="F1906" s="14" t="s">
        <v>1133</v>
      </c>
      <c r="G1906" s="178">
        <v>12000.0</v>
      </c>
      <c r="H1906" s="28">
        <f>2104+2101
</f>
        <v>4205</v>
      </c>
      <c r="I1906" s="17">
        <f t="shared" si="61"/>
        <v>7795</v>
      </c>
      <c r="J1906" s="17" t="s">
        <v>1</v>
      </c>
      <c r="K1906" s="330"/>
      <c r="L1906" s="330"/>
      <c r="M1906" s="330"/>
      <c r="N1906" s="330"/>
      <c r="O1906" s="330"/>
      <c r="P1906" s="330"/>
      <c r="Q1906" s="330"/>
      <c r="R1906" s="330"/>
      <c r="S1906" s="330"/>
      <c r="T1906" s="330"/>
      <c r="U1906" s="330"/>
      <c r="V1906" s="330"/>
      <c r="W1906" s="330"/>
      <c r="X1906" s="330"/>
      <c r="Y1906" s="330"/>
      <c r="Z1906" s="330"/>
    </row>
    <row r="1907" ht="33.75" customHeight="1">
      <c r="A1907" s="11" t="s">
        <v>2645</v>
      </c>
      <c r="B1907" s="22" t="s">
        <v>49</v>
      </c>
      <c r="C1907" s="11" t="s">
        <v>2643</v>
      </c>
      <c r="D1907" s="11" t="s">
        <v>2638</v>
      </c>
      <c r="E1907" s="64">
        <v>46091.0</v>
      </c>
      <c r="F1907" s="14" t="s">
        <v>1133</v>
      </c>
      <c r="G1907" s="178">
        <v>8000.0</v>
      </c>
      <c r="H1907" s="16">
        <v>4711.0</v>
      </c>
      <c r="I1907" s="17">
        <f t="shared" si="61"/>
        <v>3289</v>
      </c>
      <c r="J1907" s="17" t="s">
        <v>1</v>
      </c>
      <c r="K1907" s="330"/>
      <c r="L1907" s="330"/>
      <c r="M1907" s="330"/>
      <c r="N1907" s="330"/>
      <c r="O1907" s="330"/>
      <c r="P1907" s="330"/>
      <c r="Q1907" s="330"/>
      <c r="R1907" s="330"/>
      <c r="S1907" s="330"/>
      <c r="T1907" s="330"/>
      <c r="U1907" s="330"/>
      <c r="V1907" s="330"/>
      <c r="W1907" s="330"/>
      <c r="X1907" s="330"/>
      <c r="Y1907" s="330"/>
      <c r="Z1907" s="330"/>
    </row>
    <row r="1908" ht="33.75" customHeight="1">
      <c r="A1908" s="11" t="s">
        <v>2646</v>
      </c>
      <c r="B1908" s="22" t="s">
        <v>49</v>
      </c>
      <c r="C1908" s="11" t="s">
        <v>2643</v>
      </c>
      <c r="D1908" s="11" t="s">
        <v>2638</v>
      </c>
      <c r="E1908" s="64">
        <v>46091.0</v>
      </c>
      <c r="F1908" s="14" t="s">
        <v>1133</v>
      </c>
      <c r="G1908" s="178">
        <v>5000.0</v>
      </c>
      <c r="H1908" s="16">
        <v>2450.0</v>
      </c>
      <c r="I1908" s="17">
        <f t="shared" si="61"/>
        <v>2550</v>
      </c>
      <c r="J1908" s="17" t="s">
        <v>1</v>
      </c>
      <c r="K1908" s="330"/>
      <c r="L1908" s="330"/>
      <c r="M1908" s="330"/>
      <c r="N1908" s="330"/>
      <c r="O1908" s="330"/>
      <c r="P1908" s="330"/>
      <c r="Q1908" s="330"/>
      <c r="R1908" s="330"/>
      <c r="S1908" s="330"/>
      <c r="T1908" s="330"/>
      <c r="U1908" s="330"/>
      <c r="V1908" s="330"/>
      <c r="W1908" s="330"/>
      <c r="X1908" s="330"/>
      <c r="Y1908" s="330"/>
      <c r="Z1908" s="330"/>
    </row>
    <row r="1909" ht="33.75" customHeight="1">
      <c r="A1909" s="11" t="s">
        <v>2647</v>
      </c>
      <c r="B1909" s="22" t="s">
        <v>49</v>
      </c>
      <c r="C1909" s="11" t="s">
        <v>2643</v>
      </c>
      <c r="D1909" s="11" t="s">
        <v>2638</v>
      </c>
      <c r="E1909" s="64">
        <v>46091.0</v>
      </c>
      <c r="F1909" s="14" t="s">
        <v>1133</v>
      </c>
      <c r="G1909" s="178">
        <v>5000.0</v>
      </c>
      <c r="H1909" s="16">
        <v>2473.0</v>
      </c>
      <c r="I1909" s="17">
        <f t="shared" si="61"/>
        <v>2527</v>
      </c>
      <c r="J1909" s="17" t="s">
        <v>1</v>
      </c>
      <c r="K1909" s="330"/>
      <c r="L1909" s="330"/>
      <c r="M1909" s="330"/>
      <c r="N1909" s="330"/>
      <c r="O1909" s="330"/>
      <c r="P1909" s="330"/>
      <c r="Q1909" s="330"/>
      <c r="R1909" s="330"/>
      <c r="S1909" s="330"/>
      <c r="T1909" s="330"/>
      <c r="U1909" s="330"/>
      <c r="V1909" s="330"/>
      <c r="W1909" s="330"/>
      <c r="X1909" s="330"/>
      <c r="Y1909" s="330"/>
      <c r="Z1909" s="330"/>
    </row>
    <row r="1910" ht="33.75" customHeight="1">
      <c r="A1910" s="11" t="s">
        <v>2648</v>
      </c>
      <c r="B1910" s="22" t="s">
        <v>49</v>
      </c>
      <c r="C1910" s="11" t="s">
        <v>2643</v>
      </c>
      <c r="D1910" s="11" t="s">
        <v>2638</v>
      </c>
      <c r="E1910" s="64">
        <v>46091.0</v>
      </c>
      <c r="F1910" s="14" t="s">
        <v>1133</v>
      </c>
      <c r="G1910" s="178">
        <v>5000.0</v>
      </c>
      <c r="H1910" s="16">
        <v>2620.0</v>
      </c>
      <c r="I1910" s="17">
        <f t="shared" si="61"/>
        <v>2380</v>
      </c>
      <c r="J1910" s="17" t="s">
        <v>1</v>
      </c>
      <c r="K1910" s="330"/>
      <c r="L1910" s="330"/>
      <c r="M1910" s="330"/>
      <c r="N1910" s="330"/>
      <c r="O1910" s="330"/>
      <c r="P1910" s="330"/>
      <c r="Q1910" s="330"/>
      <c r="R1910" s="330"/>
      <c r="S1910" s="330"/>
      <c r="T1910" s="330"/>
      <c r="U1910" s="330"/>
      <c r="V1910" s="330"/>
      <c r="W1910" s="330"/>
      <c r="X1910" s="330"/>
      <c r="Y1910" s="330"/>
      <c r="Z1910" s="330"/>
    </row>
    <row r="1911" ht="33.75" customHeight="1">
      <c r="A1911" s="11" t="s">
        <v>2649</v>
      </c>
      <c r="B1911" s="22" t="s">
        <v>49</v>
      </c>
      <c r="C1911" s="11" t="s">
        <v>2643</v>
      </c>
      <c r="D1911" s="11" t="s">
        <v>2638</v>
      </c>
      <c r="E1911" s="64">
        <v>46091.0</v>
      </c>
      <c r="F1911" s="14" t="s">
        <v>1133</v>
      </c>
      <c r="G1911" s="178">
        <v>8000.0</v>
      </c>
      <c r="H1911" s="16">
        <v>3816.0</v>
      </c>
      <c r="I1911" s="17">
        <f t="shared" si="61"/>
        <v>4184</v>
      </c>
      <c r="J1911" s="17" t="s">
        <v>1</v>
      </c>
      <c r="K1911" s="330"/>
      <c r="L1911" s="330"/>
      <c r="M1911" s="330"/>
      <c r="N1911" s="330"/>
      <c r="O1911" s="330"/>
      <c r="P1911" s="330"/>
      <c r="Q1911" s="330"/>
      <c r="R1911" s="330"/>
      <c r="S1911" s="330"/>
      <c r="T1911" s="330"/>
      <c r="U1911" s="330"/>
      <c r="V1911" s="330"/>
      <c r="W1911" s="330"/>
      <c r="X1911" s="330"/>
      <c r="Y1911" s="330"/>
      <c r="Z1911" s="330"/>
    </row>
    <row r="1912" ht="33.75" customHeight="1">
      <c r="A1912" s="11" t="s">
        <v>2650</v>
      </c>
      <c r="B1912" s="22" t="s">
        <v>49</v>
      </c>
      <c r="C1912" s="11" t="s">
        <v>2651</v>
      </c>
      <c r="D1912" s="11" t="s">
        <v>2652</v>
      </c>
      <c r="E1912" s="64">
        <v>46091.0</v>
      </c>
      <c r="F1912" s="14" t="s">
        <v>1133</v>
      </c>
      <c r="G1912" s="178">
        <v>5000.0</v>
      </c>
      <c r="H1912" s="16">
        <v>3378.0</v>
      </c>
      <c r="I1912" s="17">
        <f t="shared" si="61"/>
        <v>1622</v>
      </c>
      <c r="J1912" s="17" t="s">
        <v>1</v>
      </c>
      <c r="K1912" s="330"/>
      <c r="L1912" s="330"/>
      <c r="M1912" s="330"/>
      <c r="N1912" s="330"/>
      <c r="O1912" s="330"/>
      <c r="P1912" s="330"/>
      <c r="Q1912" s="330"/>
      <c r="R1912" s="330"/>
      <c r="S1912" s="330"/>
      <c r="T1912" s="330"/>
      <c r="U1912" s="330"/>
      <c r="V1912" s="330"/>
      <c r="W1912" s="330"/>
      <c r="X1912" s="330"/>
      <c r="Y1912" s="330"/>
      <c r="Z1912" s="330"/>
    </row>
    <row r="1913" ht="33.75" customHeight="1">
      <c r="A1913" s="11" t="s">
        <v>2653</v>
      </c>
      <c r="B1913" s="22" t="s">
        <v>49</v>
      </c>
      <c r="C1913" s="11" t="s">
        <v>2651</v>
      </c>
      <c r="D1913" s="11" t="s">
        <v>2652</v>
      </c>
      <c r="E1913" s="64">
        <v>46091.0</v>
      </c>
      <c r="F1913" s="14" t="s">
        <v>1133</v>
      </c>
      <c r="G1913" s="178">
        <v>12000.0</v>
      </c>
      <c r="H1913" s="16">
        <v>5168.0</v>
      </c>
      <c r="I1913" s="17">
        <f t="shared" si="61"/>
        <v>6832</v>
      </c>
      <c r="J1913" s="17" t="s">
        <v>1</v>
      </c>
      <c r="K1913" s="330"/>
      <c r="L1913" s="330"/>
      <c r="M1913" s="330"/>
      <c r="N1913" s="330"/>
      <c r="O1913" s="330"/>
      <c r="P1913" s="330"/>
      <c r="Q1913" s="330"/>
      <c r="R1913" s="330"/>
      <c r="S1913" s="330"/>
      <c r="T1913" s="330"/>
      <c r="U1913" s="330"/>
      <c r="V1913" s="330"/>
      <c r="W1913" s="330"/>
      <c r="X1913" s="330"/>
      <c r="Y1913" s="330"/>
      <c r="Z1913" s="330"/>
    </row>
    <row r="1914" ht="33.75" customHeight="1">
      <c r="A1914" s="11" t="s">
        <v>2654</v>
      </c>
      <c r="B1914" s="22" t="s">
        <v>49</v>
      </c>
      <c r="C1914" s="11" t="s">
        <v>2651</v>
      </c>
      <c r="D1914" s="11" t="s">
        <v>2652</v>
      </c>
      <c r="E1914" s="64">
        <v>46091.0</v>
      </c>
      <c r="F1914" s="14" t="s">
        <v>1133</v>
      </c>
      <c r="G1914" s="178">
        <v>12000.0</v>
      </c>
      <c r="H1914" s="28">
        <f>2567+2526</f>
        <v>5093</v>
      </c>
      <c r="I1914" s="17">
        <f t="shared" si="61"/>
        <v>6907</v>
      </c>
      <c r="J1914" s="17" t="s">
        <v>1</v>
      </c>
      <c r="K1914" s="330"/>
      <c r="L1914" s="330"/>
      <c r="M1914" s="330"/>
      <c r="N1914" s="330"/>
      <c r="O1914" s="330"/>
      <c r="P1914" s="330"/>
      <c r="Q1914" s="330"/>
      <c r="R1914" s="330"/>
      <c r="S1914" s="330"/>
      <c r="T1914" s="330"/>
      <c r="U1914" s="330"/>
      <c r="V1914" s="330"/>
      <c r="W1914" s="330"/>
      <c r="X1914" s="330"/>
      <c r="Y1914" s="330"/>
      <c r="Z1914" s="330"/>
    </row>
    <row r="1915" ht="33.75" customHeight="1">
      <c r="A1915" s="11" t="s">
        <v>2655</v>
      </c>
      <c r="B1915" s="22" t="s">
        <v>49</v>
      </c>
      <c r="C1915" s="11" t="s">
        <v>2651</v>
      </c>
      <c r="D1915" s="11" t="s">
        <v>2652</v>
      </c>
      <c r="E1915" s="64">
        <v>46091.0</v>
      </c>
      <c r="F1915" s="14" t="s">
        <v>1133</v>
      </c>
      <c r="G1915" s="178">
        <v>8000.0</v>
      </c>
      <c r="H1915" s="16">
        <v>3647.0</v>
      </c>
      <c r="I1915" s="17">
        <f t="shared" si="61"/>
        <v>4353</v>
      </c>
      <c r="J1915" s="17" t="s">
        <v>1</v>
      </c>
      <c r="K1915" s="330"/>
      <c r="L1915" s="330"/>
      <c r="M1915" s="330"/>
      <c r="N1915" s="330"/>
      <c r="O1915" s="330"/>
      <c r="P1915" s="330"/>
      <c r="Q1915" s="330"/>
      <c r="R1915" s="330"/>
      <c r="S1915" s="330"/>
      <c r="T1915" s="330"/>
      <c r="U1915" s="330"/>
      <c r="V1915" s="330"/>
      <c r="W1915" s="330"/>
      <c r="X1915" s="330"/>
      <c r="Y1915" s="330"/>
      <c r="Z1915" s="330"/>
    </row>
    <row r="1916" ht="33.75" customHeight="1">
      <c r="A1916" s="11" t="s">
        <v>2656</v>
      </c>
      <c r="B1916" s="22" t="s">
        <v>49</v>
      </c>
      <c r="C1916" s="11" t="s">
        <v>2651</v>
      </c>
      <c r="D1916" s="11" t="s">
        <v>2652</v>
      </c>
      <c r="E1916" s="64">
        <v>46091.0</v>
      </c>
      <c r="F1916" s="14" t="s">
        <v>1133</v>
      </c>
      <c r="G1916" s="178">
        <v>5000.0</v>
      </c>
      <c r="H1916" s="16">
        <v>2770.0</v>
      </c>
      <c r="I1916" s="17">
        <f t="shared" si="61"/>
        <v>2230</v>
      </c>
      <c r="J1916" s="17" t="s">
        <v>1</v>
      </c>
      <c r="K1916" s="330"/>
      <c r="L1916" s="330"/>
      <c r="M1916" s="330"/>
      <c r="N1916" s="330"/>
      <c r="O1916" s="330"/>
      <c r="P1916" s="330"/>
      <c r="Q1916" s="330"/>
      <c r="R1916" s="330"/>
      <c r="S1916" s="330"/>
      <c r="T1916" s="330"/>
      <c r="U1916" s="330"/>
      <c r="V1916" s="330"/>
      <c r="W1916" s="330"/>
      <c r="X1916" s="330"/>
      <c r="Y1916" s="330"/>
      <c r="Z1916" s="330"/>
    </row>
    <row r="1917" ht="33.75" customHeight="1">
      <c r="A1917" s="11" t="s">
        <v>2657</v>
      </c>
      <c r="B1917" s="22" t="s">
        <v>49</v>
      </c>
      <c r="C1917" s="11" t="s">
        <v>2651</v>
      </c>
      <c r="D1917" s="11" t="s">
        <v>2652</v>
      </c>
      <c r="E1917" s="64">
        <v>46091.0</v>
      </c>
      <c r="F1917" s="14" t="s">
        <v>1133</v>
      </c>
      <c r="G1917" s="178">
        <v>5000.0</v>
      </c>
      <c r="H1917" s="16">
        <v>2401.0</v>
      </c>
      <c r="I1917" s="17">
        <f t="shared" si="61"/>
        <v>2599</v>
      </c>
      <c r="J1917" s="17" t="s">
        <v>1</v>
      </c>
      <c r="K1917" s="330"/>
      <c r="L1917" s="330"/>
      <c r="M1917" s="330"/>
      <c r="N1917" s="330"/>
      <c r="O1917" s="330"/>
      <c r="P1917" s="330"/>
      <c r="Q1917" s="330"/>
      <c r="R1917" s="330"/>
      <c r="S1917" s="330"/>
      <c r="T1917" s="330"/>
      <c r="U1917" s="330"/>
      <c r="V1917" s="330"/>
      <c r="W1917" s="330"/>
      <c r="X1917" s="330"/>
      <c r="Y1917" s="330"/>
      <c r="Z1917" s="330"/>
    </row>
    <row r="1918" ht="33.75" customHeight="1">
      <c r="A1918" s="11" t="s">
        <v>2658</v>
      </c>
      <c r="B1918" s="22" t="s">
        <v>49</v>
      </c>
      <c r="C1918" s="11" t="s">
        <v>2651</v>
      </c>
      <c r="D1918" s="11" t="s">
        <v>2652</v>
      </c>
      <c r="E1918" s="64">
        <v>46091.0</v>
      </c>
      <c r="F1918" s="14" t="s">
        <v>1133</v>
      </c>
      <c r="G1918" s="178">
        <v>5000.0</v>
      </c>
      <c r="H1918" s="16">
        <v>3880.0</v>
      </c>
      <c r="I1918" s="17">
        <f t="shared" si="61"/>
        <v>1120</v>
      </c>
      <c r="J1918" s="17" t="s">
        <v>1</v>
      </c>
      <c r="K1918" s="330"/>
      <c r="L1918" s="330"/>
      <c r="M1918" s="330"/>
      <c r="N1918" s="330"/>
      <c r="O1918" s="330"/>
      <c r="P1918" s="330"/>
      <c r="Q1918" s="330"/>
      <c r="R1918" s="330"/>
      <c r="S1918" s="330"/>
      <c r="T1918" s="330"/>
      <c r="U1918" s="330"/>
      <c r="V1918" s="330"/>
      <c r="W1918" s="330"/>
      <c r="X1918" s="330"/>
      <c r="Y1918" s="330"/>
      <c r="Z1918" s="330"/>
    </row>
    <row r="1919" ht="33.75" customHeight="1">
      <c r="A1919" s="11" t="s">
        <v>2659</v>
      </c>
      <c r="B1919" s="22" t="s">
        <v>49</v>
      </c>
      <c r="C1919" s="11" t="s">
        <v>2660</v>
      </c>
      <c r="D1919" s="11" t="s">
        <v>2652</v>
      </c>
      <c r="E1919" s="64">
        <v>46091.0</v>
      </c>
      <c r="F1919" s="14" t="s">
        <v>1133</v>
      </c>
      <c r="G1919" s="178">
        <v>12000.0</v>
      </c>
      <c r="H1919" s="16">
        <v>4083.0</v>
      </c>
      <c r="I1919" s="17">
        <f t="shared" si="61"/>
        <v>7917</v>
      </c>
      <c r="J1919" s="17" t="s">
        <v>1</v>
      </c>
      <c r="K1919" s="330"/>
      <c r="L1919" s="330"/>
      <c r="M1919" s="330"/>
      <c r="N1919" s="330"/>
      <c r="O1919" s="330"/>
      <c r="P1919" s="330"/>
      <c r="Q1919" s="330"/>
      <c r="R1919" s="330"/>
      <c r="S1919" s="330"/>
      <c r="T1919" s="330"/>
      <c r="U1919" s="330"/>
      <c r="V1919" s="330"/>
      <c r="W1919" s="330"/>
      <c r="X1919" s="330"/>
      <c r="Y1919" s="330"/>
      <c r="Z1919" s="330"/>
    </row>
    <row r="1920" ht="33.75" customHeight="1">
      <c r="A1920" s="11" t="s">
        <v>2661</v>
      </c>
      <c r="B1920" s="22" t="s">
        <v>49</v>
      </c>
      <c r="C1920" s="11" t="s">
        <v>2660</v>
      </c>
      <c r="D1920" s="11" t="s">
        <v>2652</v>
      </c>
      <c r="E1920" s="64">
        <v>46091.0</v>
      </c>
      <c r="F1920" s="14" t="s">
        <v>1133</v>
      </c>
      <c r="G1920" s="178">
        <v>12000.0</v>
      </c>
      <c r="H1920" s="16">
        <v>4309.0</v>
      </c>
      <c r="I1920" s="17">
        <f t="shared" si="61"/>
        <v>7691</v>
      </c>
      <c r="J1920" s="17" t="s">
        <v>1</v>
      </c>
      <c r="K1920" s="330"/>
      <c r="L1920" s="330"/>
      <c r="M1920" s="330"/>
      <c r="N1920" s="330"/>
      <c r="O1920" s="330"/>
      <c r="P1920" s="330"/>
      <c r="Q1920" s="330"/>
      <c r="R1920" s="330"/>
      <c r="S1920" s="330"/>
      <c r="T1920" s="330"/>
      <c r="U1920" s="330"/>
      <c r="V1920" s="330"/>
      <c r="W1920" s="330"/>
      <c r="X1920" s="330"/>
      <c r="Y1920" s="330"/>
      <c r="Z1920" s="330"/>
    </row>
    <row r="1921" ht="33.75" customHeight="1">
      <c r="A1921" s="11" t="s">
        <v>2662</v>
      </c>
      <c r="B1921" s="22" t="s">
        <v>49</v>
      </c>
      <c r="C1921" s="11" t="s">
        <v>2660</v>
      </c>
      <c r="D1921" s="11" t="s">
        <v>2652</v>
      </c>
      <c r="E1921" s="64">
        <v>46091.0</v>
      </c>
      <c r="F1921" s="14" t="s">
        <v>1133</v>
      </c>
      <c r="G1921" s="178">
        <v>8000.0</v>
      </c>
      <c r="H1921" s="16">
        <v>3795.0</v>
      </c>
      <c r="I1921" s="17">
        <f t="shared" si="61"/>
        <v>4205</v>
      </c>
      <c r="J1921" s="17" t="s">
        <v>1</v>
      </c>
      <c r="K1921" s="330"/>
      <c r="L1921" s="330"/>
      <c r="M1921" s="330"/>
      <c r="N1921" s="330"/>
      <c r="O1921" s="330"/>
      <c r="P1921" s="330"/>
      <c r="Q1921" s="330"/>
      <c r="R1921" s="330"/>
      <c r="S1921" s="330"/>
      <c r="T1921" s="330"/>
      <c r="U1921" s="330"/>
      <c r="V1921" s="330"/>
      <c r="W1921" s="330"/>
      <c r="X1921" s="330"/>
      <c r="Y1921" s="330"/>
      <c r="Z1921" s="330"/>
    </row>
    <row r="1922" ht="33.75" customHeight="1">
      <c r="A1922" s="11" t="s">
        <v>2663</v>
      </c>
      <c r="B1922" s="22" t="s">
        <v>49</v>
      </c>
      <c r="C1922" s="11" t="s">
        <v>2660</v>
      </c>
      <c r="D1922" s="11" t="s">
        <v>2652</v>
      </c>
      <c r="E1922" s="64">
        <v>46091.0</v>
      </c>
      <c r="F1922" s="14" t="s">
        <v>1133</v>
      </c>
      <c r="G1922" s="178">
        <v>8000.0</v>
      </c>
      <c r="H1922" s="16">
        <v>3864.0</v>
      </c>
      <c r="I1922" s="17">
        <f t="shared" si="61"/>
        <v>4136</v>
      </c>
      <c r="J1922" s="17" t="s">
        <v>1</v>
      </c>
      <c r="K1922" s="330"/>
      <c r="L1922" s="330"/>
      <c r="M1922" s="330"/>
      <c r="N1922" s="330"/>
      <c r="O1922" s="330"/>
      <c r="P1922" s="330"/>
      <c r="Q1922" s="330"/>
      <c r="R1922" s="330"/>
      <c r="S1922" s="330"/>
      <c r="T1922" s="330"/>
      <c r="U1922" s="330"/>
      <c r="V1922" s="330"/>
      <c r="W1922" s="330"/>
      <c r="X1922" s="330"/>
      <c r="Y1922" s="330"/>
      <c r="Z1922" s="330"/>
    </row>
    <row r="1923" ht="33.75" customHeight="1">
      <c r="A1923" s="11" t="s">
        <v>2664</v>
      </c>
      <c r="B1923" s="22" t="s">
        <v>49</v>
      </c>
      <c r="C1923" s="11" t="s">
        <v>2660</v>
      </c>
      <c r="D1923" s="11" t="s">
        <v>2652</v>
      </c>
      <c r="E1923" s="64">
        <v>46091.0</v>
      </c>
      <c r="F1923" s="14" t="s">
        <v>1133</v>
      </c>
      <c r="G1923" s="178">
        <v>8000.0</v>
      </c>
      <c r="H1923" s="16">
        <v>2821.0</v>
      </c>
      <c r="I1923" s="17">
        <f t="shared" si="61"/>
        <v>5179</v>
      </c>
      <c r="J1923" s="17" t="s">
        <v>1</v>
      </c>
      <c r="K1923" s="330"/>
      <c r="L1923" s="330"/>
      <c r="M1923" s="330"/>
      <c r="N1923" s="330"/>
      <c r="O1923" s="330"/>
      <c r="P1923" s="330"/>
      <c r="Q1923" s="330"/>
      <c r="R1923" s="330"/>
      <c r="S1923" s="330"/>
      <c r="T1923" s="330"/>
      <c r="U1923" s="330"/>
      <c r="V1923" s="330"/>
      <c r="W1923" s="330"/>
      <c r="X1923" s="330"/>
      <c r="Y1923" s="330"/>
      <c r="Z1923" s="330"/>
    </row>
    <row r="1924" ht="33.75" customHeight="1">
      <c r="A1924" s="11" t="s">
        <v>2665</v>
      </c>
      <c r="B1924" s="22" t="s">
        <v>49</v>
      </c>
      <c r="C1924" s="11" t="s">
        <v>2660</v>
      </c>
      <c r="D1924" s="11" t="s">
        <v>2652</v>
      </c>
      <c r="E1924" s="64">
        <v>46091.0</v>
      </c>
      <c r="F1924" s="14" t="s">
        <v>1133</v>
      </c>
      <c r="G1924" s="178">
        <v>10000.0</v>
      </c>
      <c r="H1924" s="28">
        <f>2315+2500</f>
        <v>4815</v>
      </c>
      <c r="I1924" s="17">
        <f t="shared" si="61"/>
        <v>5185</v>
      </c>
      <c r="J1924" s="17" t="s">
        <v>1</v>
      </c>
      <c r="K1924" s="330"/>
      <c r="L1924" s="330"/>
      <c r="M1924" s="330"/>
      <c r="N1924" s="330"/>
      <c r="O1924" s="330"/>
      <c r="P1924" s="330"/>
      <c r="Q1924" s="330"/>
      <c r="R1924" s="330"/>
      <c r="S1924" s="330"/>
      <c r="T1924" s="330"/>
      <c r="U1924" s="330"/>
      <c r="V1924" s="330"/>
      <c r="W1924" s="330"/>
      <c r="X1924" s="330"/>
      <c r="Y1924" s="330"/>
      <c r="Z1924" s="330"/>
    </row>
    <row r="1925" ht="33.75" customHeight="1">
      <c r="A1925" s="11" t="s">
        <v>2666</v>
      </c>
      <c r="B1925" s="22" t="s">
        <v>49</v>
      </c>
      <c r="C1925" s="11" t="s">
        <v>2660</v>
      </c>
      <c r="D1925" s="11" t="s">
        <v>2652</v>
      </c>
      <c r="E1925" s="64">
        <v>46091.0</v>
      </c>
      <c r="F1925" s="14" t="s">
        <v>1133</v>
      </c>
      <c r="G1925" s="178">
        <v>8000.0</v>
      </c>
      <c r="H1925" s="28">
        <f>2634+3648</f>
        <v>6282</v>
      </c>
      <c r="I1925" s="17">
        <f t="shared" si="61"/>
        <v>1718</v>
      </c>
      <c r="J1925" s="17" t="s">
        <v>1</v>
      </c>
      <c r="K1925" s="330"/>
      <c r="L1925" s="330"/>
      <c r="M1925" s="330"/>
      <c r="N1925" s="330"/>
      <c r="O1925" s="330"/>
      <c r="P1925" s="330"/>
      <c r="Q1925" s="330"/>
      <c r="R1925" s="330"/>
      <c r="S1925" s="330"/>
      <c r="T1925" s="330"/>
      <c r="U1925" s="330"/>
      <c r="V1925" s="330"/>
      <c r="W1925" s="330"/>
      <c r="X1925" s="330"/>
      <c r="Y1925" s="330"/>
      <c r="Z1925" s="330"/>
    </row>
    <row r="1926" ht="33.75" customHeight="1">
      <c r="A1926" s="11" t="s">
        <v>2667</v>
      </c>
      <c r="B1926" s="22" t="s">
        <v>49</v>
      </c>
      <c r="C1926" s="11" t="s">
        <v>2668</v>
      </c>
      <c r="D1926" s="11" t="s">
        <v>2669</v>
      </c>
      <c r="E1926" s="64">
        <v>46091.0</v>
      </c>
      <c r="F1926" s="14" t="s">
        <v>1133</v>
      </c>
      <c r="G1926" s="178">
        <v>8000.0</v>
      </c>
      <c r="H1926" s="16">
        <v>4829.0</v>
      </c>
      <c r="I1926" s="17">
        <f t="shared" si="61"/>
        <v>3171</v>
      </c>
      <c r="J1926" s="17" t="s">
        <v>1</v>
      </c>
      <c r="K1926" s="330"/>
      <c r="L1926" s="330"/>
      <c r="M1926" s="330"/>
      <c r="N1926" s="330"/>
      <c r="O1926" s="330"/>
      <c r="P1926" s="330"/>
      <c r="Q1926" s="330"/>
      <c r="R1926" s="330"/>
      <c r="S1926" s="330"/>
      <c r="T1926" s="330"/>
      <c r="U1926" s="330"/>
      <c r="V1926" s="330"/>
      <c r="W1926" s="330"/>
      <c r="X1926" s="330"/>
      <c r="Y1926" s="330"/>
      <c r="Z1926" s="330"/>
    </row>
    <row r="1927" ht="33.75" customHeight="1">
      <c r="A1927" s="11" t="s">
        <v>2670</v>
      </c>
      <c r="B1927" s="22" t="s">
        <v>49</v>
      </c>
      <c r="C1927" s="11" t="s">
        <v>2668</v>
      </c>
      <c r="D1927" s="11" t="s">
        <v>2669</v>
      </c>
      <c r="E1927" s="64">
        <v>46091.0</v>
      </c>
      <c r="F1927" s="14" t="s">
        <v>1133</v>
      </c>
      <c r="G1927" s="178">
        <v>5000.0</v>
      </c>
      <c r="H1927" s="16">
        <v>3205.0</v>
      </c>
      <c r="I1927" s="17">
        <f t="shared" si="61"/>
        <v>1795</v>
      </c>
      <c r="J1927" s="17" t="s">
        <v>1</v>
      </c>
      <c r="K1927" s="330"/>
      <c r="L1927" s="330"/>
      <c r="M1927" s="330"/>
      <c r="N1927" s="330"/>
      <c r="O1927" s="330"/>
      <c r="P1927" s="330"/>
      <c r="Q1927" s="330"/>
      <c r="R1927" s="330"/>
      <c r="S1927" s="330"/>
      <c r="T1927" s="330"/>
      <c r="U1927" s="330"/>
      <c r="V1927" s="330"/>
      <c r="W1927" s="330"/>
      <c r="X1927" s="330"/>
      <c r="Y1927" s="330"/>
      <c r="Z1927" s="330"/>
    </row>
    <row r="1928" ht="33.75" customHeight="1">
      <c r="A1928" s="11" t="s">
        <v>2671</v>
      </c>
      <c r="B1928" s="22" t="s">
        <v>49</v>
      </c>
      <c r="C1928" s="11" t="s">
        <v>2668</v>
      </c>
      <c r="D1928" s="11" t="s">
        <v>2669</v>
      </c>
      <c r="E1928" s="64">
        <v>46091.0</v>
      </c>
      <c r="F1928" s="14" t="s">
        <v>1133</v>
      </c>
      <c r="G1928" s="178">
        <v>5000.0</v>
      </c>
      <c r="H1928" s="16">
        <v>4376.0</v>
      </c>
      <c r="I1928" s="17">
        <f t="shared" si="61"/>
        <v>624</v>
      </c>
      <c r="J1928" s="17" t="s">
        <v>1</v>
      </c>
      <c r="K1928" s="330"/>
      <c r="L1928" s="330"/>
      <c r="M1928" s="330"/>
      <c r="N1928" s="330"/>
      <c r="O1928" s="330"/>
      <c r="P1928" s="330"/>
      <c r="Q1928" s="330"/>
      <c r="R1928" s="330"/>
      <c r="S1928" s="330"/>
      <c r="T1928" s="330"/>
      <c r="U1928" s="330"/>
      <c r="V1928" s="330"/>
      <c r="W1928" s="330"/>
      <c r="X1928" s="330"/>
      <c r="Y1928" s="330"/>
      <c r="Z1928" s="330"/>
    </row>
    <row r="1929" ht="33.75" customHeight="1">
      <c r="A1929" s="11" t="s">
        <v>2447</v>
      </c>
      <c r="B1929" s="22" t="s">
        <v>49</v>
      </c>
      <c r="C1929" s="11" t="s">
        <v>2668</v>
      </c>
      <c r="D1929" s="11" t="s">
        <v>2669</v>
      </c>
      <c r="E1929" s="64">
        <v>46091.0</v>
      </c>
      <c r="F1929" s="14" t="s">
        <v>1133</v>
      </c>
      <c r="G1929" s="178">
        <v>5000.0</v>
      </c>
      <c r="H1929" s="16">
        <v>4688.0</v>
      </c>
      <c r="I1929" s="17">
        <f t="shared" si="61"/>
        <v>312</v>
      </c>
      <c r="J1929" s="17" t="s">
        <v>1</v>
      </c>
      <c r="K1929" s="330"/>
      <c r="L1929" s="330"/>
      <c r="M1929" s="330"/>
      <c r="N1929" s="330"/>
      <c r="O1929" s="330"/>
      <c r="P1929" s="330"/>
      <c r="Q1929" s="330"/>
      <c r="R1929" s="330"/>
      <c r="S1929" s="330"/>
      <c r="T1929" s="330"/>
      <c r="U1929" s="330"/>
      <c r="V1929" s="330"/>
      <c r="W1929" s="330"/>
      <c r="X1929" s="330"/>
      <c r="Y1929" s="330"/>
      <c r="Z1929" s="330"/>
    </row>
    <row r="1930" ht="33.75" customHeight="1">
      <c r="A1930" s="11" t="s">
        <v>2672</v>
      </c>
      <c r="B1930" s="22" t="s">
        <v>49</v>
      </c>
      <c r="C1930" s="11" t="s">
        <v>2668</v>
      </c>
      <c r="D1930" s="11" t="s">
        <v>2669</v>
      </c>
      <c r="E1930" s="64">
        <v>46091.0</v>
      </c>
      <c r="F1930" s="14" t="s">
        <v>1133</v>
      </c>
      <c r="G1930" s="178">
        <v>5000.0</v>
      </c>
      <c r="H1930" s="16">
        <v>2509.0</v>
      </c>
      <c r="I1930" s="17">
        <f t="shared" si="61"/>
        <v>2491</v>
      </c>
      <c r="J1930" s="17" t="s">
        <v>1</v>
      </c>
      <c r="K1930" s="330"/>
      <c r="L1930" s="330"/>
      <c r="M1930" s="330"/>
      <c r="N1930" s="330"/>
      <c r="O1930" s="330"/>
      <c r="P1930" s="330"/>
      <c r="Q1930" s="330"/>
      <c r="R1930" s="330"/>
      <c r="S1930" s="330"/>
      <c r="T1930" s="330"/>
      <c r="U1930" s="330"/>
      <c r="V1930" s="330"/>
      <c r="W1930" s="330"/>
      <c r="X1930" s="330"/>
      <c r="Y1930" s="330"/>
      <c r="Z1930" s="330"/>
    </row>
    <row r="1931" ht="33.75" customHeight="1">
      <c r="A1931" s="11" t="s">
        <v>2673</v>
      </c>
      <c r="B1931" s="22" t="s">
        <v>49</v>
      </c>
      <c r="C1931" s="11" t="s">
        <v>2668</v>
      </c>
      <c r="D1931" s="11" t="s">
        <v>2669</v>
      </c>
      <c r="E1931" s="64">
        <v>46091.0</v>
      </c>
      <c r="F1931" s="14" t="s">
        <v>1133</v>
      </c>
      <c r="G1931" s="178">
        <v>10000.0</v>
      </c>
      <c r="H1931" s="16">
        <v>4419.0</v>
      </c>
      <c r="I1931" s="17">
        <f t="shared" si="61"/>
        <v>5581</v>
      </c>
      <c r="J1931" s="17" t="s">
        <v>1</v>
      </c>
      <c r="K1931" s="330"/>
      <c r="L1931" s="330"/>
      <c r="M1931" s="330"/>
      <c r="N1931" s="330"/>
      <c r="O1931" s="330"/>
      <c r="P1931" s="330"/>
      <c r="Q1931" s="330"/>
      <c r="R1931" s="330"/>
      <c r="S1931" s="330"/>
      <c r="T1931" s="330"/>
      <c r="U1931" s="330"/>
      <c r="V1931" s="330"/>
      <c r="W1931" s="330"/>
      <c r="X1931" s="330"/>
      <c r="Y1931" s="330"/>
      <c r="Z1931" s="330"/>
    </row>
    <row r="1932" ht="33.75" customHeight="1">
      <c r="A1932" s="11" t="s">
        <v>28</v>
      </c>
      <c r="B1932" s="22" t="s">
        <v>81</v>
      </c>
      <c r="C1932" s="11" t="s">
        <v>2674</v>
      </c>
      <c r="D1932" s="11" t="s">
        <v>2675</v>
      </c>
      <c r="E1932" s="64">
        <v>46091.0</v>
      </c>
      <c r="F1932" s="14" t="s">
        <v>17</v>
      </c>
      <c r="G1932" s="178">
        <v>11000.0</v>
      </c>
      <c r="H1932" s="16">
        <v>8171.0</v>
      </c>
      <c r="I1932" s="17">
        <f t="shared" si="61"/>
        <v>2829</v>
      </c>
      <c r="J1932" s="17" t="s">
        <v>1</v>
      </c>
      <c r="K1932" s="330"/>
      <c r="L1932" s="330"/>
      <c r="M1932" s="330"/>
      <c r="N1932" s="330"/>
      <c r="O1932" s="330"/>
      <c r="P1932" s="330"/>
      <c r="Q1932" s="330"/>
      <c r="R1932" s="330"/>
      <c r="S1932" s="330"/>
      <c r="T1932" s="330"/>
      <c r="U1932" s="330"/>
      <c r="V1932" s="330"/>
      <c r="W1932" s="330"/>
      <c r="X1932" s="330"/>
      <c r="Y1932" s="330"/>
      <c r="Z1932" s="330"/>
    </row>
    <row r="1933" ht="33.75" customHeight="1">
      <c r="A1933" s="11" t="s">
        <v>1587</v>
      </c>
      <c r="B1933" s="22" t="s">
        <v>44</v>
      </c>
      <c r="C1933" s="11" t="s">
        <v>2676</v>
      </c>
      <c r="D1933" s="11">
        <v>7.72671012100695E14</v>
      </c>
      <c r="E1933" s="64">
        <v>46091.0</v>
      </c>
      <c r="F1933" s="14" t="s">
        <v>287</v>
      </c>
      <c r="G1933" s="178">
        <v>53788.0</v>
      </c>
      <c r="H1933" s="28"/>
      <c r="I1933" s="17">
        <f t="shared" si="61"/>
        <v>53788</v>
      </c>
      <c r="J1933" s="253" t="s">
        <v>1</v>
      </c>
      <c r="K1933" s="330"/>
      <c r="L1933" s="330"/>
      <c r="M1933" s="330"/>
      <c r="N1933" s="330"/>
      <c r="O1933" s="330"/>
      <c r="P1933" s="330"/>
      <c r="Q1933" s="330"/>
      <c r="R1933" s="330"/>
      <c r="S1933" s="330"/>
      <c r="T1933" s="330"/>
      <c r="U1933" s="330"/>
      <c r="V1933" s="330"/>
      <c r="W1933" s="330"/>
      <c r="X1933" s="330"/>
      <c r="Y1933" s="330"/>
      <c r="Z1933" s="330"/>
    </row>
    <row r="1934" ht="33.75" customHeight="1">
      <c r="A1934" s="11" t="s">
        <v>1587</v>
      </c>
      <c r="B1934" s="22" t="s">
        <v>260</v>
      </c>
      <c r="C1934" s="11" t="s">
        <v>2677</v>
      </c>
      <c r="D1934" s="11" t="s">
        <v>2678</v>
      </c>
      <c r="E1934" s="64">
        <v>46091.0</v>
      </c>
      <c r="F1934" s="14" t="s">
        <v>287</v>
      </c>
      <c r="G1934" s="178">
        <v>53788.0</v>
      </c>
      <c r="H1934" s="28"/>
      <c r="I1934" s="17">
        <f t="shared" si="61"/>
        <v>53788</v>
      </c>
      <c r="J1934" s="253" t="s">
        <v>1</v>
      </c>
      <c r="K1934" s="330"/>
      <c r="L1934" s="330"/>
      <c r="M1934" s="330"/>
      <c r="N1934" s="330"/>
      <c r="O1934" s="330"/>
      <c r="P1934" s="330"/>
      <c r="Q1934" s="330"/>
      <c r="R1934" s="330"/>
      <c r="S1934" s="330"/>
      <c r="T1934" s="330"/>
      <c r="U1934" s="330"/>
      <c r="V1934" s="330"/>
      <c r="W1934" s="330"/>
      <c r="X1934" s="330"/>
      <c r="Y1934" s="330"/>
      <c r="Z1934" s="330"/>
    </row>
    <row r="1935" ht="33.75" customHeight="1">
      <c r="A1935" s="11" t="s">
        <v>1987</v>
      </c>
      <c r="B1935" s="22" t="s">
        <v>31</v>
      </c>
      <c r="C1935" s="11" t="s">
        <v>2481</v>
      </c>
      <c r="D1935" s="74">
        <v>1.64198899360608E15</v>
      </c>
      <c r="E1935" s="76">
        <v>46091.0</v>
      </c>
      <c r="F1935" s="14" t="s">
        <v>1191</v>
      </c>
      <c r="G1935" s="178">
        <v>10000.0</v>
      </c>
      <c r="H1935" s="16">
        <v>3983.0</v>
      </c>
      <c r="I1935" s="17">
        <f t="shared" si="61"/>
        <v>6017</v>
      </c>
      <c r="J1935" s="17" t="s">
        <v>1</v>
      </c>
      <c r="K1935" s="330"/>
      <c r="L1935" s="330"/>
      <c r="M1935" s="330"/>
      <c r="N1935" s="330"/>
      <c r="O1935" s="330"/>
      <c r="P1935" s="330"/>
      <c r="Q1935" s="330"/>
      <c r="R1935" s="330"/>
      <c r="S1935" s="330"/>
      <c r="T1935" s="330"/>
      <c r="U1935" s="330"/>
      <c r="V1935" s="330"/>
      <c r="W1935" s="330"/>
      <c r="X1935" s="330"/>
      <c r="Y1935" s="330"/>
      <c r="Z1935" s="330"/>
    </row>
    <row r="1936" ht="33.75" customHeight="1">
      <c r="A1936" s="11" t="s">
        <v>1587</v>
      </c>
      <c r="B1936" s="22" t="s">
        <v>37</v>
      </c>
      <c r="C1936" s="11" t="s">
        <v>2679</v>
      </c>
      <c r="D1936" s="11" t="s">
        <v>2680</v>
      </c>
      <c r="E1936" s="64">
        <v>46091.0</v>
      </c>
      <c r="F1936" s="14" t="s">
        <v>287</v>
      </c>
      <c r="G1936" s="178">
        <v>53788.0</v>
      </c>
      <c r="H1936" s="28"/>
      <c r="I1936" s="17">
        <f t="shared" si="61"/>
        <v>53788</v>
      </c>
      <c r="J1936" s="253" t="s">
        <v>1</v>
      </c>
      <c r="K1936" s="330"/>
      <c r="L1936" s="330"/>
      <c r="M1936" s="330"/>
      <c r="N1936" s="330"/>
      <c r="O1936" s="330"/>
      <c r="P1936" s="330"/>
      <c r="Q1936" s="330"/>
      <c r="R1936" s="330"/>
      <c r="S1936" s="330"/>
      <c r="T1936" s="330"/>
      <c r="U1936" s="330"/>
      <c r="V1936" s="330"/>
      <c r="W1936" s="330"/>
      <c r="X1936" s="330"/>
      <c r="Y1936" s="330"/>
      <c r="Z1936" s="330"/>
    </row>
    <row r="1937" ht="33.75" customHeight="1">
      <c r="A1937" s="11" t="s">
        <v>2038</v>
      </c>
      <c r="B1937" s="22" t="s">
        <v>88</v>
      </c>
      <c r="C1937" s="11" t="s">
        <v>2417</v>
      </c>
      <c r="D1937" s="74">
        <v>9.29952600211321E14</v>
      </c>
      <c r="E1937" s="76">
        <v>46091.0</v>
      </c>
      <c r="F1937" s="14" t="s">
        <v>17</v>
      </c>
      <c r="G1937" s="178">
        <v>9353.0</v>
      </c>
      <c r="H1937" s="16">
        <v>6244.0</v>
      </c>
      <c r="I1937" s="17">
        <f t="shared" si="61"/>
        <v>3109</v>
      </c>
      <c r="J1937" s="17" t="s">
        <v>1</v>
      </c>
      <c r="K1937" s="330"/>
      <c r="L1937" s="330"/>
      <c r="M1937" s="330"/>
      <c r="N1937" s="330"/>
      <c r="O1937" s="330"/>
      <c r="P1937" s="330"/>
      <c r="Q1937" s="330"/>
      <c r="R1937" s="330"/>
      <c r="S1937" s="330"/>
      <c r="T1937" s="330"/>
      <c r="U1937" s="330"/>
      <c r="V1937" s="330"/>
      <c r="W1937" s="330"/>
      <c r="X1937" s="330"/>
      <c r="Y1937" s="330"/>
      <c r="Z1937" s="330"/>
    </row>
    <row r="1938" ht="33.75" customHeight="1">
      <c r="A1938" s="11" t="s">
        <v>2038</v>
      </c>
      <c r="B1938" s="22" t="s">
        <v>88</v>
      </c>
      <c r="C1938" s="11" t="s">
        <v>2417</v>
      </c>
      <c r="D1938" s="74">
        <v>9.29952600211321E14</v>
      </c>
      <c r="E1938" s="76">
        <v>46091.0</v>
      </c>
      <c r="F1938" s="14" t="s">
        <v>17</v>
      </c>
      <c r="G1938" s="178">
        <v>5341.0</v>
      </c>
      <c r="H1938" s="16">
        <v>3278.0</v>
      </c>
      <c r="I1938" s="17">
        <f t="shared" si="61"/>
        <v>2063</v>
      </c>
      <c r="J1938" s="17" t="s">
        <v>1</v>
      </c>
      <c r="K1938" s="330"/>
      <c r="L1938" s="330"/>
      <c r="M1938" s="330"/>
      <c r="N1938" s="330"/>
      <c r="O1938" s="330"/>
      <c r="P1938" s="330"/>
      <c r="Q1938" s="330"/>
      <c r="R1938" s="330"/>
      <c r="S1938" s="330"/>
      <c r="T1938" s="330"/>
      <c r="U1938" s="330"/>
      <c r="V1938" s="330"/>
      <c r="W1938" s="330"/>
      <c r="X1938" s="330"/>
      <c r="Y1938" s="330"/>
      <c r="Z1938" s="330"/>
    </row>
    <row r="1939" ht="33.75" customHeight="1">
      <c r="A1939" s="11" t="s">
        <v>1587</v>
      </c>
      <c r="B1939" s="22" t="s">
        <v>2681</v>
      </c>
      <c r="C1939" s="11" t="s">
        <v>2682</v>
      </c>
      <c r="D1939" s="11" t="s">
        <v>2683</v>
      </c>
      <c r="E1939" s="64">
        <v>46091.0</v>
      </c>
      <c r="F1939" s="14" t="s">
        <v>287</v>
      </c>
      <c r="G1939" s="178">
        <v>53788.0</v>
      </c>
      <c r="H1939" s="28"/>
      <c r="I1939" s="17">
        <f t="shared" si="61"/>
        <v>53788</v>
      </c>
      <c r="J1939" s="17" t="s">
        <v>1</v>
      </c>
      <c r="K1939" s="330"/>
      <c r="L1939" s="330"/>
      <c r="M1939" s="330"/>
      <c r="N1939" s="330"/>
      <c r="O1939" s="330"/>
      <c r="P1939" s="330"/>
      <c r="Q1939" s="330"/>
      <c r="R1939" s="330"/>
      <c r="S1939" s="330"/>
      <c r="T1939" s="330"/>
      <c r="U1939" s="330"/>
      <c r="V1939" s="330"/>
      <c r="W1939" s="330"/>
      <c r="X1939" s="330"/>
      <c r="Y1939" s="330"/>
      <c r="Z1939" s="330"/>
    </row>
    <row r="1940" ht="33.75" customHeight="1">
      <c r="A1940" s="11" t="s">
        <v>210</v>
      </c>
      <c r="B1940" s="22" t="s">
        <v>2681</v>
      </c>
      <c r="C1940" s="66" t="s">
        <v>1912</v>
      </c>
      <c r="D1940" s="340"/>
      <c r="E1940" s="64">
        <v>46091.0</v>
      </c>
      <c r="F1940" s="14" t="s">
        <v>17</v>
      </c>
      <c r="G1940" s="178">
        <v>19965.0</v>
      </c>
      <c r="H1940" s="28"/>
      <c r="I1940" s="17">
        <f t="shared" si="61"/>
        <v>19965</v>
      </c>
      <c r="J1940" s="17" t="s">
        <v>1</v>
      </c>
      <c r="K1940" s="330"/>
      <c r="L1940" s="330"/>
      <c r="M1940" s="330"/>
      <c r="N1940" s="330"/>
      <c r="O1940" s="330"/>
      <c r="P1940" s="330"/>
      <c r="Q1940" s="330"/>
      <c r="R1940" s="330"/>
      <c r="S1940" s="330"/>
      <c r="T1940" s="330"/>
      <c r="U1940" s="330"/>
      <c r="V1940" s="330"/>
      <c r="W1940" s="330"/>
      <c r="X1940" s="330"/>
      <c r="Y1940" s="330"/>
      <c r="Z1940" s="330"/>
    </row>
    <row r="1941" ht="33.75" customHeight="1">
      <c r="A1941" s="11" t="s">
        <v>1587</v>
      </c>
      <c r="B1941" s="22" t="s">
        <v>619</v>
      </c>
      <c r="C1941" s="11" t="s">
        <v>2684</v>
      </c>
      <c r="D1941" s="33" t="s">
        <v>2685</v>
      </c>
      <c r="E1941" s="64">
        <v>46091.0</v>
      </c>
      <c r="F1941" s="14" t="s">
        <v>287</v>
      </c>
      <c r="G1941" s="178">
        <v>53788.0</v>
      </c>
      <c r="H1941" s="28"/>
      <c r="I1941" s="17">
        <f t="shared" si="61"/>
        <v>53788</v>
      </c>
      <c r="J1941" s="17" t="s">
        <v>1</v>
      </c>
      <c r="K1941" s="330"/>
      <c r="L1941" s="330"/>
      <c r="M1941" s="330"/>
      <c r="N1941" s="330"/>
      <c r="O1941" s="330"/>
      <c r="P1941" s="330"/>
      <c r="Q1941" s="330"/>
      <c r="R1941" s="330"/>
      <c r="S1941" s="330"/>
      <c r="T1941" s="330"/>
      <c r="U1941" s="330"/>
      <c r="V1941" s="330"/>
      <c r="W1941" s="330"/>
      <c r="X1941" s="330"/>
      <c r="Y1941" s="330"/>
      <c r="Z1941" s="330"/>
    </row>
    <row r="1942" ht="33.75" customHeight="1">
      <c r="A1942" s="11" t="s">
        <v>2686</v>
      </c>
      <c r="B1942" s="22" t="s">
        <v>161</v>
      </c>
      <c r="C1942" s="11" t="s">
        <v>2687</v>
      </c>
      <c r="D1942" s="11" t="s">
        <v>2688</v>
      </c>
      <c r="E1942" s="64">
        <v>46090.0</v>
      </c>
      <c r="F1942" s="14" t="s">
        <v>1191</v>
      </c>
      <c r="G1942" s="178">
        <v>10000.0</v>
      </c>
      <c r="H1942" s="16">
        <v>9039.0</v>
      </c>
      <c r="I1942" s="17">
        <f t="shared" si="61"/>
        <v>961</v>
      </c>
      <c r="J1942" s="17" t="s">
        <v>1</v>
      </c>
      <c r="K1942" s="252"/>
      <c r="L1942" s="252"/>
      <c r="M1942" s="252"/>
      <c r="N1942" s="252"/>
      <c r="O1942" s="252"/>
      <c r="P1942" s="252"/>
      <c r="Q1942" s="252"/>
      <c r="R1942" s="252"/>
      <c r="S1942" s="252"/>
      <c r="T1942" s="252"/>
      <c r="U1942" s="252"/>
      <c r="V1942" s="252"/>
      <c r="W1942" s="252"/>
      <c r="X1942" s="252"/>
      <c r="Y1942" s="252"/>
      <c r="Z1942" s="252"/>
    </row>
    <row r="1943" ht="33.75" customHeight="1">
      <c r="A1943" s="11" t="s">
        <v>1587</v>
      </c>
      <c r="B1943" s="22" t="s">
        <v>185</v>
      </c>
      <c r="C1943" s="66" t="s">
        <v>2689</v>
      </c>
      <c r="D1943" s="341" t="s">
        <v>2690</v>
      </c>
      <c r="E1943" s="78">
        <v>46091.0</v>
      </c>
      <c r="F1943" s="14" t="s">
        <v>287</v>
      </c>
      <c r="G1943" s="16">
        <v>53791.0</v>
      </c>
      <c r="H1943" s="28"/>
      <c r="I1943" s="17">
        <f t="shared" si="61"/>
        <v>53791</v>
      </c>
      <c r="J1943" s="17" t="s">
        <v>1</v>
      </c>
      <c r="K1943" s="330"/>
      <c r="L1943" s="330"/>
      <c r="M1943" s="330"/>
      <c r="N1943" s="330"/>
      <c r="O1943" s="330"/>
      <c r="P1943" s="330"/>
      <c r="Q1943" s="330"/>
      <c r="R1943" s="330"/>
      <c r="S1943" s="330"/>
      <c r="T1943" s="330"/>
      <c r="U1943" s="330"/>
      <c r="V1943" s="330"/>
      <c r="W1943" s="330"/>
      <c r="X1943" s="330"/>
      <c r="Y1943" s="330"/>
      <c r="Z1943" s="330"/>
    </row>
    <row r="1944" ht="33.75" customHeight="1">
      <c r="A1944" s="11" t="s">
        <v>752</v>
      </c>
      <c r="B1944" s="22" t="s">
        <v>2691</v>
      </c>
      <c r="C1944" s="66" t="s">
        <v>2692</v>
      </c>
      <c r="D1944" s="341" t="s">
        <v>2693</v>
      </c>
      <c r="E1944" s="78">
        <v>46091.0</v>
      </c>
      <c r="F1944" s="14" t="s">
        <v>1133</v>
      </c>
      <c r="G1944" s="16">
        <v>5500.0</v>
      </c>
      <c r="H1944" s="16">
        <v>5078.0</v>
      </c>
      <c r="I1944" s="17">
        <f t="shared" si="61"/>
        <v>422</v>
      </c>
      <c r="J1944" s="17" t="s">
        <v>1</v>
      </c>
      <c r="K1944" s="330"/>
      <c r="L1944" s="330"/>
      <c r="M1944" s="330"/>
      <c r="N1944" s="330"/>
      <c r="O1944" s="330"/>
      <c r="P1944" s="330"/>
      <c r="Q1944" s="330"/>
      <c r="R1944" s="330"/>
      <c r="S1944" s="330"/>
      <c r="T1944" s="330"/>
      <c r="U1944" s="330"/>
      <c r="V1944" s="330"/>
      <c r="W1944" s="330"/>
      <c r="X1944" s="330"/>
      <c r="Y1944" s="330"/>
      <c r="Z1944" s="330"/>
    </row>
    <row r="1945" ht="33.75" customHeight="1">
      <c r="A1945" s="11" t="s">
        <v>2694</v>
      </c>
      <c r="B1945" s="22" t="s">
        <v>2695</v>
      </c>
      <c r="C1945" s="66" t="s">
        <v>2696</v>
      </c>
      <c r="D1945" s="341" t="s">
        <v>2697</v>
      </c>
      <c r="E1945" s="78">
        <v>46091.0</v>
      </c>
      <c r="F1945" s="14" t="s">
        <v>1141</v>
      </c>
      <c r="G1945" s="16">
        <v>500.0</v>
      </c>
      <c r="H1945" s="16">
        <v>216.0</v>
      </c>
      <c r="I1945" s="17">
        <f t="shared" si="61"/>
        <v>284</v>
      </c>
      <c r="J1945" s="17" t="s">
        <v>1</v>
      </c>
      <c r="K1945" s="330"/>
      <c r="L1945" s="330"/>
      <c r="M1945" s="330"/>
      <c r="N1945" s="330"/>
      <c r="O1945" s="330"/>
      <c r="P1945" s="330"/>
      <c r="Q1945" s="330"/>
      <c r="R1945" s="330"/>
      <c r="S1945" s="330"/>
      <c r="T1945" s="330"/>
      <c r="U1945" s="330"/>
      <c r="V1945" s="330"/>
      <c r="W1945" s="330"/>
      <c r="X1945" s="330"/>
      <c r="Y1945" s="330"/>
      <c r="Z1945" s="330"/>
    </row>
    <row r="1946" ht="33.75" customHeight="1">
      <c r="A1946" s="11" t="s">
        <v>2698</v>
      </c>
      <c r="B1946" s="22" t="s">
        <v>2699</v>
      </c>
      <c r="C1946" s="66" t="s">
        <v>2700</v>
      </c>
      <c r="D1946" s="341" t="s">
        <v>2701</v>
      </c>
      <c r="E1946" s="78">
        <v>46091.0</v>
      </c>
      <c r="F1946" s="14" t="s">
        <v>1133</v>
      </c>
      <c r="G1946" s="16">
        <v>1290.0</v>
      </c>
      <c r="H1946" s="16">
        <v>1172.0</v>
      </c>
      <c r="I1946" s="17">
        <f t="shared" si="61"/>
        <v>118</v>
      </c>
      <c r="J1946" s="17" t="s">
        <v>1</v>
      </c>
      <c r="K1946" s="330"/>
      <c r="L1946" s="330"/>
      <c r="M1946" s="330"/>
      <c r="N1946" s="330"/>
      <c r="O1946" s="330"/>
      <c r="P1946" s="330"/>
      <c r="Q1946" s="330"/>
      <c r="R1946" s="330"/>
      <c r="S1946" s="330"/>
      <c r="T1946" s="330"/>
      <c r="U1946" s="330"/>
      <c r="V1946" s="330"/>
      <c r="W1946" s="330"/>
      <c r="X1946" s="330"/>
      <c r="Y1946" s="330"/>
      <c r="Z1946" s="330"/>
    </row>
    <row r="1947" ht="33.75" customHeight="1">
      <c r="A1947" s="11" t="s">
        <v>715</v>
      </c>
      <c r="B1947" s="22" t="s">
        <v>34</v>
      </c>
      <c r="C1947" s="11" t="s">
        <v>1757</v>
      </c>
      <c r="D1947" s="36"/>
      <c r="E1947" s="76">
        <v>46091.0</v>
      </c>
      <c r="F1947" s="14" t="s">
        <v>1191</v>
      </c>
      <c r="G1947" s="178"/>
      <c r="H1947" s="16">
        <v>8123.0</v>
      </c>
      <c r="I1947" s="17">
        <f t="shared" si="61"/>
        <v>-8123</v>
      </c>
      <c r="J1947" s="17" t="s">
        <v>1</v>
      </c>
      <c r="K1947" s="330"/>
      <c r="L1947" s="330"/>
      <c r="M1947" s="330"/>
      <c r="N1947" s="330"/>
      <c r="O1947" s="330"/>
      <c r="P1947" s="330"/>
      <c r="Q1947" s="330"/>
      <c r="R1947" s="330"/>
      <c r="S1947" s="330"/>
      <c r="T1947" s="330"/>
      <c r="U1947" s="330"/>
      <c r="V1947" s="330"/>
      <c r="W1947" s="330"/>
      <c r="X1947" s="330"/>
      <c r="Y1947" s="330"/>
      <c r="Z1947" s="330"/>
    </row>
    <row r="1948" ht="33.75" customHeight="1">
      <c r="A1948" s="11" t="s">
        <v>2478</v>
      </c>
      <c r="B1948" s="22" t="s">
        <v>98</v>
      </c>
      <c r="C1948" s="11" t="s">
        <v>2702</v>
      </c>
      <c r="D1948" s="36"/>
      <c r="E1948" s="76">
        <v>46091.0</v>
      </c>
      <c r="F1948" s="14" t="s">
        <v>1141</v>
      </c>
      <c r="G1948" s="178"/>
      <c r="H1948" s="16"/>
      <c r="I1948" s="17">
        <f t="shared" si="61"/>
        <v>0</v>
      </c>
      <c r="J1948" s="17" t="s">
        <v>1</v>
      </c>
      <c r="K1948" s="330"/>
      <c r="L1948" s="330"/>
      <c r="M1948" s="330"/>
      <c r="N1948" s="330"/>
      <c r="O1948" s="330"/>
      <c r="P1948" s="330"/>
      <c r="Q1948" s="330"/>
      <c r="R1948" s="330"/>
      <c r="S1948" s="330"/>
      <c r="T1948" s="330"/>
      <c r="U1948" s="330"/>
      <c r="V1948" s="330"/>
      <c r="W1948" s="330"/>
      <c r="X1948" s="330"/>
      <c r="Y1948" s="330"/>
      <c r="Z1948" s="330"/>
    </row>
    <row r="1949" ht="33.75" customHeight="1">
      <c r="A1949" s="11" t="s">
        <v>1994</v>
      </c>
      <c r="B1949" s="22" t="s">
        <v>15</v>
      </c>
      <c r="C1949" s="11" t="s">
        <v>2629</v>
      </c>
      <c r="D1949" s="36"/>
      <c r="E1949" s="76">
        <v>46091.0</v>
      </c>
      <c r="F1949" s="14" t="s">
        <v>1141</v>
      </c>
      <c r="G1949" s="178">
        <v>10728.0</v>
      </c>
      <c r="H1949" s="16">
        <v>9191.0</v>
      </c>
      <c r="I1949" s="17">
        <f t="shared" si="61"/>
        <v>1537</v>
      </c>
      <c r="J1949" s="17" t="s">
        <v>1</v>
      </c>
      <c r="K1949" s="330"/>
      <c r="L1949" s="330"/>
      <c r="M1949" s="330"/>
      <c r="N1949" s="330"/>
      <c r="O1949" s="330"/>
      <c r="P1949" s="330"/>
      <c r="Q1949" s="330"/>
      <c r="R1949" s="330"/>
      <c r="S1949" s="330"/>
      <c r="T1949" s="330"/>
      <c r="U1949" s="330"/>
      <c r="V1949" s="330"/>
      <c r="W1949" s="330"/>
      <c r="X1949" s="330"/>
      <c r="Y1949" s="330"/>
      <c r="Z1949" s="330"/>
    </row>
    <row r="1950" ht="33.75" customHeight="1">
      <c r="A1950" s="11" t="s">
        <v>1987</v>
      </c>
      <c r="B1950" s="22" t="s">
        <v>2703</v>
      </c>
      <c r="C1950" s="11" t="s">
        <v>2481</v>
      </c>
      <c r="D1950" s="342">
        <v>1.64198899360608E15</v>
      </c>
      <c r="E1950" s="76">
        <v>46091.0</v>
      </c>
      <c r="F1950" s="14" t="s">
        <v>1191</v>
      </c>
      <c r="G1950" s="178">
        <v>10000.0</v>
      </c>
      <c r="H1950" s="16">
        <v>9577.0</v>
      </c>
      <c r="I1950" s="17">
        <f t="shared" si="61"/>
        <v>423</v>
      </c>
      <c r="J1950" s="17" t="s">
        <v>1</v>
      </c>
      <c r="K1950" s="330"/>
      <c r="L1950" s="330"/>
      <c r="M1950" s="330"/>
      <c r="N1950" s="330"/>
      <c r="O1950" s="330"/>
      <c r="P1950" s="330"/>
      <c r="Q1950" s="330"/>
      <c r="R1950" s="330"/>
      <c r="S1950" s="330"/>
      <c r="T1950" s="330"/>
      <c r="U1950" s="330"/>
      <c r="V1950" s="330"/>
      <c r="W1950" s="330"/>
      <c r="X1950" s="330"/>
      <c r="Y1950" s="330"/>
      <c r="Z1950" s="330"/>
    </row>
    <row r="1951" ht="33.75" customHeight="1">
      <c r="A1951" s="11" t="s">
        <v>2704</v>
      </c>
      <c r="B1951" s="12"/>
      <c r="C1951" s="11" t="s">
        <v>2705</v>
      </c>
      <c r="D1951" s="11">
        <v>8.91165183530291E14</v>
      </c>
      <c r="E1951" s="76">
        <v>46091.0</v>
      </c>
      <c r="F1951" s="14" t="s">
        <v>1133</v>
      </c>
      <c r="G1951" s="178">
        <v>14134.0</v>
      </c>
      <c r="H1951" s="16">
        <v>12543.0</v>
      </c>
      <c r="I1951" s="17">
        <f t="shared" si="61"/>
        <v>1591</v>
      </c>
      <c r="J1951" s="39" t="s">
        <v>1</v>
      </c>
      <c r="K1951" s="330"/>
      <c r="L1951" s="330"/>
      <c r="M1951" s="330"/>
      <c r="N1951" s="330"/>
      <c r="O1951" s="330"/>
      <c r="P1951" s="330"/>
      <c r="Q1951" s="330"/>
      <c r="R1951" s="330"/>
      <c r="S1951" s="330"/>
      <c r="T1951" s="330"/>
      <c r="U1951" s="330"/>
      <c r="V1951" s="330"/>
      <c r="W1951" s="330"/>
      <c r="X1951" s="330"/>
      <c r="Y1951" s="330"/>
      <c r="Z1951" s="330"/>
    </row>
    <row r="1952" ht="33.75" customHeight="1">
      <c r="A1952" s="243"/>
      <c r="B1952" s="343"/>
      <c r="C1952" s="243"/>
      <c r="D1952" s="344"/>
      <c r="E1952" s="345"/>
      <c r="F1952" s="246"/>
      <c r="G1952" s="247"/>
      <c r="H1952" s="248"/>
      <c r="I1952" s="249"/>
      <c r="J1952" s="346"/>
      <c r="K1952" s="347"/>
      <c r="L1952" s="347"/>
      <c r="M1952" s="347"/>
      <c r="N1952" s="347"/>
      <c r="O1952" s="347"/>
      <c r="P1952" s="347"/>
      <c r="Q1952" s="347"/>
      <c r="R1952" s="347"/>
      <c r="S1952" s="347"/>
      <c r="T1952" s="347"/>
      <c r="U1952" s="347"/>
      <c r="V1952" s="347"/>
      <c r="W1952" s="347"/>
      <c r="X1952" s="347"/>
      <c r="Y1952" s="347"/>
      <c r="Z1952" s="347"/>
    </row>
    <row r="1953" ht="33.75" customHeight="1">
      <c r="A1953" s="11" t="s">
        <v>1451</v>
      </c>
      <c r="B1953" s="22" t="s">
        <v>1011</v>
      </c>
      <c r="C1953" s="66" t="s">
        <v>2706</v>
      </c>
      <c r="D1953" s="348">
        <v>9.20567713755036E14</v>
      </c>
      <c r="E1953" s="64">
        <v>46092.0</v>
      </c>
      <c r="F1953" s="14" t="s">
        <v>1191</v>
      </c>
      <c r="G1953" s="178">
        <v>1140.0</v>
      </c>
      <c r="H1953" s="179">
        <v>1002.0</v>
      </c>
      <c r="I1953" s="17">
        <v>0.0</v>
      </c>
      <c r="J1953" s="17" t="s">
        <v>1</v>
      </c>
      <c r="K1953" s="330"/>
      <c r="L1953" s="330"/>
      <c r="M1953" s="330"/>
      <c r="N1953" s="330"/>
      <c r="O1953" s="330"/>
      <c r="P1953" s="330"/>
      <c r="Q1953" s="330"/>
      <c r="R1953" s="330"/>
      <c r="S1953" s="330"/>
      <c r="T1953" s="330"/>
      <c r="U1953" s="330"/>
      <c r="V1953" s="330"/>
      <c r="W1953" s="330"/>
      <c r="X1953" s="330"/>
      <c r="Y1953" s="330"/>
      <c r="Z1953" s="330"/>
    </row>
    <row r="1954" ht="33.75" customHeight="1">
      <c r="A1954" s="11" t="s">
        <v>2707</v>
      </c>
      <c r="B1954" s="22" t="s">
        <v>49</v>
      </c>
      <c r="C1954" s="66" t="s">
        <v>2708</v>
      </c>
      <c r="D1954" s="340"/>
      <c r="E1954" s="64">
        <v>46092.0</v>
      </c>
      <c r="F1954" s="14" t="s">
        <v>1191</v>
      </c>
      <c r="G1954" s="178">
        <v>1005.0</v>
      </c>
      <c r="H1954" s="16">
        <v>516.0</v>
      </c>
      <c r="I1954" s="17">
        <v>0.0</v>
      </c>
      <c r="J1954" s="17" t="s">
        <v>1</v>
      </c>
      <c r="K1954" s="330"/>
      <c r="L1954" s="330"/>
      <c r="M1954" s="330"/>
      <c r="N1954" s="330"/>
      <c r="O1954" s="330"/>
      <c r="P1954" s="330"/>
      <c r="Q1954" s="330"/>
      <c r="R1954" s="330"/>
      <c r="S1954" s="330"/>
      <c r="T1954" s="330"/>
      <c r="U1954" s="330"/>
      <c r="V1954" s="330"/>
      <c r="W1954" s="330"/>
      <c r="X1954" s="330"/>
      <c r="Y1954" s="330"/>
      <c r="Z1954" s="330"/>
    </row>
    <row r="1955" ht="33.75" customHeight="1">
      <c r="A1955" s="11" t="s">
        <v>109</v>
      </c>
      <c r="B1955" s="22" t="s">
        <v>49</v>
      </c>
      <c r="C1955" s="66" t="s">
        <v>2420</v>
      </c>
      <c r="D1955" s="340"/>
      <c r="E1955" s="64">
        <v>46092.0</v>
      </c>
      <c r="F1955" s="14" t="s">
        <v>17</v>
      </c>
      <c r="G1955" s="178">
        <v>10745.0</v>
      </c>
      <c r="H1955" s="16">
        <v>9733.0</v>
      </c>
      <c r="I1955" s="17">
        <v>0.0</v>
      </c>
      <c r="J1955" s="17" t="s">
        <v>1</v>
      </c>
      <c r="K1955" s="330"/>
      <c r="L1955" s="330"/>
      <c r="M1955" s="330"/>
      <c r="N1955" s="330"/>
      <c r="O1955" s="330"/>
      <c r="P1955" s="330"/>
      <c r="Q1955" s="330"/>
      <c r="R1955" s="330"/>
      <c r="S1955" s="330"/>
      <c r="T1955" s="330"/>
      <c r="U1955" s="330"/>
      <c r="V1955" s="330"/>
      <c r="W1955" s="330"/>
      <c r="X1955" s="330"/>
      <c r="Y1955" s="330"/>
      <c r="Z1955" s="330"/>
    </row>
    <row r="1956" ht="33.75" customHeight="1">
      <c r="A1956" s="11" t="s">
        <v>2496</v>
      </c>
      <c r="B1956" s="22" t="s">
        <v>49</v>
      </c>
      <c r="C1956" s="66" t="s">
        <v>2709</v>
      </c>
      <c r="D1956" s="340"/>
      <c r="E1956" s="64">
        <v>46092.0</v>
      </c>
      <c r="F1956" s="14" t="s">
        <v>1141</v>
      </c>
      <c r="G1956" s="178">
        <v>35000.0</v>
      </c>
      <c r="H1956" s="16">
        <v>23368.0</v>
      </c>
      <c r="I1956" s="17">
        <v>0.0</v>
      </c>
      <c r="J1956" s="17" t="s">
        <v>1</v>
      </c>
      <c r="K1956" s="330"/>
      <c r="L1956" s="330"/>
      <c r="M1956" s="330"/>
      <c r="N1956" s="330"/>
      <c r="O1956" s="330"/>
      <c r="P1956" s="330"/>
      <c r="Q1956" s="330"/>
      <c r="R1956" s="330"/>
      <c r="S1956" s="330"/>
      <c r="T1956" s="330"/>
      <c r="U1956" s="330"/>
      <c r="V1956" s="330"/>
      <c r="W1956" s="330"/>
      <c r="X1956" s="330"/>
      <c r="Y1956" s="330"/>
      <c r="Z1956" s="330"/>
    </row>
    <row r="1957" ht="33.75" customHeight="1">
      <c r="A1957" s="11" t="s">
        <v>2219</v>
      </c>
      <c r="B1957" s="22" t="s">
        <v>49</v>
      </c>
      <c r="C1957" s="11" t="s">
        <v>2710</v>
      </c>
      <c r="D1957" s="348" t="s">
        <v>2711</v>
      </c>
      <c r="E1957" s="64">
        <v>46092.0</v>
      </c>
      <c r="F1957" s="14" t="s">
        <v>1133</v>
      </c>
      <c r="G1957" s="178">
        <v>8000.0</v>
      </c>
      <c r="H1957" s="28">
        <f>3194+3213</f>
        <v>6407</v>
      </c>
      <c r="I1957" s="17">
        <f t="shared" ref="I1957:I1969" si="62">G1957-H1957</f>
        <v>1593</v>
      </c>
      <c r="J1957" s="17" t="s">
        <v>1</v>
      </c>
      <c r="K1957" s="330"/>
      <c r="L1957" s="330"/>
      <c r="M1957" s="330"/>
      <c r="N1957" s="330"/>
      <c r="O1957" s="330"/>
      <c r="P1957" s="330"/>
      <c r="Q1957" s="330"/>
      <c r="R1957" s="330"/>
      <c r="S1957" s="330"/>
      <c r="T1957" s="330"/>
      <c r="U1957" s="330"/>
      <c r="V1957" s="330"/>
      <c r="W1957" s="330"/>
      <c r="X1957" s="330"/>
      <c r="Y1957" s="330"/>
      <c r="Z1957" s="330"/>
    </row>
    <row r="1958" ht="33.75" customHeight="1">
      <c r="A1958" s="11" t="s">
        <v>2048</v>
      </c>
      <c r="B1958" s="22" t="s">
        <v>49</v>
      </c>
      <c r="C1958" s="11" t="s">
        <v>2710</v>
      </c>
      <c r="D1958" s="348" t="s">
        <v>2711</v>
      </c>
      <c r="E1958" s="64">
        <v>46092.0</v>
      </c>
      <c r="F1958" s="14" t="s">
        <v>1133</v>
      </c>
      <c r="G1958" s="178">
        <v>8000.0</v>
      </c>
      <c r="H1958" s="28">
        <f>3538+3455</f>
        <v>6993</v>
      </c>
      <c r="I1958" s="17">
        <f t="shared" si="62"/>
        <v>1007</v>
      </c>
      <c r="J1958" s="17" t="s">
        <v>1</v>
      </c>
      <c r="K1958" s="330"/>
      <c r="L1958" s="330"/>
      <c r="M1958" s="330"/>
      <c r="N1958" s="330"/>
      <c r="O1958" s="330"/>
      <c r="P1958" s="330"/>
      <c r="Q1958" s="330"/>
      <c r="R1958" s="330"/>
      <c r="S1958" s="330"/>
      <c r="T1958" s="330"/>
      <c r="U1958" s="330"/>
      <c r="V1958" s="330"/>
      <c r="W1958" s="330"/>
      <c r="X1958" s="330"/>
      <c r="Y1958" s="330"/>
      <c r="Z1958" s="330"/>
    </row>
    <row r="1959" ht="33.75" customHeight="1">
      <c r="A1959" s="11" t="s">
        <v>2712</v>
      </c>
      <c r="B1959" s="22" t="s">
        <v>49</v>
      </c>
      <c r="C1959" s="11" t="s">
        <v>2710</v>
      </c>
      <c r="D1959" s="348" t="s">
        <v>2711</v>
      </c>
      <c r="E1959" s="64">
        <v>46092.0</v>
      </c>
      <c r="F1959" s="14" t="s">
        <v>1133</v>
      </c>
      <c r="G1959" s="178">
        <v>8000.0</v>
      </c>
      <c r="H1959" s="28">
        <f>3156+3235</f>
        <v>6391</v>
      </c>
      <c r="I1959" s="17">
        <f t="shared" si="62"/>
        <v>1609</v>
      </c>
      <c r="J1959" s="17" t="s">
        <v>1</v>
      </c>
      <c r="K1959" s="330"/>
      <c r="L1959" s="330"/>
      <c r="M1959" s="330"/>
      <c r="N1959" s="330"/>
      <c r="O1959" s="330"/>
      <c r="P1959" s="330"/>
      <c r="Q1959" s="330"/>
      <c r="R1959" s="330"/>
      <c r="S1959" s="330"/>
      <c r="T1959" s="330"/>
      <c r="U1959" s="330"/>
      <c r="V1959" s="330"/>
      <c r="W1959" s="330"/>
      <c r="X1959" s="330"/>
      <c r="Y1959" s="330"/>
      <c r="Z1959" s="330"/>
    </row>
    <row r="1960" ht="33.75" customHeight="1">
      <c r="A1960" s="11" t="s">
        <v>2713</v>
      </c>
      <c r="B1960" s="22" t="s">
        <v>49</v>
      </c>
      <c r="C1960" s="11" t="s">
        <v>2710</v>
      </c>
      <c r="D1960" s="348" t="s">
        <v>2711</v>
      </c>
      <c r="E1960" s="64">
        <v>46092.0</v>
      </c>
      <c r="F1960" s="14" t="s">
        <v>1133</v>
      </c>
      <c r="G1960" s="178">
        <v>5000.0</v>
      </c>
      <c r="H1960" s="16">
        <v>1272.0</v>
      </c>
      <c r="I1960" s="17">
        <f t="shared" si="62"/>
        <v>3728</v>
      </c>
      <c r="J1960" s="17" t="s">
        <v>1</v>
      </c>
      <c r="K1960" s="330"/>
      <c r="L1960" s="330"/>
      <c r="M1960" s="330"/>
      <c r="N1960" s="330"/>
      <c r="O1960" s="330"/>
      <c r="P1960" s="330"/>
      <c r="Q1960" s="330"/>
      <c r="R1960" s="330"/>
      <c r="S1960" s="330"/>
      <c r="T1960" s="330"/>
      <c r="U1960" s="330"/>
      <c r="V1960" s="330"/>
      <c r="W1960" s="330"/>
      <c r="X1960" s="330"/>
      <c r="Y1960" s="330"/>
      <c r="Z1960" s="330"/>
    </row>
    <row r="1961" ht="33.75" customHeight="1">
      <c r="A1961" s="11" t="s">
        <v>2714</v>
      </c>
      <c r="B1961" s="22" t="s">
        <v>49</v>
      </c>
      <c r="C1961" s="11" t="s">
        <v>2710</v>
      </c>
      <c r="D1961" s="348" t="s">
        <v>2711</v>
      </c>
      <c r="E1961" s="64">
        <v>46092.0</v>
      </c>
      <c r="F1961" s="14" t="s">
        <v>1133</v>
      </c>
      <c r="G1961" s="178">
        <v>5000.0</v>
      </c>
      <c r="H1961" s="16">
        <v>2560.0</v>
      </c>
      <c r="I1961" s="17">
        <f t="shared" si="62"/>
        <v>2440</v>
      </c>
      <c r="J1961" s="17" t="s">
        <v>1</v>
      </c>
      <c r="K1961" s="330"/>
      <c r="L1961" s="330"/>
      <c r="M1961" s="330"/>
      <c r="N1961" s="330"/>
      <c r="O1961" s="330"/>
      <c r="P1961" s="330"/>
      <c r="Q1961" s="330"/>
      <c r="R1961" s="330"/>
      <c r="S1961" s="330"/>
      <c r="T1961" s="330"/>
      <c r="U1961" s="330"/>
      <c r="V1961" s="330"/>
      <c r="W1961" s="330"/>
      <c r="X1961" s="330"/>
      <c r="Y1961" s="330"/>
      <c r="Z1961" s="330"/>
    </row>
    <row r="1962" ht="33.75" customHeight="1">
      <c r="A1962" s="11" t="s">
        <v>2715</v>
      </c>
      <c r="B1962" s="22" t="s">
        <v>49</v>
      </c>
      <c r="C1962" s="11" t="s">
        <v>2716</v>
      </c>
      <c r="D1962" s="348" t="s">
        <v>2717</v>
      </c>
      <c r="E1962" s="64">
        <v>46092.0</v>
      </c>
      <c r="F1962" s="14" t="s">
        <v>1133</v>
      </c>
      <c r="G1962" s="178">
        <v>8000.0</v>
      </c>
      <c r="H1962" s="28">
        <f>3134+3373
</f>
        <v>6507</v>
      </c>
      <c r="I1962" s="17">
        <f t="shared" si="62"/>
        <v>1493</v>
      </c>
      <c r="J1962" s="17" t="s">
        <v>1</v>
      </c>
      <c r="K1962" s="330"/>
      <c r="L1962" s="330"/>
      <c r="M1962" s="330"/>
      <c r="N1962" s="330"/>
      <c r="O1962" s="330"/>
      <c r="P1962" s="330"/>
      <c r="Q1962" s="330"/>
      <c r="R1962" s="330"/>
      <c r="S1962" s="330"/>
      <c r="T1962" s="330"/>
      <c r="U1962" s="330"/>
      <c r="V1962" s="330"/>
      <c r="W1962" s="330"/>
      <c r="X1962" s="330"/>
      <c r="Y1962" s="330"/>
      <c r="Z1962" s="330"/>
    </row>
    <row r="1963" ht="33.75" customHeight="1">
      <c r="A1963" s="11" t="s">
        <v>2718</v>
      </c>
      <c r="B1963" s="22" t="s">
        <v>49</v>
      </c>
      <c r="C1963" s="11" t="s">
        <v>2716</v>
      </c>
      <c r="D1963" s="348" t="s">
        <v>2717</v>
      </c>
      <c r="E1963" s="64">
        <v>46092.0</v>
      </c>
      <c r="F1963" s="14" t="s">
        <v>1133</v>
      </c>
      <c r="G1963" s="178">
        <v>10000.0</v>
      </c>
      <c r="H1963" s="28">
        <f>4407+4140</f>
        <v>8547</v>
      </c>
      <c r="I1963" s="17">
        <f t="shared" si="62"/>
        <v>1453</v>
      </c>
      <c r="J1963" s="17" t="s">
        <v>1</v>
      </c>
      <c r="K1963" s="330"/>
      <c r="L1963" s="330"/>
      <c r="M1963" s="330"/>
      <c r="N1963" s="330"/>
      <c r="O1963" s="330"/>
      <c r="P1963" s="330"/>
      <c r="Q1963" s="330"/>
      <c r="R1963" s="330"/>
      <c r="S1963" s="330"/>
      <c r="T1963" s="330"/>
      <c r="U1963" s="330"/>
      <c r="V1963" s="330"/>
      <c r="W1963" s="330"/>
      <c r="X1963" s="330"/>
      <c r="Y1963" s="330"/>
      <c r="Z1963" s="330"/>
    </row>
    <row r="1964" ht="33.75" customHeight="1">
      <c r="A1964" s="11" t="s">
        <v>2265</v>
      </c>
      <c r="B1964" s="22" t="s">
        <v>49</v>
      </c>
      <c r="C1964" s="11" t="s">
        <v>2716</v>
      </c>
      <c r="D1964" s="348" t="s">
        <v>2717</v>
      </c>
      <c r="E1964" s="64">
        <v>46092.0</v>
      </c>
      <c r="F1964" s="14" t="s">
        <v>1133</v>
      </c>
      <c r="G1964" s="178">
        <v>8000.0</v>
      </c>
      <c r="H1964" s="28">
        <f>3117+2879</f>
        <v>5996</v>
      </c>
      <c r="I1964" s="17">
        <f t="shared" si="62"/>
        <v>2004</v>
      </c>
      <c r="J1964" s="17" t="s">
        <v>1</v>
      </c>
      <c r="K1964" s="330"/>
      <c r="L1964" s="330"/>
      <c r="M1964" s="330"/>
      <c r="N1964" s="330"/>
      <c r="O1964" s="330"/>
      <c r="P1964" s="330"/>
      <c r="Q1964" s="330"/>
      <c r="R1964" s="330"/>
      <c r="S1964" s="330"/>
      <c r="T1964" s="330"/>
      <c r="U1964" s="330"/>
      <c r="V1964" s="330"/>
      <c r="W1964" s="330"/>
      <c r="X1964" s="330"/>
      <c r="Y1964" s="330"/>
      <c r="Z1964" s="330"/>
    </row>
    <row r="1965" ht="33.75" customHeight="1">
      <c r="A1965" s="11" t="s">
        <v>2719</v>
      </c>
      <c r="B1965" s="22" t="s">
        <v>49</v>
      </c>
      <c r="C1965" s="11" t="s">
        <v>2716</v>
      </c>
      <c r="D1965" s="348" t="s">
        <v>2717</v>
      </c>
      <c r="E1965" s="64">
        <v>46092.0</v>
      </c>
      <c r="F1965" s="14" t="s">
        <v>1133</v>
      </c>
      <c r="G1965" s="178">
        <v>8000.0</v>
      </c>
      <c r="H1965" s="16">
        <f>3759+3430</f>
        <v>7189</v>
      </c>
      <c r="I1965" s="17">
        <f t="shared" si="62"/>
        <v>811</v>
      </c>
      <c r="J1965" s="17" t="s">
        <v>1</v>
      </c>
      <c r="K1965" s="330"/>
      <c r="L1965" s="330"/>
      <c r="M1965" s="330"/>
      <c r="N1965" s="330"/>
      <c r="O1965" s="330"/>
      <c r="P1965" s="330"/>
      <c r="Q1965" s="330"/>
      <c r="R1965" s="330"/>
      <c r="S1965" s="330"/>
      <c r="T1965" s="330"/>
      <c r="U1965" s="330"/>
      <c r="V1965" s="330"/>
      <c r="W1965" s="330"/>
      <c r="X1965" s="330"/>
      <c r="Y1965" s="330"/>
      <c r="Z1965" s="330"/>
    </row>
    <row r="1966" ht="33.75" customHeight="1">
      <c r="A1966" s="11" t="s">
        <v>2458</v>
      </c>
      <c r="B1966" s="22"/>
      <c r="C1966" s="11" t="s">
        <v>2720</v>
      </c>
      <c r="D1966" s="340" t="s">
        <v>2721</v>
      </c>
      <c r="E1966" s="64">
        <v>46092.0</v>
      </c>
      <c r="F1966" s="14" t="s">
        <v>1133</v>
      </c>
      <c r="G1966" s="178">
        <v>5000.0</v>
      </c>
      <c r="H1966" s="16">
        <v>4816.0</v>
      </c>
      <c r="I1966" s="17">
        <f t="shared" si="62"/>
        <v>184</v>
      </c>
      <c r="J1966" s="17" t="s">
        <v>1</v>
      </c>
      <c r="K1966" s="330"/>
      <c r="L1966" s="330"/>
      <c r="M1966" s="330"/>
      <c r="N1966" s="330"/>
      <c r="O1966" s="330"/>
      <c r="P1966" s="330"/>
      <c r="Q1966" s="330"/>
      <c r="R1966" s="330"/>
      <c r="S1966" s="330"/>
      <c r="T1966" s="330"/>
      <c r="U1966" s="330"/>
      <c r="V1966" s="330"/>
      <c r="W1966" s="330"/>
      <c r="X1966" s="330"/>
      <c r="Y1966" s="330"/>
      <c r="Z1966" s="330"/>
    </row>
    <row r="1967" ht="33.75" customHeight="1">
      <c r="A1967" s="11" t="s">
        <v>2722</v>
      </c>
      <c r="B1967" s="22"/>
      <c r="C1967" s="11" t="s">
        <v>2720</v>
      </c>
      <c r="D1967" s="340" t="s">
        <v>2721</v>
      </c>
      <c r="E1967" s="64">
        <v>46092.0</v>
      </c>
      <c r="F1967" s="14" t="s">
        <v>1133</v>
      </c>
      <c r="G1967" s="178">
        <v>5000.0</v>
      </c>
      <c r="H1967" s="16">
        <v>4281.0</v>
      </c>
      <c r="I1967" s="17">
        <f t="shared" si="62"/>
        <v>719</v>
      </c>
      <c r="J1967" s="17" t="s">
        <v>1</v>
      </c>
      <c r="K1967" s="330"/>
      <c r="L1967" s="330"/>
      <c r="M1967" s="330"/>
      <c r="N1967" s="330"/>
      <c r="O1967" s="330"/>
      <c r="P1967" s="330"/>
      <c r="Q1967" s="330"/>
      <c r="R1967" s="330"/>
      <c r="S1967" s="330"/>
      <c r="T1967" s="330"/>
      <c r="U1967" s="330"/>
      <c r="V1967" s="330"/>
      <c r="W1967" s="330"/>
      <c r="X1967" s="330"/>
      <c r="Y1967" s="330"/>
      <c r="Z1967" s="330"/>
    </row>
    <row r="1968" ht="33.75" customHeight="1">
      <c r="A1968" s="11" t="s">
        <v>2723</v>
      </c>
      <c r="B1968" s="22"/>
      <c r="C1968" s="11" t="s">
        <v>2720</v>
      </c>
      <c r="D1968" s="340" t="s">
        <v>2721</v>
      </c>
      <c r="E1968" s="64">
        <v>46092.0</v>
      </c>
      <c r="F1968" s="14" t="s">
        <v>1133</v>
      </c>
      <c r="G1968" s="178">
        <v>5000.0</v>
      </c>
      <c r="H1968" s="16">
        <v>4121.0</v>
      </c>
      <c r="I1968" s="17">
        <f t="shared" si="62"/>
        <v>879</v>
      </c>
      <c r="J1968" s="17" t="s">
        <v>1</v>
      </c>
      <c r="K1968" s="330"/>
      <c r="L1968" s="330"/>
      <c r="M1968" s="330"/>
      <c r="N1968" s="330"/>
      <c r="O1968" s="330"/>
      <c r="P1968" s="330"/>
      <c r="Q1968" s="330"/>
      <c r="R1968" s="330"/>
      <c r="S1968" s="330"/>
      <c r="T1968" s="330"/>
      <c r="U1968" s="330"/>
      <c r="V1968" s="330"/>
      <c r="W1968" s="330"/>
      <c r="X1968" s="330"/>
      <c r="Y1968" s="330"/>
      <c r="Z1968" s="330"/>
    </row>
    <row r="1969" ht="33.75" customHeight="1">
      <c r="A1969" s="11" t="s">
        <v>28</v>
      </c>
      <c r="B1969" s="22" t="s">
        <v>81</v>
      </c>
      <c r="C1969" s="11" t="s">
        <v>2674</v>
      </c>
      <c r="D1969" s="340"/>
      <c r="E1969" s="64">
        <v>46092.0</v>
      </c>
      <c r="F1969" s="14" t="s">
        <v>17</v>
      </c>
      <c r="G1969" s="178">
        <v>11999.0</v>
      </c>
      <c r="H1969" s="16">
        <v>9123.0</v>
      </c>
      <c r="I1969" s="17">
        <f t="shared" si="62"/>
        <v>2876</v>
      </c>
      <c r="J1969" s="17" t="s">
        <v>1</v>
      </c>
      <c r="K1969" s="330"/>
      <c r="L1969" s="330"/>
      <c r="M1969" s="330"/>
      <c r="N1969" s="330"/>
      <c r="O1969" s="330"/>
      <c r="P1969" s="330"/>
      <c r="Q1969" s="330"/>
      <c r="R1969" s="330"/>
      <c r="S1969" s="330"/>
      <c r="T1969" s="330"/>
      <c r="U1969" s="330"/>
      <c r="V1969" s="330"/>
      <c r="W1969" s="330"/>
      <c r="X1969" s="330"/>
      <c r="Y1969" s="330"/>
      <c r="Z1969" s="330"/>
    </row>
    <row r="1970" ht="33.75" customHeight="1">
      <c r="A1970" s="11" t="s">
        <v>2143</v>
      </c>
      <c r="B1970" s="22" t="s">
        <v>85</v>
      </c>
      <c r="C1970" s="11" t="s">
        <v>2144</v>
      </c>
      <c r="D1970" s="348"/>
      <c r="E1970" s="64">
        <v>46092.0</v>
      </c>
      <c r="F1970" s="14" t="s">
        <v>1141</v>
      </c>
      <c r="G1970" s="178">
        <v>1099.0</v>
      </c>
      <c r="H1970" s="16">
        <v>851.0</v>
      </c>
      <c r="I1970" s="17">
        <v>0.0</v>
      </c>
      <c r="J1970" s="17" t="s">
        <v>1</v>
      </c>
      <c r="K1970" s="330"/>
      <c r="L1970" s="330"/>
      <c r="M1970" s="330"/>
      <c r="N1970" s="330"/>
      <c r="O1970" s="330"/>
      <c r="P1970" s="330"/>
      <c r="Q1970" s="330"/>
      <c r="R1970" s="330"/>
      <c r="S1970" s="330"/>
      <c r="T1970" s="330"/>
      <c r="U1970" s="330"/>
      <c r="V1970" s="330"/>
      <c r="W1970" s="330"/>
      <c r="X1970" s="330"/>
      <c r="Y1970" s="330"/>
      <c r="Z1970" s="330"/>
    </row>
    <row r="1971" ht="33.75" customHeight="1">
      <c r="A1971" s="11" t="s">
        <v>1587</v>
      </c>
      <c r="B1971" s="22" t="s">
        <v>44</v>
      </c>
      <c r="C1971" s="11" t="s">
        <v>2724</v>
      </c>
      <c r="D1971" s="36"/>
      <c r="E1971" s="64">
        <v>46092.0</v>
      </c>
      <c r="F1971" s="14" t="s">
        <v>287</v>
      </c>
      <c r="G1971" s="178">
        <v>48085.0</v>
      </c>
      <c r="H1971" s="28"/>
      <c r="I1971" s="17">
        <v>0.0</v>
      </c>
      <c r="J1971" s="39" t="s">
        <v>1</v>
      </c>
      <c r="K1971" s="330"/>
      <c r="L1971" s="330"/>
      <c r="M1971" s="330"/>
      <c r="N1971" s="330"/>
      <c r="O1971" s="330"/>
      <c r="P1971" s="330"/>
      <c r="Q1971" s="330"/>
      <c r="R1971" s="330"/>
      <c r="S1971" s="330"/>
      <c r="T1971" s="330"/>
      <c r="U1971" s="330"/>
      <c r="V1971" s="330"/>
      <c r="W1971" s="330"/>
      <c r="X1971" s="330"/>
      <c r="Y1971" s="330"/>
      <c r="Z1971" s="330"/>
    </row>
    <row r="1972" ht="33.75" customHeight="1">
      <c r="A1972" s="11" t="s">
        <v>2038</v>
      </c>
      <c r="B1972" s="22" t="s">
        <v>66</v>
      </c>
      <c r="C1972" s="11" t="s">
        <v>2417</v>
      </c>
      <c r="D1972" s="36"/>
      <c r="E1972" s="76">
        <v>46092.0</v>
      </c>
      <c r="F1972" s="14" t="s">
        <v>17</v>
      </c>
      <c r="G1972" s="15" t="s">
        <v>2725</v>
      </c>
      <c r="H1972" s="16">
        <v>5243.0</v>
      </c>
      <c r="I1972" s="17">
        <v>0.0</v>
      </c>
      <c r="J1972" s="39" t="s">
        <v>1</v>
      </c>
      <c r="K1972" s="330"/>
      <c r="L1972" s="330"/>
      <c r="M1972" s="330"/>
      <c r="N1972" s="330"/>
      <c r="O1972" s="330"/>
      <c r="P1972" s="330"/>
      <c r="Q1972" s="330"/>
      <c r="R1972" s="330"/>
      <c r="S1972" s="330"/>
      <c r="T1972" s="330"/>
      <c r="U1972" s="330"/>
      <c r="V1972" s="330"/>
      <c r="W1972" s="330"/>
      <c r="X1972" s="330"/>
      <c r="Y1972" s="330"/>
      <c r="Z1972" s="330"/>
    </row>
    <row r="1973" ht="33.75" customHeight="1">
      <c r="A1973" s="11" t="s">
        <v>1587</v>
      </c>
      <c r="B1973" s="22" t="s">
        <v>260</v>
      </c>
      <c r="C1973" s="11" t="s">
        <v>2726</v>
      </c>
      <c r="D1973" s="36"/>
      <c r="E1973" s="64">
        <v>46092.0</v>
      </c>
      <c r="F1973" s="14" t="s">
        <v>287</v>
      </c>
      <c r="G1973" s="178">
        <v>48085.0</v>
      </c>
      <c r="H1973" s="28"/>
      <c r="I1973" s="17">
        <v>0.0</v>
      </c>
      <c r="J1973" s="39" t="s">
        <v>1</v>
      </c>
      <c r="K1973" s="330"/>
      <c r="L1973" s="330"/>
      <c r="M1973" s="330"/>
      <c r="N1973" s="330"/>
      <c r="O1973" s="330"/>
      <c r="P1973" s="330"/>
      <c r="Q1973" s="330"/>
      <c r="R1973" s="330"/>
      <c r="S1973" s="330"/>
      <c r="T1973" s="330"/>
      <c r="U1973" s="330"/>
      <c r="V1973" s="330"/>
      <c r="W1973" s="330"/>
      <c r="X1973" s="330"/>
      <c r="Y1973" s="330"/>
      <c r="Z1973" s="330"/>
    </row>
    <row r="1974" ht="33.75" customHeight="1">
      <c r="A1974" s="11" t="s">
        <v>2585</v>
      </c>
      <c r="B1974" s="22" t="s">
        <v>31</v>
      </c>
      <c r="C1974" s="11" t="s">
        <v>2727</v>
      </c>
      <c r="D1974" s="11" t="s">
        <v>2587</v>
      </c>
      <c r="E1974" s="76">
        <v>46092.0</v>
      </c>
      <c r="F1974" s="14" t="s">
        <v>17</v>
      </c>
      <c r="G1974" s="178">
        <v>7136.0</v>
      </c>
      <c r="H1974" s="16">
        <v>5245.0</v>
      </c>
      <c r="I1974" s="17">
        <v>0.0</v>
      </c>
      <c r="J1974" s="17" t="s">
        <v>1</v>
      </c>
      <c r="K1974" s="330"/>
      <c r="L1974" s="330"/>
      <c r="M1974" s="330"/>
      <c r="N1974" s="330"/>
      <c r="O1974" s="330"/>
      <c r="P1974" s="330"/>
      <c r="Q1974" s="330"/>
      <c r="R1974" s="330"/>
      <c r="S1974" s="330"/>
      <c r="T1974" s="330"/>
      <c r="U1974" s="330"/>
      <c r="V1974" s="330"/>
      <c r="W1974" s="330"/>
      <c r="X1974" s="330"/>
      <c r="Y1974" s="330"/>
      <c r="Z1974" s="330"/>
    </row>
    <row r="1975" ht="33.75" customHeight="1">
      <c r="A1975" s="11" t="s">
        <v>2728</v>
      </c>
      <c r="B1975" s="22" t="s">
        <v>31</v>
      </c>
      <c r="C1975" s="11" t="s">
        <v>2729</v>
      </c>
      <c r="D1975" s="11">
        <v>9.23527506699253E14</v>
      </c>
      <c r="E1975" s="76">
        <v>46092.0</v>
      </c>
      <c r="F1975" s="14" t="s">
        <v>1141</v>
      </c>
      <c r="G1975" s="178">
        <v>9770.0</v>
      </c>
      <c r="H1975" s="16">
        <v>8324.0</v>
      </c>
      <c r="I1975" s="17">
        <v>0.0</v>
      </c>
      <c r="J1975" s="17" t="s">
        <v>1</v>
      </c>
      <c r="K1975" s="330"/>
      <c r="L1975" s="330"/>
      <c r="M1975" s="330"/>
      <c r="N1975" s="330"/>
      <c r="O1975" s="330"/>
      <c r="P1975" s="330"/>
      <c r="Q1975" s="330"/>
      <c r="R1975" s="330"/>
      <c r="S1975" s="330"/>
      <c r="T1975" s="330"/>
      <c r="U1975" s="330"/>
      <c r="V1975" s="330"/>
      <c r="W1975" s="330"/>
      <c r="X1975" s="330"/>
      <c r="Y1975" s="330"/>
      <c r="Z1975" s="330"/>
    </row>
    <row r="1976" ht="33.75" customHeight="1">
      <c r="A1976" s="11" t="s">
        <v>1987</v>
      </c>
      <c r="B1976" s="22" t="s">
        <v>31</v>
      </c>
      <c r="C1976" s="11" t="s">
        <v>2481</v>
      </c>
      <c r="D1976" s="36"/>
      <c r="E1976" s="76">
        <v>46092.0</v>
      </c>
      <c r="F1976" s="14" t="s">
        <v>1191</v>
      </c>
      <c r="G1976" s="178">
        <v>15000.0</v>
      </c>
      <c r="H1976" s="16">
        <v>13456.0</v>
      </c>
      <c r="I1976" s="17">
        <v>0.0</v>
      </c>
      <c r="J1976" s="17" t="s">
        <v>1</v>
      </c>
      <c r="K1976" s="252"/>
      <c r="L1976" s="252"/>
      <c r="M1976" s="252"/>
      <c r="N1976" s="252"/>
      <c r="O1976" s="252"/>
      <c r="P1976" s="252"/>
      <c r="Q1976" s="252"/>
      <c r="R1976" s="252"/>
      <c r="S1976" s="252"/>
      <c r="T1976" s="252"/>
      <c r="U1976" s="252"/>
      <c r="V1976" s="252"/>
      <c r="W1976" s="252"/>
      <c r="X1976" s="252"/>
      <c r="Y1976" s="252"/>
      <c r="Z1976" s="252"/>
    </row>
    <row r="1977" ht="33.75" customHeight="1">
      <c r="A1977" s="11" t="s">
        <v>2038</v>
      </c>
      <c r="B1977" s="22" t="s">
        <v>2730</v>
      </c>
      <c r="C1977" s="11" t="s">
        <v>2731</v>
      </c>
      <c r="D1977" s="11">
        <v>7.48555344785532E14</v>
      </c>
      <c r="E1977" s="76">
        <v>46092.0</v>
      </c>
      <c r="F1977" s="14" t="s">
        <v>17</v>
      </c>
      <c r="G1977" s="178">
        <v>6945.0</v>
      </c>
      <c r="H1977" s="16">
        <v>4234.0</v>
      </c>
      <c r="I1977" s="17">
        <v>0.0</v>
      </c>
      <c r="J1977" s="17" t="s">
        <v>1</v>
      </c>
      <c r="K1977" s="330"/>
      <c r="L1977" s="330"/>
      <c r="M1977" s="330"/>
      <c r="N1977" s="330"/>
      <c r="O1977" s="330"/>
      <c r="P1977" s="330"/>
      <c r="Q1977" s="330"/>
      <c r="R1977" s="330"/>
      <c r="S1977" s="330"/>
      <c r="T1977" s="330"/>
      <c r="U1977" s="330"/>
      <c r="V1977" s="330"/>
      <c r="W1977" s="330"/>
      <c r="X1977" s="330"/>
      <c r="Y1977" s="330"/>
      <c r="Z1977" s="330"/>
    </row>
    <row r="1978" ht="33.75" customHeight="1">
      <c r="A1978" s="11" t="s">
        <v>2478</v>
      </c>
      <c r="B1978" s="22" t="s">
        <v>37</v>
      </c>
      <c r="C1978" s="11" t="s">
        <v>2732</v>
      </c>
      <c r="D1978" s="11"/>
      <c r="E1978" s="76">
        <v>46092.0</v>
      </c>
      <c r="F1978" s="14" t="s">
        <v>1191</v>
      </c>
      <c r="G1978" s="178"/>
      <c r="H1978" s="16">
        <v>2235.0</v>
      </c>
      <c r="I1978" s="17">
        <v>0.0</v>
      </c>
      <c r="J1978" s="17" t="s">
        <v>1</v>
      </c>
      <c r="K1978" s="330"/>
      <c r="L1978" s="330"/>
      <c r="M1978" s="330"/>
      <c r="N1978" s="330"/>
      <c r="O1978" s="330"/>
      <c r="P1978" s="330"/>
      <c r="Q1978" s="330"/>
      <c r="R1978" s="330"/>
      <c r="S1978" s="330"/>
      <c r="T1978" s="330"/>
      <c r="U1978" s="330"/>
      <c r="V1978" s="330"/>
      <c r="W1978" s="330"/>
      <c r="X1978" s="330"/>
      <c r="Y1978" s="330"/>
      <c r="Z1978" s="330"/>
    </row>
    <row r="1979" ht="33.75" customHeight="1">
      <c r="A1979" s="11" t="s">
        <v>1516</v>
      </c>
      <c r="B1979" s="22" t="s">
        <v>37</v>
      </c>
      <c r="C1979" s="11" t="s">
        <v>2733</v>
      </c>
      <c r="D1979" s="11">
        <v>8.82864524361266E14</v>
      </c>
      <c r="E1979" s="76">
        <v>46092.0</v>
      </c>
      <c r="F1979" s="14" t="s">
        <v>1141</v>
      </c>
      <c r="G1979" s="178">
        <v>4333.0</v>
      </c>
      <c r="H1979" s="16">
        <v>2163.0</v>
      </c>
      <c r="I1979" s="17">
        <v>0.0</v>
      </c>
      <c r="J1979" s="339" t="s">
        <v>700</v>
      </c>
      <c r="K1979" s="330"/>
      <c r="L1979" s="330"/>
      <c r="M1979" s="330"/>
      <c r="N1979" s="330"/>
      <c r="O1979" s="330"/>
      <c r="P1979" s="330"/>
      <c r="Q1979" s="330"/>
      <c r="R1979" s="330"/>
      <c r="S1979" s="330"/>
      <c r="T1979" s="330"/>
      <c r="U1979" s="330"/>
      <c r="V1979" s="330"/>
      <c r="W1979" s="330"/>
      <c r="X1979" s="330"/>
      <c r="Y1979" s="330"/>
      <c r="Z1979" s="330"/>
    </row>
    <row r="1980" ht="33.75" customHeight="1">
      <c r="A1980" s="11" t="s">
        <v>2734</v>
      </c>
      <c r="B1980" s="22" t="s">
        <v>2294</v>
      </c>
      <c r="C1980" s="11" t="s">
        <v>2735</v>
      </c>
      <c r="D1980" s="11">
        <v>8.93046153496417E14</v>
      </c>
      <c r="E1980" s="76">
        <v>46092.0</v>
      </c>
      <c r="F1980" s="14" t="s">
        <v>17</v>
      </c>
      <c r="G1980" s="178">
        <v>10661.0</v>
      </c>
      <c r="H1980" s="16">
        <v>7235.0</v>
      </c>
      <c r="I1980" s="17">
        <v>0.0</v>
      </c>
      <c r="J1980" s="17" t="s">
        <v>1</v>
      </c>
      <c r="K1980" s="330"/>
      <c r="L1980" s="330"/>
      <c r="M1980" s="330"/>
      <c r="N1980" s="330"/>
      <c r="O1980" s="330"/>
      <c r="P1980" s="330"/>
      <c r="Q1980" s="330"/>
      <c r="R1980" s="330"/>
      <c r="S1980" s="330"/>
      <c r="T1980" s="330"/>
      <c r="U1980" s="330"/>
      <c r="V1980" s="330"/>
      <c r="W1980" s="330"/>
      <c r="X1980" s="330"/>
      <c r="Y1980" s="330"/>
      <c r="Z1980" s="330"/>
    </row>
    <row r="1981" ht="33.75" customHeight="1">
      <c r="A1981" s="11" t="s">
        <v>28</v>
      </c>
      <c r="B1981" s="22" t="s">
        <v>37</v>
      </c>
      <c r="C1981" s="11" t="s">
        <v>2736</v>
      </c>
      <c r="D1981" s="11">
        <v>8.82150974630185E14</v>
      </c>
      <c r="E1981" s="76">
        <v>46092.0</v>
      </c>
      <c r="F1981" s="14" t="s">
        <v>17</v>
      </c>
      <c r="G1981" s="178">
        <v>11000.0</v>
      </c>
      <c r="H1981" s="16">
        <v>9525.0</v>
      </c>
      <c r="I1981" s="17">
        <v>0.0</v>
      </c>
      <c r="J1981" s="17" t="s">
        <v>1</v>
      </c>
      <c r="K1981" s="330"/>
      <c r="L1981" s="330"/>
      <c r="M1981" s="330"/>
      <c r="N1981" s="330"/>
      <c r="O1981" s="330"/>
      <c r="P1981" s="330"/>
      <c r="Q1981" s="330"/>
      <c r="R1981" s="330"/>
      <c r="S1981" s="330"/>
      <c r="T1981" s="330"/>
      <c r="U1981" s="330"/>
      <c r="V1981" s="330"/>
      <c r="W1981" s="330"/>
      <c r="X1981" s="330"/>
      <c r="Y1981" s="330"/>
      <c r="Z1981" s="330"/>
    </row>
    <row r="1982" ht="33.75" customHeight="1">
      <c r="A1982" s="11" t="s">
        <v>1587</v>
      </c>
      <c r="B1982" s="22" t="s">
        <v>91</v>
      </c>
      <c r="C1982" s="11" t="s">
        <v>2737</v>
      </c>
      <c r="D1982" s="36"/>
      <c r="E1982" s="64">
        <v>46092.0</v>
      </c>
      <c r="F1982" s="14" t="s">
        <v>287</v>
      </c>
      <c r="G1982" s="178">
        <v>48085.0</v>
      </c>
      <c r="H1982" s="28"/>
      <c r="I1982" s="17">
        <v>0.0</v>
      </c>
      <c r="J1982" s="39" t="s">
        <v>1</v>
      </c>
      <c r="K1982" s="330"/>
      <c r="L1982" s="330"/>
      <c r="M1982" s="330"/>
      <c r="N1982" s="330"/>
      <c r="O1982" s="330"/>
      <c r="P1982" s="330"/>
      <c r="Q1982" s="330"/>
      <c r="R1982" s="330"/>
      <c r="S1982" s="330"/>
      <c r="T1982" s="330"/>
      <c r="U1982" s="330"/>
      <c r="V1982" s="330"/>
      <c r="W1982" s="330"/>
      <c r="X1982" s="330"/>
      <c r="Y1982" s="330"/>
      <c r="Z1982" s="330"/>
    </row>
    <row r="1983" ht="33.75" customHeight="1">
      <c r="A1983" s="11" t="s">
        <v>2478</v>
      </c>
      <c r="B1983" s="22"/>
      <c r="C1983" s="11" t="s">
        <v>2738</v>
      </c>
      <c r="D1983" s="11">
        <v>9.32164549750699E14</v>
      </c>
      <c r="E1983" s="76">
        <v>46092.0</v>
      </c>
      <c r="F1983" s="14" t="s">
        <v>1191</v>
      </c>
      <c r="G1983" s="178">
        <v>7703.0</v>
      </c>
      <c r="H1983" s="16">
        <v>6706.0</v>
      </c>
      <c r="I1983" s="17">
        <v>0.0</v>
      </c>
      <c r="J1983" s="17" t="s">
        <v>1</v>
      </c>
      <c r="K1983" s="321"/>
      <c r="L1983" s="321"/>
      <c r="M1983" s="321"/>
      <c r="N1983" s="321"/>
      <c r="O1983" s="321"/>
      <c r="P1983" s="321"/>
      <c r="Q1983" s="321"/>
      <c r="R1983" s="321"/>
      <c r="S1983" s="321"/>
      <c r="T1983" s="321"/>
      <c r="U1983" s="321"/>
      <c r="V1983" s="321"/>
      <c r="W1983" s="321"/>
      <c r="X1983" s="321"/>
      <c r="Y1983" s="321"/>
      <c r="Z1983" s="321"/>
    </row>
    <row r="1984" ht="33.75" customHeight="1">
      <c r="A1984" s="11" t="s">
        <v>2556</v>
      </c>
      <c r="B1984" s="22"/>
      <c r="C1984" s="11" t="s">
        <v>2557</v>
      </c>
      <c r="D1984" s="11">
        <v>8.3233312593272E14</v>
      </c>
      <c r="E1984" s="76">
        <v>46092.0</v>
      </c>
      <c r="F1984" s="14" t="s">
        <v>26</v>
      </c>
      <c r="G1984" s="178">
        <f>5713+7590+7409+6041</f>
        <v>26753</v>
      </c>
      <c r="H1984" s="16">
        <v>22281.0</v>
      </c>
      <c r="I1984" s="17">
        <v>0.0</v>
      </c>
      <c r="J1984" s="339" t="s">
        <v>700</v>
      </c>
      <c r="K1984" s="321"/>
      <c r="L1984" s="321"/>
      <c r="M1984" s="321"/>
      <c r="N1984" s="321"/>
      <c r="O1984" s="321"/>
      <c r="P1984" s="321"/>
      <c r="Q1984" s="321"/>
      <c r="R1984" s="321"/>
      <c r="S1984" s="321"/>
      <c r="T1984" s="321"/>
      <c r="U1984" s="321"/>
      <c r="V1984" s="321"/>
      <c r="W1984" s="321"/>
      <c r="X1984" s="321"/>
      <c r="Y1984" s="321"/>
      <c r="Z1984" s="321"/>
    </row>
    <row r="1985" ht="33.75" customHeight="1">
      <c r="A1985" s="11" t="s">
        <v>2704</v>
      </c>
      <c r="B1985" s="22" t="s">
        <v>2739</v>
      </c>
      <c r="C1985" s="11" t="s">
        <v>2740</v>
      </c>
      <c r="D1985" s="36"/>
      <c r="E1985" s="64">
        <v>46092.0</v>
      </c>
      <c r="F1985" s="14" t="s">
        <v>1133</v>
      </c>
      <c r="G1985" s="178">
        <v>12000.0</v>
      </c>
      <c r="H1985" s="179">
        <v>7677.0</v>
      </c>
      <c r="I1985" s="17">
        <f t="shared" ref="I1985:I2150" si="63">G1985-H1985</f>
        <v>4323</v>
      </c>
      <c r="J1985" s="17" t="s">
        <v>1</v>
      </c>
      <c r="K1985" s="321"/>
      <c r="L1985" s="321"/>
      <c r="M1985" s="321"/>
      <c r="N1985" s="321"/>
      <c r="O1985" s="321"/>
      <c r="P1985" s="321"/>
      <c r="Q1985" s="321"/>
      <c r="R1985" s="321"/>
      <c r="S1985" s="321"/>
      <c r="T1985" s="321"/>
      <c r="U1985" s="321"/>
      <c r="V1985" s="321"/>
      <c r="W1985" s="321"/>
      <c r="X1985" s="321"/>
      <c r="Y1985" s="321"/>
      <c r="Z1985" s="321"/>
    </row>
    <row r="1986" ht="33.75" customHeight="1">
      <c r="A1986" s="11" t="s">
        <v>2741</v>
      </c>
      <c r="B1986" s="22" t="s">
        <v>530</v>
      </c>
      <c r="C1986" s="66" t="s">
        <v>2742</v>
      </c>
      <c r="D1986" s="348"/>
      <c r="E1986" s="64">
        <v>46091.0</v>
      </c>
      <c r="F1986" s="14" t="s">
        <v>1133</v>
      </c>
      <c r="G1986" s="178">
        <v>10000.0</v>
      </c>
      <c r="H1986" s="16">
        <v>9155.0</v>
      </c>
      <c r="I1986" s="17">
        <f t="shared" si="63"/>
        <v>845</v>
      </c>
      <c r="J1986" s="17" t="s">
        <v>1</v>
      </c>
      <c r="K1986" s="330"/>
      <c r="L1986" s="330"/>
      <c r="M1986" s="330"/>
      <c r="N1986" s="330"/>
      <c r="O1986" s="330"/>
      <c r="P1986" s="330"/>
      <c r="Q1986" s="330"/>
      <c r="R1986" s="330"/>
      <c r="S1986" s="330"/>
      <c r="T1986" s="330"/>
      <c r="U1986" s="330"/>
      <c r="V1986" s="330"/>
      <c r="W1986" s="330"/>
      <c r="X1986" s="330"/>
      <c r="Y1986" s="330"/>
      <c r="Z1986" s="330"/>
    </row>
    <row r="1987" ht="33.75" customHeight="1">
      <c r="A1987" s="11" t="s">
        <v>1587</v>
      </c>
      <c r="B1987" s="22" t="s">
        <v>125</v>
      </c>
      <c r="C1987" s="11" t="s">
        <v>2743</v>
      </c>
      <c r="D1987" s="36"/>
      <c r="E1987" s="64">
        <v>46092.0</v>
      </c>
      <c r="F1987" s="14" t="s">
        <v>287</v>
      </c>
      <c r="G1987" s="178">
        <v>48085.0</v>
      </c>
      <c r="H1987" s="16">
        <v>33235.0</v>
      </c>
      <c r="I1987" s="17">
        <f t="shared" si="63"/>
        <v>14850</v>
      </c>
      <c r="J1987" s="39" t="s">
        <v>1</v>
      </c>
      <c r="K1987" s="330"/>
      <c r="L1987" s="330"/>
      <c r="M1987" s="330"/>
      <c r="N1987" s="330"/>
      <c r="O1987" s="330"/>
      <c r="P1987" s="330"/>
      <c r="Q1987" s="330"/>
      <c r="R1987" s="330"/>
      <c r="S1987" s="330"/>
      <c r="T1987" s="330"/>
      <c r="U1987" s="330"/>
      <c r="V1987" s="330"/>
      <c r="W1987" s="330"/>
      <c r="X1987" s="330"/>
      <c r="Y1987" s="330"/>
      <c r="Z1987" s="330"/>
    </row>
    <row r="1988" ht="33.75" customHeight="1">
      <c r="A1988" s="11" t="s">
        <v>1587</v>
      </c>
      <c r="B1988" s="22" t="s">
        <v>161</v>
      </c>
      <c r="C1988" s="11" t="s">
        <v>2744</v>
      </c>
      <c r="D1988" s="36"/>
      <c r="E1988" s="64">
        <v>46092.0</v>
      </c>
      <c r="F1988" s="14" t="s">
        <v>287</v>
      </c>
      <c r="G1988" s="178">
        <v>48090.0</v>
      </c>
      <c r="H1988" s="16">
        <v>35247.0</v>
      </c>
      <c r="I1988" s="17">
        <f t="shared" si="63"/>
        <v>12843</v>
      </c>
      <c r="J1988" s="39" t="s">
        <v>1</v>
      </c>
      <c r="K1988" s="330"/>
      <c r="L1988" s="330"/>
      <c r="M1988" s="330"/>
      <c r="N1988" s="330"/>
      <c r="O1988" s="330"/>
      <c r="P1988" s="330"/>
      <c r="Q1988" s="330"/>
      <c r="R1988" s="330"/>
      <c r="S1988" s="330"/>
      <c r="T1988" s="330"/>
      <c r="U1988" s="330"/>
      <c r="V1988" s="330"/>
      <c r="W1988" s="330"/>
      <c r="X1988" s="330"/>
      <c r="Y1988" s="330"/>
      <c r="Z1988" s="330"/>
    </row>
    <row r="1989" ht="33.75" customHeight="1">
      <c r="A1989" s="11" t="s">
        <v>1987</v>
      </c>
      <c r="B1989" s="22" t="s">
        <v>530</v>
      </c>
      <c r="C1989" s="11" t="s">
        <v>2481</v>
      </c>
      <c r="D1989" s="74">
        <v>1.64198899360608E15</v>
      </c>
      <c r="E1989" s="76">
        <v>46092.0</v>
      </c>
      <c r="F1989" s="14" t="s">
        <v>1191</v>
      </c>
      <c r="G1989" s="28"/>
      <c r="H1989" s="178">
        <v>16914.0</v>
      </c>
      <c r="I1989" s="17">
        <f t="shared" si="63"/>
        <v>-16914</v>
      </c>
      <c r="J1989" s="17" t="s">
        <v>1</v>
      </c>
      <c r="K1989" s="330"/>
      <c r="L1989" s="330"/>
      <c r="M1989" s="330"/>
      <c r="N1989" s="330"/>
      <c r="O1989" s="330"/>
      <c r="P1989" s="330"/>
      <c r="Q1989" s="330"/>
      <c r="R1989" s="330"/>
      <c r="S1989" s="330"/>
      <c r="T1989" s="330"/>
      <c r="U1989" s="330"/>
      <c r="V1989" s="330"/>
      <c r="W1989" s="330"/>
      <c r="X1989" s="330"/>
      <c r="Y1989" s="330"/>
      <c r="Z1989" s="330"/>
    </row>
    <row r="1990" ht="33.75" customHeight="1">
      <c r="A1990" s="11" t="s">
        <v>2745</v>
      </c>
      <c r="B1990" s="22" t="s">
        <v>15</v>
      </c>
      <c r="C1990" s="11" t="s">
        <v>2746</v>
      </c>
      <c r="D1990" s="11">
        <v>9.28754553006322E14</v>
      </c>
      <c r="E1990" s="76">
        <v>46092.0</v>
      </c>
      <c r="F1990" s="14" t="s">
        <v>287</v>
      </c>
      <c r="G1990" s="178">
        <v>12657.0</v>
      </c>
      <c r="H1990" s="16">
        <v>9132.0</v>
      </c>
      <c r="I1990" s="17">
        <f t="shared" si="63"/>
        <v>3525</v>
      </c>
      <c r="J1990" s="39" t="s">
        <v>1</v>
      </c>
      <c r="K1990" s="330"/>
      <c r="L1990" s="330"/>
      <c r="M1990" s="330"/>
      <c r="N1990" s="330"/>
      <c r="O1990" s="330"/>
      <c r="P1990" s="330"/>
      <c r="Q1990" s="330"/>
      <c r="R1990" s="330"/>
      <c r="S1990" s="330"/>
      <c r="T1990" s="330"/>
      <c r="U1990" s="330"/>
      <c r="V1990" s="330"/>
      <c r="W1990" s="330"/>
      <c r="X1990" s="330"/>
      <c r="Y1990" s="330"/>
      <c r="Z1990" s="330"/>
    </row>
    <row r="1991" ht="33.75" customHeight="1">
      <c r="A1991" s="11" t="s">
        <v>959</v>
      </c>
      <c r="B1991" s="22" t="s">
        <v>34</v>
      </c>
      <c r="C1991" s="11" t="s">
        <v>2314</v>
      </c>
      <c r="D1991" s="11" t="s">
        <v>2315</v>
      </c>
      <c r="E1991" s="76">
        <v>46092.0</v>
      </c>
      <c r="F1991" s="14" t="s">
        <v>17</v>
      </c>
      <c r="G1991" s="178">
        <v>32503.0</v>
      </c>
      <c r="H1991" s="16">
        <v>29891.0</v>
      </c>
      <c r="I1991" s="17">
        <f t="shared" si="63"/>
        <v>2612</v>
      </c>
      <c r="J1991" s="17" t="s">
        <v>1</v>
      </c>
      <c r="K1991" s="330"/>
      <c r="L1991" s="330"/>
      <c r="M1991" s="330"/>
      <c r="N1991" s="330"/>
      <c r="O1991" s="330"/>
      <c r="P1991" s="330"/>
      <c r="Q1991" s="330"/>
      <c r="R1991" s="330"/>
      <c r="S1991" s="330"/>
      <c r="T1991" s="330"/>
      <c r="U1991" s="330"/>
      <c r="V1991" s="330"/>
      <c r="W1991" s="330"/>
      <c r="X1991" s="330"/>
      <c r="Y1991" s="330"/>
      <c r="Z1991" s="330"/>
    </row>
    <row r="1992" ht="33.75" customHeight="1">
      <c r="A1992" s="11" t="s">
        <v>469</v>
      </c>
      <c r="B1992" s="22" t="s">
        <v>15</v>
      </c>
      <c r="C1992" s="11" t="s">
        <v>2438</v>
      </c>
      <c r="D1992" s="36"/>
      <c r="E1992" s="76">
        <v>46092.0</v>
      </c>
      <c r="F1992" s="14" t="s">
        <v>17</v>
      </c>
      <c r="G1992" s="178">
        <v>10000.0</v>
      </c>
      <c r="H1992" s="16">
        <v>8523.0</v>
      </c>
      <c r="I1992" s="17">
        <f t="shared" si="63"/>
        <v>1477</v>
      </c>
      <c r="J1992" s="17" t="s">
        <v>1</v>
      </c>
      <c r="K1992" s="330"/>
      <c r="L1992" s="330"/>
      <c r="M1992" s="330"/>
      <c r="N1992" s="330"/>
      <c r="O1992" s="330"/>
      <c r="P1992" s="330"/>
      <c r="Q1992" s="330"/>
      <c r="R1992" s="330"/>
      <c r="S1992" s="330"/>
      <c r="T1992" s="330"/>
      <c r="U1992" s="330"/>
      <c r="V1992" s="330"/>
      <c r="W1992" s="330"/>
      <c r="X1992" s="330"/>
      <c r="Y1992" s="330"/>
      <c r="Z1992" s="330"/>
    </row>
    <row r="1993" ht="33.75" customHeight="1">
      <c r="A1993" s="44"/>
      <c r="B1993" s="331"/>
      <c r="C1993" s="44"/>
      <c r="D1993" s="322"/>
      <c r="E1993" s="307"/>
      <c r="F1993" s="46"/>
      <c r="G1993" s="47"/>
      <c r="H1993" s="309"/>
      <c r="I1993" s="249">
        <f t="shared" si="63"/>
        <v>0</v>
      </c>
      <c r="J1993" s="330"/>
      <c r="K1993" s="330"/>
      <c r="L1993" s="330"/>
      <c r="M1993" s="330"/>
      <c r="N1993" s="330"/>
      <c r="O1993" s="330"/>
      <c r="P1993" s="330"/>
      <c r="Q1993" s="330"/>
      <c r="R1993" s="330"/>
      <c r="S1993" s="330"/>
      <c r="T1993" s="330"/>
      <c r="U1993" s="330"/>
      <c r="V1993" s="330"/>
      <c r="W1993" s="330"/>
      <c r="X1993" s="330"/>
      <c r="Y1993" s="330"/>
      <c r="Z1993" s="330"/>
    </row>
    <row r="1994" ht="33.75" customHeight="1">
      <c r="A1994" s="11" t="s">
        <v>1451</v>
      </c>
      <c r="B1994" s="22" t="s">
        <v>1011</v>
      </c>
      <c r="C1994" s="11" t="s">
        <v>2747</v>
      </c>
      <c r="D1994" s="11" t="s">
        <v>2748</v>
      </c>
      <c r="E1994" s="64">
        <v>46093.0</v>
      </c>
      <c r="F1994" s="14" t="s">
        <v>1191</v>
      </c>
      <c r="G1994" s="15"/>
      <c r="H1994" s="16">
        <v>902.0</v>
      </c>
      <c r="I1994" s="17">
        <f t="shared" si="63"/>
        <v>-902</v>
      </c>
      <c r="J1994" s="17" t="s">
        <v>1</v>
      </c>
      <c r="K1994" s="252"/>
      <c r="L1994" s="252"/>
      <c r="M1994" s="252"/>
      <c r="N1994" s="252"/>
      <c r="O1994" s="252"/>
      <c r="P1994" s="252"/>
      <c r="Q1994" s="252"/>
      <c r="R1994" s="252"/>
      <c r="S1994" s="252"/>
      <c r="T1994" s="252"/>
      <c r="U1994" s="252"/>
      <c r="V1994" s="252"/>
      <c r="W1994" s="252"/>
      <c r="X1994" s="252"/>
      <c r="Y1994" s="252"/>
      <c r="Z1994" s="252"/>
    </row>
    <row r="1995" ht="33.75" customHeight="1">
      <c r="A1995" s="11" t="s">
        <v>1314</v>
      </c>
      <c r="B1995" s="22" t="s">
        <v>49</v>
      </c>
      <c r="C1995" s="11" t="s">
        <v>2322</v>
      </c>
      <c r="D1995" s="11" t="s">
        <v>2323</v>
      </c>
      <c r="E1995" s="76">
        <v>46093.0</v>
      </c>
      <c r="F1995" s="14" t="s">
        <v>1191</v>
      </c>
      <c r="G1995" s="15"/>
      <c r="H1995" s="16">
        <v>1661.0</v>
      </c>
      <c r="I1995" s="17">
        <f t="shared" si="63"/>
        <v>-1661</v>
      </c>
      <c r="J1995" s="17" t="s">
        <v>1</v>
      </c>
      <c r="K1995" s="252"/>
      <c r="L1995" s="252"/>
      <c r="M1995" s="252"/>
      <c r="N1995" s="252"/>
      <c r="O1995" s="252"/>
      <c r="P1995" s="252"/>
      <c r="Q1995" s="252"/>
      <c r="R1995" s="252"/>
      <c r="S1995" s="252"/>
      <c r="T1995" s="252"/>
      <c r="U1995" s="252"/>
      <c r="V1995" s="252"/>
      <c r="W1995" s="252"/>
      <c r="X1995" s="252"/>
      <c r="Y1995" s="252"/>
      <c r="Z1995" s="252"/>
    </row>
    <row r="1996" ht="33.75" customHeight="1">
      <c r="A1996" s="11" t="s">
        <v>1865</v>
      </c>
      <c r="B1996" s="22" t="s">
        <v>49</v>
      </c>
      <c r="C1996" s="11" t="s">
        <v>2749</v>
      </c>
      <c r="D1996" s="11">
        <v>8.12156518572526E14</v>
      </c>
      <c r="E1996" s="76">
        <v>46093.0</v>
      </c>
      <c r="F1996" s="14" t="s">
        <v>1141</v>
      </c>
      <c r="G1996" s="15" t="s">
        <v>2750</v>
      </c>
      <c r="H1996" s="16">
        <v>45247.0</v>
      </c>
      <c r="I1996" s="17">
        <f t="shared" si="63"/>
        <v>6378</v>
      </c>
      <c r="J1996" s="17" t="s">
        <v>1</v>
      </c>
      <c r="K1996" s="252"/>
      <c r="L1996" s="252"/>
      <c r="M1996" s="252"/>
      <c r="N1996" s="252"/>
      <c r="O1996" s="252"/>
      <c r="P1996" s="252"/>
      <c r="Q1996" s="252"/>
      <c r="R1996" s="252"/>
      <c r="S1996" s="252"/>
      <c r="T1996" s="252"/>
      <c r="U1996" s="252"/>
      <c r="V1996" s="252"/>
      <c r="W1996" s="252"/>
      <c r="X1996" s="252"/>
      <c r="Y1996" s="252"/>
      <c r="Z1996" s="252"/>
    </row>
    <row r="1997" ht="33.75" customHeight="1">
      <c r="A1997" s="11" t="s">
        <v>28</v>
      </c>
      <c r="B1997" s="22" t="s">
        <v>81</v>
      </c>
      <c r="C1997" s="11" t="s">
        <v>2736</v>
      </c>
      <c r="D1997" s="36"/>
      <c r="E1997" s="64">
        <v>46093.0</v>
      </c>
      <c r="F1997" s="14" t="s">
        <v>17</v>
      </c>
      <c r="G1997" s="178">
        <v>11000.0</v>
      </c>
      <c r="H1997" s="16">
        <v>9231.0</v>
      </c>
      <c r="I1997" s="17">
        <f t="shared" si="63"/>
        <v>1769</v>
      </c>
      <c r="J1997" s="17" t="s">
        <v>1</v>
      </c>
      <c r="K1997" s="321"/>
      <c r="L1997" s="321"/>
      <c r="M1997" s="321"/>
      <c r="N1997" s="321"/>
      <c r="O1997" s="321"/>
      <c r="P1997" s="321"/>
      <c r="Q1997" s="321"/>
      <c r="R1997" s="321"/>
      <c r="S1997" s="321"/>
      <c r="T1997" s="321"/>
      <c r="U1997" s="321"/>
      <c r="V1997" s="321"/>
      <c r="W1997" s="321"/>
      <c r="X1997" s="321"/>
      <c r="Y1997" s="321"/>
      <c r="Z1997" s="321"/>
    </row>
    <row r="1998" ht="33.75" customHeight="1">
      <c r="A1998" s="11" t="s">
        <v>2647</v>
      </c>
      <c r="B1998" s="22" t="s">
        <v>81</v>
      </c>
      <c r="C1998" s="11" t="s">
        <v>2751</v>
      </c>
      <c r="D1998" s="11">
        <v>7.73532835808218E14</v>
      </c>
      <c r="E1998" s="76">
        <v>46093.0</v>
      </c>
      <c r="F1998" s="14" t="s">
        <v>1133</v>
      </c>
      <c r="G1998" s="178">
        <v>5000.0</v>
      </c>
      <c r="H1998" s="16">
        <v>2395.0</v>
      </c>
      <c r="I1998" s="17">
        <f t="shared" si="63"/>
        <v>2605</v>
      </c>
      <c r="J1998" s="17" t="s">
        <v>1</v>
      </c>
      <c r="K1998" s="330"/>
      <c r="L1998" s="330"/>
      <c r="M1998" s="330"/>
      <c r="N1998" s="330"/>
      <c r="O1998" s="330"/>
      <c r="P1998" s="330"/>
      <c r="Q1998" s="330"/>
      <c r="R1998" s="330"/>
      <c r="S1998" s="330"/>
      <c r="T1998" s="330"/>
      <c r="U1998" s="330"/>
      <c r="V1998" s="330"/>
      <c r="W1998" s="330"/>
      <c r="X1998" s="330"/>
      <c r="Y1998" s="330"/>
      <c r="Z1998" s="330"/>
    </row>
    <row r="1999" ht="33.75" customHeight="1">
      <c r="A1999" s="11" t="s">
        <v>2658</v>
      </c>
      <c r="B1999" s="22" t="s">
        <v>81</v>
      </c>
      <c r="C1999" s="11" t="s">
        <v>2751</v>
      </c>
      <c r="D1999" s="11">
        <v>7.73532835808218E14</v>
      </c>
      <c r="E1999" s="76">
        <v>46093.0</v>
      </c>
      <c r="F1999" s="14" t="s">
        <v>1133</v>
      </c>
      <c r="G1999" s="178">
        <v>5000.0</v>
      </c>
      <c r="H1999" s="16">
        <v>4083.0</v>
      </c>
      <c r="I1999" s="17">
        <f t="shared" si="63"/>
        <v>917</v>
      </c>
      <c r="J1999" s="17" t="s">
        <v>1</v>
      </c>
      <c r="K1999" s="330"/>
      <c r="L1999" s="330"/>
      <c r="M1999" s="330"/>
      <c r="N1999" s="330"/>
      <c r="O1999" s="330"/>
      <c r="P1999" s="330"/>
      <c r="Q1999" s="330"/>
      <c r="R1999" s="330"/>
      <c r="S1999" s="330"/>
      <c r="T1999" s="330"/>
      <c r="U1999" s="330"/>
      <c r="V1999" s="330"/>
      <c r="W1999" s="330"/>
      <c r="X1999" s="330"/>
      <c r="Y1999" s="330"/>
      <c r="Z1999" s="330"/>
    </row>
    <row r="2000" ht="33.75" customHeight="1">
      <c r="A2000" s="11" t="s">
        <v>2752</v>
      </c>
      <c r="B2000" s="22" t="s">
        <v>81</v>
      </c>
      <c r="C2000" s="11" t="s">
        <v>2751</v>
      </c>
      <c r="D2000" s="11">
        <v>7.73532835808218E14</v>
      </c>
      <c r="E2000" s="76">
        <v>46093.0</v>
      </c>
      <c r="F2000" s="14" t="s">
        <v>1133</v>
      </c>
      <c r="G2000" s="178">
        <v>5000.0</v>
      </c>
      <c r="H2000" s="16">
        <v>2635.0</v>
      </c>
      <c r="I2000" s="17">
        <f t="shared" si="63"/>
        <v>2365</v>
      </c>
      <c r="J2000" s="17" t="s">
        <v>1</v>
      </c>
      <c r="K2000" s="330"/>
      <c r="L2000" s="330"/>
      <c r="M2000" s="330"/>
      <c r="N2000" s="330"/>
      <c r="O2000" s="330"/>
      <c r="P2000" s="330"/>
      <c r="Q2000" s="330"/>
      <c r="R2000" s="330"/>
      <c r="S2000" s="330"/>
      <c r="T2000" s="330"/>
      <c r="U2000" s="330"/>
      <c r="V2000" s="330"/>
      <c r="W2000" s="330"/>
      <c r="X2000" s="330"/>
      <c r="Y2000" s="330"/>
      <c r="Z2000" s="330"/>
    </row>
    <row r="2001" ht="33.75" customHeight="1">
      <c r="A2001" s="11" t="s">
        <v>2753</v>
      </c>
      <c r="B2001" s="22" t="s">
        <v>81</v>
      </c>
      <c r="C2001" s="11" t="s">
        <v>2751</v>
      </c>
      <c r="D2001" s="11">
        <v>7.73532835808218E14</v>
      </c>
      <c r="E2001" s="76">
        <v>46093.0</v>
      </c>
      <c r="F2001" s="14" t="s">
        <v>1133</v>
      </c>
      <c r="G2001" s="178">
        <v>5000.0</v>
      </c>
      <c r="H2001" s="16">
        <v>2840.0</v>
      </c>
      <c r="I2001" s="17">
        <f t="shared" si="63"/>
        <v>2160</v>
      </c>
      <c r="J2001" s="17" t="s">
        <v>1</v>
      </c>
      <c r="K2001" s="330"/>
      <c r="L2001" s="330"/>
      <c r="M2001" s="330"/>
      <c r="N2001" s="330"/>
      <c r="O2001" s="330"/>
      <c r="P2001" s="330"/>
      <c r="Q2001" s="330"/>
      <c r="R2001" s="330"/>
      <c r="S2001" s="330"/>
      <c r="T2001" s="330"/>
      <c r="U2001" s="330"/>
      <c r="V2001" s="330"/>
      <c r="W2001" s="330"/>
      <c r="X2001" s="330"/>
      <c r="Y2001" s="330"/>
      <c r="Z2001" s="330"/>
    </row>
    <row r="2002" ht="33.75" customHeight="1">
      <c r="A2002" s="11" t="s">
        <v>2640</v>
      </c>
      <c r="B2002" s="22" t="s">
        <v>81</v>
      </c>
      <c r="C2002" s="11" t="s">
        <v>2751</v>
      </c>
      <c r="D2002" s="11">
        <v>7.73532835808218E14</v>
      </c>
      <c r="E2002" s="76">
        <v>46093.0</v>
      </c>
      <c r="F2002" s="14" t="s">
        <v>1133</v>
      </c>
      <c r="G2002" s="178">
        <v>8000.0</v>
      </c>
      <c r="H2002" s="28">
        <f>3771+3857</f>
        <v>7628</v>
      </c>
      <c r="I2002" s="17">
        <f t="shared" si="63"/>
        <v>372</v>
      </c>
      <c r="J2002" s="17" t="s">
        <v>1</v>
      </c>
      <c r="K2002" s="330"/>
      <c r="L2002" s="330"/>
      <c r="M2002" s="330"/>
      <c r="N2002" s="330"/>
      <c r="O2002" s="330"/>
      <c r="P2002" s="330"/>
      <c r="Q2002" s="330"/>
      <c r="R2002" s="330"/>
      <c r="S2002" s="330"/>
      <c r="T2002" s="330"/>
      <c r="U2002" s="330"/>
      <c r="V2002" s="330"/>
      <c r="W2002" s="330"/>
      <c r="X2002" s="330"/>
      <c r="Y2002" s="330"/>
      <c r="Z2002" s="330"/>
    </row>
    <row r="2003" ht="33.75" customHeight="1">
      <c r="A2003" s="11" t="s">
        <v>2754</v>
      </c>
      <c r="B2003" s="22" t="s">
        <v>81</v>
      </c>
      <c r="C2003" s="11" t="s">
        <v>2751</v>
      </c>
      <c r="D2003" s="11">
        <v>7.73532835808218E14</v>
      </c>
      <c r="E2003" s="76">
        <v>46093.0</v>
      </c>
      <c r="F2003" s="14" t="s">
        <v>1133</v>
      </c>
      <c r="G2003" s="178">
        <v>12000.0</v>
      </c>
      <c r="H2003" s="28">
        <f>4284+3525
</f>
        <v>7809</v>
      </c>
      <c r="I2003" s="17">
        <f t="shared" si="63"/>
        <v>4191</v>
      </c>
      <c r="J2003" s="17" t="s">
        <v>1</v>
      </c>
      <c r="K2003" s="330"/>
      <c r="L2003" s="330"/>
      <c r="M2003" s="330"/>
      <c r="N2003" s="330"/>
      <c r="O2003" s="330"/>
      <c r="P2003" s="330"/>
      <c r="Q2003" s="330"/>
      <c r="R2003" s="330"/>
      <c r="S2003" s="330"/>
      <c r="T2003" s="330"/>
      <c r="U2003" s="330"/>
      <c r="V2003" s="330"/>
      <c r="W2003" s="330"/>
      <c r="X2003" s="330"/>
      <c r="Y2003" s="330"/>
      <c r="Z2003" s="330"/>
    </row>
    <row r="2004" ht="33.75" customHeight="1">
      <c r="A2004" s="11" t="s">
        <v>2661</v>
      </c>
      <c r="B2004" s="22" t="s">
        <v>81</v>
      </c>
      <c r="C2004" s="11" t="s">
        <v>2755</v>
      </c>
      <c r="D2004" s="11">
        <v>7.73532835808218E14</v>
      </c>
      <c r="E2004" s="76">
        <v>46093.0</v>
      </c>
      <c r="F2004" s="14" t="s">
        <v>1133</v>
      </c>
      <c r="G2004" s="178">
        <v>39000.0</v>
      </c>
      <c r="H2004" s="28">
        <f>4389+4460+4584+4146</f>
        <v>17579</v>
      </c>
      <c r="I2004" s="17">
        <f t="shared" si="63"/>
        <v>21421</v>
      </c>
      <c r="J2004" s="17" t="s">
        <v>1</v>
      </c>
      <c r="K2004" s="330"/>
      <c r="L2004" s="330"/>
      <c r="M2004" s="330"/>
      <c r="N2004" s="330"/>
      <c r="O2004" s="330"/>
      <c r="P2004" s="330"/>
      <c r="Q2004" s="330"/>
      <c r="R2004" s="330"/>
      <c r="S2004" s="330"/>
      <c r="T2004" s="330"/>
      <c r="U2004" s="330"/>
      <c r="V2004" s="330"/>
      <c r="W2004" s="330"/>
      <c r="X2004" s="330"/>
      <c r="Y2004" s="330"/>
      <c r="Z2004" s="330"/>
    </row>
    <row r="2005" ht="33.75" customHeight="1">
      <c r="A2005" s="11" t="s">
        <v>2641</v>
      </c>
      <c r="B2005" s="22" t="s">
        <v>81</v>
      </c>
      <c r="C2005" s="11" t="s">
        <v>2755</v>
      </c>
      <c r="D2005" s="11">
        <v>7.73532835808218E14</v>
      </c>
      <c r="E2005" s="76">
        <v>46093.0</v>
      </c>
      <c r="F2005" s="14" t="s">
        <v>1133</v>
      </c>
      <c r="G2005" s="178">
        <v>8000.0</v>
      </c>
      <c r="H2005" s="28">
        <f>1241+3612</f>
        <v>4853</v>
      </c>
      <c r="I2005" s="17">
        <f t="shared" si="63"/>
        <v>3147</v>
      </c>
      <c r="J2005" s="17" t="s">
        <v>1</v>
      </c>
      <c r="K2005" s="330"/>
      <c r="L2005" s="330"/>
      <c r="M2005" s="330"/>
      <c r="N2005" s="330"/>
      <c r="O2005" s="330"/>
      <c r="P2005" s="330"/>
      <c r="Q2005" s="330"/>
      <c r="R2005" s="330"/>
      <c r="S2005" s="330"/>
      <c r="T2005" s="330"/>
      <c r="U2005" s="330"/>
      <c r="V2005" s="330"/>
      <c r="W2005" s="330"/>
      <c r="X2005" s="330"/>
      <c r="Y2005" s="330"/>
      <c r="Z2005" s="330"/>
    </row>
    <row r="2006" ht="33.75" customHeight="1">
      <c r="A2006" s="11" t="s">
        <v>2756</v>
      </c>
      <c r="B2006" s="22" t="s">
        <v>81</v>
      </c>
      <c r="C2006" s="11" t="s">
        <v>2755</v>
      </c>
      <c r="D2006" s="11">
        <v>7.73532835808218E14</v>
      </c>
      <c r="E2006" s="76">
        <v>46093.0</v>
      </c>
      <c r="F2006" s="14" t="s">
        <v>1133</v>
      </c>
      <c r="G2006" s="178">
        <v>5000.0</v>
      </c>
      <c r="H2006" s="16">
        <v>3363.0</v>
      </c>
      <c r="I2006" s="17">
        <f t="shared" si="63"/>
        <v>1637</v>
      </c>
      <c r="J2006" s="17" t="s">
        <v>1</v>
      </c>
      <c r="K2006" s="330"/>
      <c r="L2006" s="330"/>
      <c r="M2006" s="330"/>
      <c r="N2006" s="330"/>
      <c r="O2006" s="330"/>
      <c r="P2006" s="330"/>
      <c r="Q2006" s="330"/>
      <c r="R2006" s="330"/>
      <c r="S2006" s="330"/>
      <c r="T2006" s="330"/>
      <c r="U2006" s="330"/>
      <c r="V2006" s="330"/>
      <c r="W2006" s="330"/>
      <c r="X2006" s="330"/>
      <c r="Y2006" s="330"/>
      <c r="Z2006" s="330"/>
    </row>
    <row r="2007" ht="33.75" customHeight="1">
      <c r="A2007" s="11" t="s">
        <v>2757</v>
      </c>
      <c r="B2007" s="22" t="s">
        <v>81</v>
      </c>
      <c r="C2007" s="11" t="s">
        <v>2755</v>
      </c>
      <c r="D2007" s="11">
        <v>7.73532835808218E14</v>
      </c>
      <c r="E2007" s="76">
        <v>46093.0</v>
      </c>
      <c r="F2007" s="14" t="s">
        <v>1133</v>
      </c>
      <c r="G2007" s="178">
        <v>8000.0</v>
      </c>
      <c r="H2007" s="28">
        <f>2790+2790</f>
        <v>5580</v>
      </c>
      <c r="I2007" s="17">
        <f t="shared" si="63"/>
        <v>2420</v>
      </c>
      <c r="J2007" s="17" t="s">
        <v>1</v>
      </c>
      <c r="K2007" s="330"/>
      <c r="L2007" s="330"/>
      <c r="M2007" s="330"/>
      <c r="N2007" s="330"/>
      <c r="O2007" s="330"/>
      <c r="P2007" s="330"/>
      <c r="Q2007" s="330"/>
      <c r="R2007" s="330"/>
      <c r="S2007" s="330"/>
      <c r="T2007" s="330"/>
      <c r="U2007" s="330"/>
      <c r="V2007" s="330"/>
      <c r="W2007" s="330"/>
      <c r="X2007" s="330"/>
      <c r="Y2007" s="330"/>
      <c r="Z2007" s="330"/>
    </row>
    <row r="2008" ht="33.75" customHeight="1">
      <c r="A2008" s="11" t="s">
        <v>2758</v>
      </c>
      <c r="B2008" s="22" t="s">
        <v>81</v>
      </c>
      <c r="C2008" s="11" t="s">
        <v>2755</v>
      </c>
      <c r="D2008" s="11">
        <v>7.73532835808218E14</v>
      </c>
      <c r="E2008" s="76">
        <v>46093.0</v>
      </c>
      <c r="F2008" s="14" t="s">
        <v>1133</v>
      </c>
      <c r="G2008" s="178">
        <v>8000.0</v>
      </c>
      <c r="H2008" s="28">
        <f>2317+1817</f>
        <v>4134</v>
      </c>
      <c r="I2008" s="17">
        <f t="shared" si="63"/>
        <v>3866</v>
      </c>
      <c r="J2008" s="17" t="s">
        <v>1</v>
      </c>
      <c r="K2008" s="330"/>
      <c r="L2008" s="330"/>
      <c r="M2008" s="330"/>
      <c r="N2008" s="330"/>
      <c r="O2008" s="330"/>
      <c r="P2008" s="330"/>
      <c r="Q2008" s="330"/>
      <c r="R2008" s="330"/>
      <c r="S2008" s="330"/>
      <c r="T2008" s="330"/>
      <c r="U2008" s="330"/>
      <c r="V2008" s="330"/>
      <c r="W2008" s="330"/>
      <c r="X2008" s="330"/>
      <c r="Y2008" s="330"/>
      <c r="Z2008" s="330"/>
    </row>
    <row r="2009" ht="33.75" customHeight="1">
      <c r="A2009" s="11" t="s">
        <v>2759</v>
      </c>
      <c r="B2009" s="22" t="s">
        <v>81</v>
      </c>
      <c r="C2009" s="11" t="s">
        <v>2760</v>
      </c>
      <c r="D2009" s="11">
        <v>9.05060345588772E14</v>
      </c>
      <c r="E2009" s="76">
        <v>46093.0</v>
      </c>
      <c r="F2009" s="14" t="s">
        <v>1133</v>
      </c>
      <c r="G2009" s="178">
        <v>12000.0</v>
      </c>
      <c r="H2009" s="28">
        <f>4529
+3703</f>
        <v>8232</v>
      </c>
      <c r="I2009" s="17">
        <f t="shared" si="63"/>
        <v>3768</v>
      </c>
      <c r="J2009" s="17" t="s">
        <v>1</v>
      </c>
      <c r="K2009" s="330"/>
      <c r="L2009" s="330"/>
      <c r="M2009" s="330"/>
      <c r="N2009" s="330"/>
      <c r="O2009" s="330"/>
      <c r="P2009" s="330"/>
      <c r="Q2009" s="330"/>
      <c r="R2009" s="330"/>
      <c r="S2009" s="330"/>
      <c r="T2009" s="330"/>
      <c r="U2009" s="330"/>
      <c r="V2009" s="330"/>
      <c r="W2009" s="330"/>
      <c r="X2009" s="330"/>
      <c r="Y2009" s="330"/>
      <c r="Z2009" s="330"/>
    </row>
    <row r="2010" ht="33.75" customHeight="1">
      <c r="A2010" s="11" t="s">
        <v>2761</v>
      </c>
      <c r="B2010" s="22" t="s">
        <v>81</v>
      </c>
      <c r="C2010" s="11" t="s">
        <v>2760</v>
      </c>
      <c r="D2010" s="11">
        <v>9.05060345588772E14</v>
      </c>
      <c r="E2010" s="76">
        <v>46093.0</v>
      </c>
      <c r="F2010" s="14" t="s">
        <v>1133</v>
      </c>
      <c r="G2010" s="178">
        <v>5000.0</v>
      </c>
      <c r="H2010" s="16">
        <v>4462.0</v>
      </c>
      <c r="I2010" s="17">
        <f t="shared" si="63"/>
        <v>538</v>
      </c>
      <c r="J2010" s="17" t="s">
        <v>1</v>
      </c>
      <c r="K2010" s="330"/>
      <c r="L2010" s="330"/>
      <c r="M2010" s="330"/>
      <c r="N2010" s="330"/>
      <c r="O2010" s="330"/>
      <c r="P2010" s="330"/>
      <c r="Q2010" s="330"/>
      <c r="R2010" s="330"/>
      <c r="S2010" s="330"/>
      <c r="T2010" s="330"/>
      <c r="U2010" s="330"/>
      <c r="V2010" s="330"/>
      <c r="W2010" s="330"/>
      <c r="X2010" s="330"/>
      <c r="Y2010" s="330"/>
      <c r="Z2010" s="330"/>
    </row>
    <row r="2011" ht="33.75" customHeight="1">
      <c r="A2011" s="11" t="s">
        <v>2409</v>
      </c>
      <c r="B2011" s="22" t="s">
        <v>81</v>
      </c>
      <c r="C2011" s="11" t="s">
        <v>2760</v>
      </c>
      <c r="D2011" s="11">
        <v>9.05060345588772E14</v>
      </c>
      <c r="E2011" s="76">
        <v>46093.0</v>
      </c>
      <c r="F2011" s="14" t="s">
        <v>1133</v>
      </c>
      <c r="G2011" s="178">
        <v>5000.0</v>
      </c>
      <c r="H2011" s="16">
        <v>3365.0</v>
      </c>
      <c r="I2011" s="17">
        <f t="shared" si="63"/>
        <v>1635</v>
      </c>
      <c r="J2011" s="17" t="s">
        <v>1</v>
      </c>
      <c r="K2011" s="330"/>
      <c r="L2011" s="330"/>
      <c r="M2011" s="330"/>
      <c r="N2011" s="330"/>
      <c r="O2011" s="330"/>
      <c r="P2011" s="330"/>
      <c r="Q2011" s="330"/>
      <c r="R2011" s="330"/>
      <c r="S2011" s="330"/>
      <c r="T2011" s="330"/>
      <c r="U2011" s="330"/>
      <c r="V2011" s="330"/>
      <c r="W2011" s="330"/>
      <c r="X2011" s="330"/>
      <c r="Y2011" s="330"/>
      <c r="Z2011" s="330"/>
    </row>
    <row r="2012" ht="33.75" customHeight="1">
      <c r="A2012" s="11" t="s">
        <v>2762</v>
      </c>
      <c r="B2012" s="22" t="s">
        <v>81</v>
      </c>
      <c r="C2012" s="11" t="s">
        <v>2760</v>
      </c>
      <c r="D2012" s="11">
        <v>9.05060345588772E14</v>
      </c>
      <c r="E2012" s="76">
        <v>46093.0</v>
      </c>
      <c r="F2012" s="14" t="s">
        <v>1133</v>
      </c>
      <c r="G2012" s="178">
        <v>5000.0</v>
      </c>
      <c r="H2012" s="16">
        <v>3262.0</v>
      </c>
      <c r="I2012" s="17">
        <f t="shared" si="63"/>
        <v>1738</v>
      </c>
      <c r="J2012" s="17" t="s">
        <v>1</v>
      </c>
      <c r="K2012" s="330"/>
      <c r="L2012" s="330"/>
      <c r="M2012" s="330"/>
      <c r="N2012" s="330"/>
      <c r="O2012" s="330"/>
      <c r="P2012" s="330"/>
      <c r="Q2012" s="330"/>
      <c r="R2012" s="330"/>
      <c r="S2012" s="330"/>
      <c r="T2012" s="330"/>
      <c r="U2012" s="330"/>
      <c r="V2012" s="330"/>
      <c r="W2012" s="330"/>
      <c r="X2012" s="330"/>
      <c r="Y2012" s="330"/>
      <c r="Z2012" s="330"/>
    </row>
    <row r="2013" ht="33.75" customHeight="1">
      <c r="A2013" s="11" t="s">
        <v>2763</v>
      </c>
      <c r="B2013" s="22" t="s">
        <v>81</v>
      </c>
      <c r="C2013" s="11" t="s">
        <v>2760</v>
      </c>
      <c r="D2013" s="11">
        <v>9.05060345588772E14</v>
      </c>
      <c r="E2013" s="76">
        <v>46093.0</v>
      </c>
      <c r="F2013" s="14" t="s">
        <v>1133</v>
      </c>
      <c r="G2013" s="178">
        <v>12000.0</v>
      </c>
      <c r="H2013" s="28">
        <f>4290+3983</f>
        <v>8273</v>
      </c>
      <c r="I2013" s="17">
        <f t="shared" si="63"/>
        <v>3727</v>
      </c>
      <c r="J2013" s="17" t="s">
        <v>1</v>
      </c>
      <c r="K2013" s="330"/>
      <c r="L2013" s="330"/>
      <c r="M2013" s="330"/>
      <c r="N2013" s="330"/>
      <c r="O2013" s="330"/>
      <c r="P2013" s="330"/>
      <c r="Q2013" s="330"/>
      <c r="R2013" s="330"/>
      <c r="S2013" s="330"/>
      <c r="T2013" s="330"/>
      <c r="U2013" s="330"/>
      <c r="V2013" s="330"/>
      <c r="W2013" s="330"/>
      <c r="X2013" s="330"/>
      <c r="Y2013" s="330"/>
      <c r="Z2013" s="330"/>
    </row>
    <row r="2014" ht="33.75" customHeight="1">
      <c r="A2014" s="11" t="s">
        <v>2764</v>
      </c>
      <c r="B2014" s="22" t="s">
        <v>81</v>
      </c>
      <c r="C2014" s="11" t="s">
        <v>2760</v>
      </c>
      <c r="D2014" s="11">
        <v>9.05060345588772E14</v>
      </c>
      <c r="E2014" s="76">
        <v>46093.0</v>
      </c>
      <c r="F2014" s="14" t="s">
        <v>1133</v>
      </c>
      <c r="G2014" s="178">
        <v>12000.0</v>
      </c>
      <c r="H2014" s="28">
        <f>3985+4086</f>
        <v>8071</v>
      </c>
      <c r="I2014" s="17">
        <f t="shared" si="63"/>
        <v>3929</v>
      </c>
      <c r="J2014" s="17" t="s">
        <v>1</v>
      </c>
      <c r="K2014" s="330"/>
      <c r="L2014" s="330"/>
      <c r="M2014" s="330"/>
      <c r="N2014" s="330"/>
      <c r="O2014" s="330"/>
      <c r="P2014" s="330"/>
      <c r="Q2014" s="330"/>
      <c r="R2014" s="330"/>
      <c r="S2014" s="330"/>
      <c r="T2014" s="330"/>
      <c r="U2014" s="330"/>
      <c r="V2014" s="330"/>
      <c r="W2014" s="330"/>
      <c r="X2014" s="330"/>
      <c r="Y2014" s="330"/>
      <c r="Z2014" s="330"/>
    </row>
    <row r="2015" ht="33.75" customHeight="1">
      <c r="A2015" s="11" t="s">
        <v>2223</v>
      </c>
      <c r="B2015" s="22" t="s">
        <v>81</v>
      </c>
      <c r="C2015" s="11" t="s">
        <v>2765</v>
      </c>
      <c r="D2015" s="11">
        <v>9.11120394631047E14</v>
      </c>
      <c r="E2015" s="76">
        <v>46093.0</v>
      </c>
      <c r="F2015" s="14" t="s">
        <v>1133</v>
      </c>
      <c r="G2015" s="178">
        <v>5000.0</v>
      </c>
      <c r="H2015" s="16">
        <v>2631.0</v>
      </c>
      <c r="I2015" s="17">
        <f t="shared" si="63"/>
        <v>2369</v>
      </c>
      <c r="J2015" s="17" t="s">
        <v>1</v>
      </c>
      <c r="K2015" s="330"/>
      <c r="L2015" s="330"/>
      <c r="M2015" s="330"/>
      <c r="N2015" s="330"/>
      <c r="O2015" s="330"/>
      <c r="P2015" s="330"/>
      <c r="Q2015" s="330"/>
      <c r="R2015" s="330"/>
      <c r="S2015" s="330"/>
      <c r="T2015" s="330"/>
      <c r="U2015" s="330"/>
      <c r="V2015" s="330"/>
      <c r="W2015" s="330"/>
      <c r="X2015" s="330"/>
      <c r="Y2015" s="330"/>
      <c r="Z2015" s="330"/>
    </row>
    <row r="2016" ht="33.75" customHeight="1">
      <c r="A2016" s="11" t="s">
        <v>2225</v>
      </c>
      <c r="B2016" s="22" t="s">
        <v>81</v>
      </c>
      <c r="C2016" s="11" t="s">
        <v>2765</v>
      </c>
      <c r="D2016" s="11">
        <v>9.11120394631047E14</v>
      </c>
      <c r="E2016" s="76">
        <v>46093.0</v>
      </c>
      <c r="F2016" s="14" t="s">
        <v>1133</v>
      </c>
      <c r="G2016" s="178">
        <v>5000.0</v>
      </c>
      <c r="H2016" s="16">
        <v>2880.0</v>
      </c>
      <c r="I2016" s="17">
        <f t="shared" si="63"/>
        <v>2120</v>
      </c>
      <c r="J2016" s="17" t="s">
        <v>1</v>
      </c>
      <c r="K2016" s="330"/>
      <c r="L2016" s="330"/>
      <c r="M2016" s="330"/>
      <c r="N2016" s="330"/>
      <c r="O2016" s="330"/>
      <c r="P2016" s="330"/>
      <c r="Q2016" s="330"/>
      <c r="R2016" s="330"/>
      <c r="S2016" s="330"/>
      <c r="T2016" s="330"/>
      <c r="U2016" s="330"/>
      <c r="V2016" s="330"/>
      <c r="W2016" s="330"/>
      <c r="X2016" s="330"/>
      <c r="Y2016" s="330"/>
      <c r="Z2016" s="330"/>
    </row>
    <row r="2017" ht="33.75" customHeight="1">
      <c r="A2017" s="11" t="s">
        <v>2657</v>
      </c>
      <c r="B2017" s="22" t="s">
        <v>81</v>
      </c>
      <c r="C2017" s="11" t="s">
        <v>2765</v>
      </c>
      <c r="D2017" s="11">
        <v>9.11120394631047E14</v>
      </c>
      <c r="E2017" s="76">
        <v>46093.0</v>
      </c>
      <c r="F2017" s="14" t="s">
        <v>1133</v>
      </c>
      <c r="G2017" s="178">
        <v>5000.0</v>
      </c>
      <c r="H2017" s="16">
        <v>2413.0</v>
      </c>
      <c r="I2017" s="17">
        <f t="shared" si="63"/>
        <v>2587</v>
      </c>
      <c r="J2017" s="17" t="s">
        <v>1</v>
      </c>
      <c r="K2017" s="330"/>
      <c r="L2017" s="330"/>
      <c r="M2017" s="330"/>
      <c r="N2017" s="330"/>
      <c r="O2017" s="330"/>
      <c r="P2017" s="330"/>
      <c r="Q2017" s="330"/>
      <c r="R2017" s="330"/>
      <c r="S2017" s="330"/>
      <c r="T2017" s="330"/>
      <c r="U2017" s="330"/>
      <c r="V2017" s="330"/>
      <c r="W2017" s="330"/>
      <c r="X2017" s="330"/>
      <c r="Y2017" s="330"/>
      <c r="Z2017" s="330"/>
    </row>
    <row r="2018" ht="33.75" customHeight="1">
      <c r="A2018" s="11" t="s">
        <v>2766</v>
      </c>
      <c r="B2018" s="22" t="s">
        <v>81</v>
      </c>
      <c r="C2018" s="11" t="s">
        <v>2765</v>
      </c>
      <c r="D2018" s="11">
        <v>9.11120394631047E14</v>
      </c>
      <c r="E2018" s="76">
        <v>46093.0</v>
      </c>
      <c r="F2018" s="14" t="s">
        <v>1133</v>
      </c>
      <c r="G2018" s="178">
        <v>5000.0</v>
      </c>
      <c r="H2018" s="16">
        <v>2883.0</v>
      </c>
      <c r="I2018" s="17">
        <f t="shared" si="63"/>
        <v>2117</v>
      </c>
      <c r="J2018" s="17" t="s">
        <v>1</v>
      </c>
      <c r="K2018" s="330"/>
      <c r="L2018" s="330"/>
      <c r="M2018" s="330"/>
      <c r="N2018" s="330"/>
      <c r="O2018" s="330"/>
      <c r="P2018" s="330"/>
      <c r="Q2018" s="330"/>
      <c r="R2018" s="330"/>
      <c r="S2018" s="330"/>
      <c r="T2018" s="330"/>
      <c r="U2018" s="330"/>
      <c r="V2018" s="330"/>
      <c r="W2018" s="330"/>
      <c r="X2018" s="330"/>
      <c r="Y2018" s="330"/>
      <c r="Z2018" s="330"/>
    </row>
    <row r="2019" ht="33.75" customHeight="1">
      <c r="A2019" s="11" t="s">
        <v>1116</v>
      </c>
      <c r="B2019" s="22" t="s">
        <v>81</v>
      </c>
      <c r="C2019" s="11" t="s">
        <v>2765</v>
      </c>
      <c r="D2019" s="11">
        <v>9.11120394631047E14</v>
      </c>
      <c r="E2019" s="76">
        <v>46093.0</v>
      </c>
      <c r="F2019" s="14" t="s">
        <v>1133</v>
      </c>
      <c r="G2019" s="178">
        <v>13000.0</v>
      </c>
      <c r="H2019" s="28">
        <f>5382+5385</f>
        <v>10767</v>
      </c>
      <c r="I2019" s="17">
        <f t="shared" si="63"/>
        <v>2233</v>
      </c>
      <c r="J2019" s="17" t="s">
        <v>1</v>
      </c>
      <c r="K2019" s="330"/>
      <c r="L2019" s="330"/>
      <c r="M2019" s="330"/>
      <c r="N2019" s="330"/>
      <c r="O2019" s="330"/>
      <c r="P2019" s="330"/>
      <c r="Q2019" s="330"/>
      <c r="R2019" s="330"/>
      <c r="S2019" s="330"/>
      <c r="T2019" s="330"/>
      <c r="U2019" s="330"/>
      <c r="V2019" s="330"/>
      <c r="W2019" s="330"/>
      <c r="X2019" s="330"/>
      <c r="Y2019" s="330"/>
      <c r="Z2019" s="330"/>
    </row>
    <row r="2020" ht="33.75" customHeight="1">
      <c r="A2020" s="11" t="s">
        <v>693</v>
      </c>
      <c r="B2020" s="22" t="s">
        <v>81</v>
      </c>
      <c r="C2020" s="11" t="s">
        <v>2765</v>
      </c>
      <c r="D2020" s="11">
        <v>9.11120394631047E14</v>
      </c>
      <c r="E2020" s="76">
        <v>46093.0</v>
      </c>
      <c r="F2020" s="14" t="s">
        <v>1133</v>
      </c>
      <c r="G2020" s="178">
        <v>12000.0</v>
      </c>
      <c r="H2020" s="28">
        <f>5521+5441</f>
        <v>10962</v>
      </c>
      <c r="I2020" s="17">
        <f t="shared" si="63"/>
        <v>1038</v>
      </c>
      <c r="J2020" s="17" t="s">
        <v>1</v>
      </c>
      <c r="K2020" s="330"/>
      <c r="L2020" s="330"/>
      <c r="M2020" s="330"/>
      <c r="N2020" s="330"/>
      <c r="O2020" s="330"/>
      <c r="P2020" s="330"/>
      <c r="Q2020" s="330"/>
      <c r="R2020" s="330"/>
      <c r="S2020" s="330"/>
      <c r="T2020" s="330"/>
      <c r="U2020" s="330"/>
      <c r="V2020" s="330"/>
      <c r="W2020" s="330"/>
      <c r="X2020" s="330"/>
      <c r="Y2020" s="330"/>
      <c r="Z2020" s="330"/>
    </row>
    <row r="2021" ht="33.75" customHeight="1">
      <c r="A2021" s="11" t="s">
        <v>695</v>
      </c>
      <c r="B2021" s="22" t="s">
        <v>81</v>
      </c>
      <c r="C2021" s="11" t="s">
        <v>2767</v>
      </c>
      <c r="D2021" s="11">
        <v>9.11120394631047E14</v>
      </c>
      <c r="E2021" s="76">
        <v>46093.0</v>
      </c>
      <c r="F2021" s="14" t="s">
        <v>1133</v>
      </c>
      <c r="G2021" s="178">
        <v>13000.0</v>
      </c>
      <c r="H2021" s="28">
        <f>4284+5686</f>
        <v>9970</v>
      </c>
      <c r="I2021" s="17">
        <f t="shared" si="63"/>
        <v>3030</v>
      </c>
      <c r="J2021" s="17" t="s">
        <v>1</v>
      </c>
      <c r="K2021" s="330"/>
      <c r="L2021" s="330"/>
      <c r="M2021" s="330"/>
      <c r="N2021" s="330"/>
      <c r="O2021" s="330"/>
      <c r="P2021" s="330"/>
      <c r="Q2021" s="330"/>
      <c r="R2021" s="330"/>
      <c r="S2021" s="330"/>
      <c r="T2021" s="330"/>
      <c r="U2021" s="330"/>
      <c r="V2021" s="330"/>
      <c r="W2021" s="330"/>
      <c r="X2021" s="330"/>
      <c r="Y2021" s="330"/>
      <c r="Z2021" s="330"/>
    </row>
    <row r="2022" ht="33.75" customHeight="1">
      <c r="A2022" s="11" t="s">
        <v>667</v>
      </c>
      <c r="B2022" s="22" t="s">
        <v>81</v>
      </c>
      <c r="C2022" s="11" t="s">
        <v>2767</v>
      </c>
      <c r="D2022" s="11">
        <v>9.11120394631047E14</v>
      </c>
      <c r="E2022" s="76">
        <v>46093.0</v>
      </c>
      <c r="F2022" s="14" t="s">
        <v>1133</v>
      </c>
      <c r="G2022" s="178">
        <v>15000.0</v>
      </c>
      <c r="H2022" s="28">
        <f>4914+5308</f>
        <v>10222</v>
      </c>
      <c r="I2022" s="17">
        <f t="shared" si="63"/>
        <v>4778</v>
      </c>
      <c r="J2022" s="17" t="s">
        <v>1</v>
      </c>
      <c r="K2022" s="330"/>
      <c r="L2022" s="330"/>
      <c r="M2022" s="330"/>
      <c r="N2022" s="330"/>
      <c r="O2022" s="330"/>
      <c r="P2022" s="330"/>
      <c r="Q2022" s="330"/>
      <c r="R2022" s="330"/>
      <c r="S2022" s="330"/>
      <c r="T2022" s="330"/>
      <c r="U2022" s="330"/>
      <c r="V2022" s="330"/>
      <c r="W2022" s="330"/>
      <c r="X2022" s="330"/>
      <c r="Y2022" s="330"/>
      <c r="Z2022" s="330"/>
    </row>
    <row r="2023" ht="33.75" customHeight="1">
      <c r="A2023" s="11" t="s">
        <v>2768</v>
      </c>
      <c r="B2023" s="22" t="s">
        <v>81</v>
      </c>
      <c r="C2023" s="11" t="s">
        <v>2767</v>
      </c>
      <c r="D2023" s="11">
        <v>9.11120394631047E14</v>
      </c>
      <c r="E2023" s="76">
        <v>46093.0</v>
      </c>
      <c r="F2023" s="14" t="s">
        <v>1133</v>
      </c>
      <c r="G2023" s="178">
        <v>10000.0</v>
      </c>
      <c r="H2023" s="28">
        <f>4368+4386</f>
        <v>8754</v>
      </c>
      <c r="I2023" s="17">
        <f t="shared" si="63"/>
        <v>1246</v>
      </c>
      <c r="J2023" s="17" t="s">
        <v>1</v>
      </c>
      <c r="K2023" s="330"/>
      <c r="L2023" s="330"/>
      <c r="M2023" s="330"/>
      <c r="N2023" s="330"/>
      <c r="O2023" s="330"/>
      <c r="P2023" s="330"/>
      <c r="Q2023" s="330"/>
      <c r="R2023" s="330"/>
      <c r="S2023" s="330"/>
      <c r="T2023" s="330"/>
      <c r="U2023" s="330"/>
      <c r="V2023" s="330"/>
      <c r="W2023" s="330"/>
      <c r="X2023" s="330"/>
      <c r="Y2023" s="330"/>
      <c r="Z2023" s="330"/>
    </row>
    <row r="2024" ht="33.75" customHeight="1">
      <c r="A2024" s="11" t="s">
        <v>2769</v>
      </c>
      <c r="B2024" s="22" t="s">
        <v>81</v>
      </c>
      <c r="C2024" s="11" t="s">
        <v>2767</v>
      </c>
      <c r="D2024" s="11">
        <v>9.11120394631047E14</v>
      </c>
      <c r="E2024" s="76">
        <v>46093.0</v>
      </c>
      <c r="F2024" s="14" t="s">
        <v>1133</v>
      </c>
      <c r="G2024" s="178">
        <v>5000.0</v>
      </c>
      <c r="H2024" s="16">
        <v>3402.0</v>
      </c>
      <c r="I2024" s="17">
        <f t="shared" si="63"/>
        <v>1598</v>
      </c>
      <c r="J2024" s="17" t="s">
        <v>1</v>
      </c>
      <c r="K2024" s="330"/>
      <c r="L2024" s="330"/>
      <c r="M2024" s="330"/>
      <c r="N2024" s="330"/>
      <c r="O2024" s="330"/>
      <c r="P2024" s="330"/>
      <c r="Q2024" s="330"/>
      <c r="R2024" s="330"/>
      <c r="S2024" s="330"/>
      <c r="T2024" s="330"/>
      <c r="U2024" s="330"/>
      <c r="V2024" s="330"/>
      <c r="W2024" s="330"/>
      <c r="X2024" s="330"/>
      <c r="Y2024" s="330"/>
      <c r="Z2024" s="330"/>
    </row>
    <row r="2025" ht="33.75" customHeight="1">
      <c r="A2025" s="11" t="s">
        <v>2770</v>
      </c>
      <c r="B2025" s="22" t="s">
        <v>81</v>
      </c>
      <c r="C2025" s="11" t="s">
        <v>2767</v>
      </c>
      <c r="D2025" s="11">
        <v>9.11120394631047E14</v>
      </c>
      <c r="E2025" s="76">
        <v>46093.0</v>
      </c>
      <c r="F2025" s="14" t="s">
        <v>1133</v>
      </c>
      <c r="G2025" s="178">
        <v>3937.0</v>
      </c>
      <c r="H2025" s="16">
        <v>3782.0</v>
      </c>
      <c r="I2025" s="17">
        <f t="shared" si="63"/>
        <v>155</v>
      </c>
      <c r="J2025" s="17" t="s">
        <v>1</v>
      </c>
      <c r="K2025" s="330"/>
      <c r="L2025" s="330"/>
      <c r="M2025" s="330"/>
      <c r="N2025" s="330"/>
      <c r="O2025" s="330"/>
      <c r="P2025" s="330"/>
      <c r="Q2025" s="330"/>
      <c r="R2025" s="330"/>
      <c r="S2025" s="330"/>
      <c r="T2025" s="330"/>
      <c r="U2025" s="330"/>
      <c r="V2025" s="330"/>
      <c r="W2025" s="330"/>
      <c r="X2025" s="330"/>
      <c r="Y2025" s="330"/>
      <c r="Z2025" s="330"/>
    </row>
    <row r="2026" ht="33.75" customHeight="1">
      <c r="A2026" s="11" t="s">
        <v>1904</v>
      </c>
      <c r="B2026" s="22" t="s">
        <v>81</v>
      </c>
      <c r="C2026" s="11" t="s">
        <v>2771</v>
      </c>
      <c r="D2026" s="11">
        <v>9.55927666933973E14</v>
      </c>
      <c r="E2026" s="76">
        <v>46093.0</v>
      </c>
      <c r="F2026" s="14" t="s">
        <v>1133</v>
      </c>
      <c r="G2026" s="178">
        <v>13000.0</v>
      </c>
      <c r="H2026" s="28">
        <f>4638+3170</f>
        <v>7808</v>
      </c>
      <c r="I2026" s="17">
        <f t="shared" si="63"/>
        <v>5192</v>
      </c>
      <c r="J2026" s="17" t="s">
        <v>1</v>
      </c>
      <c r="K2026" s="330"/>
      <c r="L2026" s="330"/>
      <c r="M2026" s="330"/>
      <c r="N2026" s="330"/>
      <c r="O2026" s="330"/>
      <c r="P2026" s="330"/>
      <c r="Q2026" s="330"/>
      <c r="R2026" s="330"/>
      <c r="S2026" s="330"/>
      <c r="T2026" s="330"/>
      <c r="U2026" s="330"/>
      <c r="V2026" s="330"/>
      <c r="W2026" s="330"/>
      <c r="X2026" s="330"/>
      <c r="Y2026" s="330"/>
      <c r="Z2026" s="330"/>
    </row>
    <row r="2027" ht="33.75" customHeight="1">
      <c r="A2027" s="11" t="s">
        <v>1808</v>
      </c>
      <c r="B2027" s="22" t="s">
        <v>81</v>
      </c>
      <c r="C2027" s="11" t="s">
        <v>2771</v>
      </c>
      <c r="D2027" s="11">
        <v>9.55927666933973E14</v>
      </c>
      <c r="E2027" s="76">
        <v>46093.0</v>
      </c>
      <c r="F2027" s="14" t="s">
        <v>1133</v>
      </c>
      <c r="G2027" s="178">
        <v>6000.0</v>
      </c>
      <c r="H2027" s="16">
        <v>4581.0</v>
      </c>
      <c r="I2027" s="17">
        <f t="shared" si="63"/>
        <v>1419</v>
      </c>
      <c r="J2027" s="17" t="s">
        <v>1</v>
      </c>
      <c r="K2027" s="330"/>
      <c r="L2027" s="330"/>
      <c r="M2027" s="330"/>
      <c r="N2027" s="330"/>
      <c r="O2027" s="330"/>
      <c r="P2027" s="330"/>
      <c r="Q2027" s="330"/>
      <c r="R2027" s="330"/>
      <c r="S2027" s="330"/>
      <c r="T2027" s="330"/>
      <c r="U2027" s="330"/>
      <c r="V2027" s="330"/>
      <c r="W2027" s="330"/>
      <c r="X2027" s="330"/>
      <c r="Y2027" s="330"/>
      <c r="Z2027" s="330"/>
    </row>
    <row r="2028" ht="33.75" customHeight="1">
      <c r="A2028" s="11" t="s">
        <v>2772</v>
      </c>
      <c r="B2028" s="22" t="s">
        <v>81</v>
      </c>
      <c r="C2028" s="11" t="s">
        <v>2771</v>
      </c>
      <c r="D2028" s="11">
        <v>9.55927666933973E14</v>
      </c>
      <c r="E2028" s="76">
        <v>46093.0</v>
      </c>
      <c r="F2028" s="14" t="s">
        <v>1133</v>
      </c>
      <c r="G2028" s="178">
        <v>20000.0</v>
      </c>
      <c r="H2028" s="28">
        <f>5523+4971
</f>
        <v>10494</v>
      </c>
      <c r="I2028" s="17">
        <f t="shared" si="63"/>
        <v>9506</v>
      </c>
      <c r="J2028" s="17" t="s">
        <v>1</v>
      </c>
      <c r="K2028" s="330"/>
      <c r="L2028" s="330"/>
      <c r="M2028" s="330"/>
      <c r="N2028" s="330"/>
      <c r="O2028" s="330"/>
      <c r="P2028" s="330"/>
      <c r="Q2028" s="330"/>
      <c r="R2028" s="330"/>
      <c r="S2028" s="330"/>
      <c r="T2028" s="330"/>
      <c r="U2028" s="330"/>
      <c r="V2028" s="330"/>
      <c r="W2028" s="330"/>
      <c r="X2028" s="330"/>
      <c r="Y2028" s="330"/>
      <c r="Z2028" s="330"/>
    </row>
    <row r="2029" ht="33.75" customHeight="1">
      <c r="A2029" s="11" t="s">
        <v>2601</v>
      </c>
      <c r="B2029" s="22" t="s">
        <v>81</v>
      </c>
      <c r="C2029" s="11" t="s">
        <v>2771</v>
      </c>
      <c r="D2029" s="11">
        <v>9.55927666933973E14</v>
      </c>
      <c r="E2029" s="76">
        <v>46093.0</v>
      </c>
      <c r="F2029" s="14" t="s">
        <v>1133</v>
      </c>
      <c r="G2029" s="178">
        <v>5000.0</v>
      </c>
      <c r="H2029" s="16">
        <v>3376.0</v>
      </c>
      <c r="I2029" s="17">
        <f t="shared" si="63"/>
        <v>1624</v>
      </c>
      <c r="J2029" s="17" t="s">
        <v>1</v>
      </c>
      <c r="K2029" s="330"/>
      <c r="L2029" s="330"/>
      <c r="M2029" s="330"/>
      <c r="N2029" s="330"/>
      <c r="O2029" s="330"/>
      <c r="P2029" s="330"/>
      <c r="Q2029" s="330"/>
      <c r="R2029" s="330"/>
      <c r="S2029" s="330"/>
      <c r="T2029" s="330"/>
      <c r="U2029" s="330"/>
      <c r="V2029" s="330"/>
      <c r="W2029" s="330"/>
      <c r="X2029" s="330"/>
      <c r="Y2029" s="330"/>
      <c r="Z2029" s="330"/>
    </row>
    <row r="2030" ht="33.75" customHeight="1">
      <c r="A2030" s="11" t="s">
        <v>2773</v>
      </c>
      <c r="B2030" s="22" t="s">
        <v>81</v>
      </c>
      <c r="C2030" s="11" t="s">
        <v>2774</v>
      </c>
      <c r="D2030" s="11">
        <v>9.55927666933973E14</v>
      </c>
      <c r="E2030" s="76">
        <v>46093.0</v>
      </c>
      <c r="F2030" s="14" t="s">
        <v>1133</v>
      </c>
      <c r="G2030" s="178">
        <v>8000.0</v>
      </c>
      <c r="H2030" s="28">
        <f>2221+2223</f>
        <v>4444</v>
      </c>
      <c r="I2030" s="17">
        <f t="shared" si="63"/>
        <v>3556</v>
      </c>
      <c r="J2030" s="17" t="s">
        <v>1</v>
      </c>
      <c r="K2030" s="330"/>
      <c r="L2030" s="330"/>
      <c r="M2030" s="330"/>
      <c r="N2030" s="330"/>
      <c r="O2030" s="330"/>
      <c r="P2030" s="330"/>
      <c r="Q2030" s="330"/>
      <c r="R2030" s="330"/>
      <c r="S2030" s="330"/>
      <c r="T2030" s="330"/>
      <c r="U2030" s="330"/>
      <c r="V2030" s="330"/>
      <c r="W2030" s="330"/>
      <c r="X2030" s="330"/>
      <c r="Y2030" s="330"/>
      <c r="Z2030" s="330"/>
    </row>
    <row r="2031" ht="33.75" customHeight="1">
      <c r="A2031" s="11" t="s">
        <v>2265</v>
      </c>
      <c r="B2031" s="22" t="s">
        <v>81</v>
      </c>
      <c r="C2031" s="11" t="s">
        <v>2774</v>
      </c>
      <c r="D2031" s="11">
        <v>9.55927666933973E14</v>
      </c>
      <c r="E2031" s="76">
        <v>46093.0</v>
      </c>
      <c r="F2031" s="14" t="s">
        <v>1133</v>
      </c>
      <c r="G2031" s="178">
        <v>5000.0</v>
      </c>
      <c r="H2031" s="16">
        <v>3864.0</v>
      </c>
      <c r="I2031" s="17">
        <f t="shared" si="63"/>
        <v>1136</v>
      </c>
      <c r="J2031" s="17" t="s">
        <v>1</v>
      </c>
      <c r="K2031" s="330"/>
      <c r="L2031" s="330"/>
      <c r="M2031" s="330"/>
      <c r="N2031" s="330"/>
      <c r="O2031" s="330"/>
      <c r="P2031" s="330"/>
      <c r="Q2031" s="330"/>
      <c r="R2031" s="330"/>
      <c r="S2031" s="330"/>
      <c r="T2031" s="330"/>
      <c r="U2031" s="330"/>
      <c r="V2031" s="330"/>
      <c r="W2031" s="330"/>
      <c r="X2031" s="330"/>
      <c r="Y2031" s="330"/>
      <c r="Z2031" s="330"/>
    </row>
    <row r="2032" ht="33.75" customHeight="1">
      <c r="A2032" s="11" t="s">
        <v>2775</v>
      </c>
      <c r="B2032" s="22" t="s">
        <v>81</v>
      </c>
      <c r="C2032" s="11" t="s">
        <v>2774</v>
      </c>
      <c r="D2032" s="11">
        <v>9.55927666933973E14</v>
      </c>
      <c r="E2032" s="76">
        <v>46093.0</v>
      </c>
      <c r="F2032" s="14" t="s">
        <v>1133</v>
      </c>
      <c r="G2032" s="178">
        <v>5000.0</v>
      </c>
      <c r="H2032" s="16">
        <v>3862.0</v>
      </c>
      <c r="I2032" s="17">
        <f t="shared" si="63"/>
        <v>1138</v>
      </c>
      <c r="J2032" s="17" t="s">
        <v>1</v>
      </c>
      <c r="K2032" s="330"/>
      <c r="L2032" s="330"/>
      <c r="M2032" s="330"/>
      <c r="N2032" s="330"/>
      <c r="O2032" s="330"/>
      <c r="P2032" s="330"/>
      <c r="Q2032" s="330"/>
      <c r="R2032" s="330"/>
      <c r="S2032" s="330"/>
      <c r="T2032" s="330"/>
      <c r="U2032" s="330"/>
      <c r="V2032" s="330"/>
      <c r="W2032" s="330"/>
      <c r="X2032" s="330"/>
      <c r="Y2032" s="330"/>
      <c r="Z2032" s="330"/>
    </row>
    <row r="2033" ht="33.75" customHeight="1">
      <c r="A2033" s="11" t="s">
        <v>2460</v>
      </c>
      <c r="B2033" s="22" t="s">
        <v>81</v>
      </c>
      <c r="C2033" s="11" t="s">
        <v>2774</v>
      </c>
      <c r="D2033" s="11">
        <v>9.55927666933973E14</v>
      </c>
      <c r="E2033" s="76">
        <v>46093.0</v>
      </c>
      <c r="F2033" s="14" t="s">
        <v>1133</v>
      </c>
      <c r="G2033" s="178">
        <v>5000.0</v>
      </c>
      <c r="H2033" s="16">
        <v>4373.0</v>
      </c>
      <c r="I2033" s="17">
        <f t="shared" si="63"/>
        <v>627</v>
      </c>
      <c r="J2033" s="17" t="s">
        <v>1</v>
      </c>
      <c r="K2033" s="330"/>
      <c r="L2033" s="330"/>
      <c r="M2033" s="330"/>
      <c r="N2033" s="330"/>
      <c r="O2033" s="330"/>
      <c r="P2033" s="330"/>
      <c r="Q2033" s="330"/>
      <c r="R2033" s="330"/>
      <c r="S2033" s="330"/>
      <c r="T2033" s="330"/>
      <c r="U2033" s="330"/>
      <c r="V2033" s="330"/>
      <c r="W2033" s="330"/>
      <c r="X2033" s="330"/>
      <c r="Y2033" s="330"/>
      <c r="Z2033" s="330"/>
    </row>
    <row r="2034" ht="33.75" customHeight="1">
      <c r="A2034" s="11" t="s">
        <v>2367</v>
      </c>
      <c r="B2034" s="22" t="s">
        <v>81</v>
      </c>
      <c r="C2034" s="11" t="s">
        <v>2774</v>
      </c>
      <c r="D2034" s="11">
        <v>9.55927666933973E14</v>
      </c>
      <c r="E2034" s="76">
        <v>46093.0</v>
      </c>
      <c r="F2034" s="14" t="s">
        <v>1133</v>
      </c>
      <c r="G2034" s="178">
        <v>12000.0</v>
      </c>
      <c r="H2034" s="28">
        <f>4659+4982</f>
        <v>9641</v>
      </c>
      <c r="I2034" s="17">
        <f t="shared" si="63"/>
        <v>2359</v>
      </c>
      <c r="J2034" s="17" t="s">
        <v>1</v>
      </c>
      <c r="K2034" s="330"/>
      <c r="L2034" s="330"/>
      <c r="M2034" s="330"/>
      <c r="N2034" s="330"/>
      <c r="O2034" s="330"/>
      <c r="P2034" s="330"/>
      <c r="Q2034" s="330"/>
      <c r="R2034" s="330"/>
      <c r="S2034" s="330"/>
      <c r="T2034" s="330"/>
      <c r="U2034" s="330"/>
      <c r="V2034" s="330"/>
      <c r="W2034" s="330"/>
      <c r="X2034" s="330"/>
      <c r="Y2034" s="330"/>
      <c r="Z2034" s="330"/>
    </row>
    <row r="2035" ht="33.75" customHeight="1">
      <c r="A2035" s="11" t="s">
        <v>2776</v>
      </c>
      <c r="B2035" s="22"/>
      <c r="C2035" s="11" t="s">
        <v>2777</v>
      </c>
      <c r="D2035" s="11" t="s">
        <v>2778</v>
      </c>
      <c r="E2035" s="76">
        <v>46093.0</v>
      </c>
      <c r="F2035" s="14" t="s">
        <v>1133</v>
      </c>
      <c r="G2035" s="178">
        <v>20000.0</v>
      </c>
      <c r="H2035" s="28">
        <f>5436</f>
        <v>5436</v>
      </c>
      <c r="I2035" s="17">
        <f t="shared" si="63"/>
        <v>14564</v>
      </c>
      <c r="J2035" s="17" t="s">
        <v>1</v>
      </c>
      <c r="K2035" s="330"/>
      <c r="L2035" s="330"/>
      <c r="M2035" s="330"/>
      <c r="N2035" s="330"/>
      <c r="O2035" s="330"/>
      <c r="P2035" s="330"/>
      <c r="Q2035" s="330"/>
      <c r="R2035" s="330"/>
      <c r="S2035" s="330"/>
      <c r="T2035" s="330"/>
      <c r="U2035" s="330"/>
      <c r="V2035" s="330"/>
      <c r="W2035" s="330"/>
      <c r="X2035" s="330"/>
      <c r="Y2035" s="330"/>
      <c r="Z2035" s="330"/>
    </row>
    <row r="2036" ht="33.75" customHeight="1">
      <c r="A2036" s="11" t="s">
        <v>2779</v>
      </c>
      <c r="B2036" s="22"/>
      <c r="C2036" s="11" t="s">
        <v>2777</v>
      </c>
      <c r="D2036" s="11" t="s">
        <v>2778</v>
      </c>
      <c r="E2036" s="76">
        <v>46093.0</v>
      </c>
      <c r="F2036" s="14" t="s">
        <v>1133</v>
      </c>
      <c r="G2036" s="178">
        <v>27000.0</v>
      </c>
      <c r="H2036" s="28">
        <f>4251+4857+5474</f>
        <v>14582</v>
      </c>
      <c r="I2036" s="17">
        <f t="shared" si="63"/>
        <v>12418</v>
      </c>
      <c r="J2036" s="17" t="s">
        <v>1</v>
      </c>
      <c r="K2036" s="330"/>
      <c r="L2036" s="330"/>
      <c r="M2036" s="330"/>
      <c r="N2036" s="330"/>
      <c r="O2036" s="330"/>
      <c r="P2036" s="330"/>
      <c r="Q2036" s="330"/>
      <c r="R2036" s="330"/>
      <c r="S2036" s="330"/>
      <c r="T2036" s="330"/>
      <c r="U2036" s="330"/>
      <c r="V2036" s="330"/>
      <c r="W2036" s="330"/>
      <c r="X2036" s="330"/>
      <c r="Y2036" s="330"/>
      <c r="Z2036" s="330"/>
    </row>
    <row r="2037" ht="33.75" customHeight="1">
      <c r="A2037" s="11" t="s">
        <v>2780</v>
      </c>
      <c r="B2037" s="22"/>
      <c r="C2037" s="11" t="s">
        <v>2777</v>
      </c>
      <c r="D2037" s="11" t="s">
        <v>2778</v>
      </c>
      <c r="E2037" s="76">
        <v>46093.0</v>
      </c>
      <c r="F2037" s="14" t="s">
        <v>1133</v>
      </c>
      <c r="G2037" s="178">
        <v>10000.0</v>
      </c>
      <c r="H2037" s="16">
        <v>3702.0</v>
      </c>
      <c r="I2037" s="17">
        <f t="shared" si="63"/>
        <v>6298</v>
      </c>
      <c r="J2037" s="17" t="s">
        <v>1</v>
      </c>
      <c r="K2037" s="330"/>
      <c r="L2037" s="330"/>
      <c r="M2037" s="330"/>
      <c r="N2037" s="330"/>
      <c r="O2037" s="330"/>
      <c r="P2037" s="330"/>
      <c r="Q2037" s="330"/>
      <c r="R2037" s="330"/>
      <c r="S2037" s="330"/>
      <c r="T2037" s="330"/>
      <c r="U2037" s="330"/>
      <c r="V2037" s="330"/>
      <c r="W2037" s="330"/>
      <c r="X2037" s="330"/>
      <c r="Y2037" s="330"/>
      <c r="Z2037" s="330"/>
    </row>
    <row r="2038" ht="33.75" customHeight="1">
      <c r="A2038" s="11" t="s">
        <v>2745</v>
      </c>
      <c r="B2038" s="11"/>
      <c r="C2038" s="11" t="s">
        <v>2781</v>
      </c>
      <c r="D2038" s="11">
        <v>9.28754553006322E14</v>
      </c>
      <c r="E2038" s="11">
        <v>46093.0</v>
      </c>
      <c r="F2038" s="11" t="s">
        <v>1141</v>
      </c>
      <c r="G2038" s="11"/>
      <c r="H2038" s="11">
        <v>19724.0</v>
      </c>
      <c r="I2038" s="17">
        <f t="shared" si="63"/>
        <v>-19724</v>
      </c>
      <c r="J2038" s="11" t="s">
        <v>700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35"/>
      <c r="U2038" s="35"/>
      <c r="V2038" s="35"/>
      <c r="W2038" s="35"/>
      <c r="X2038" s="35"/>
      <c r="Y2038" s="35"/>
      <c r="Z2038" s="35"/>
    </row>
    <row r="2039" ht="33.75" customHeight="1">
      <c r="A2039" s="11" t="s">
        <v>2038</v>
      </c>
      <c r="B2039" s="22" t="s">
        <v>85</v>
      </c>
      <c r="C2039" s="33" t="s">
        <v>2731</v>
      </c>
      <c r="D2039" s="33">
        <v>7.48555344785532E14</v>
      </c>
      <c r="E2039" s="64">
        <v>46093.0</v>
      </c>
      <c r="F2039" s="14" t="s">
        <v>17</v>
      </c>
      <c r="G2039" s="178">
        <v>7608.0</v>
      </c>
      <c r="H2039" s="16">
        <v>7050.0</v>
      </c>
      <c r="I2039" s="17">
        <f t="shared" si="63"/>
        <v>558</v>
      </c>
      <c r="J2039" s="17" t="s">
        <v>1</v>
      </c>
      <c r="K2039" s="330"/>
      <c r="L2039" s="330"/>
      <c r="M2039" s="330"/>
      <c r="N2039" s="330"/>
      <c r="O2039" s="330"/>
      <c r="P2039" s="330"/>
      <c r="Q2039" s="330"/>
      <c r="R2039" s="330"/>
      <c r="S2039" s="330"/>
      <c r="T2039" s="330"/>
      <c r="U2039" s="330"/>
      <c r="V2039" s="330"/>
      <c r="W2039" s="330"/>
      <c r="X2039" s="330"/>
      <c r="Y2039" s="330"/>
      <c r="Z2039" s="330"/>
    </row>
    <row r="2040" ht="33.75" customHeight="1">
      <c r="A2040" s="11" t="s">
        <v>2038</v>
      </c>
      <c r="B2040" s="22" t="s">
        <v>85</v>
      </c>
      <c r="C2040" s="33" t="s">
        <v>2731</v>
      </c>
      <c r="D2040" s="33">
        <v>7.48555344785532E14</v>
      </c>
      <c r="E2040" s="64">
        <v>46093.0</v>
      </c>
      <c r="F2040" s="14" t="s">
        <v>17</v>
      </c>
      <c r="G2040" s="178">
        <v>5313.0</v>
      </c>
      <c r="H2040" s="16">
        <v>4717.0</v>
      </c>
      <c r="I2040" s="17">
        <f t="shared" si="63"/>
        <v>596</v>
      </c>
      <c r="J2040" s="17" t="s">
        <v>1</v>
      </c>
      <c r="K2040" s="330"/>
      <c r="L2040" s="330"/>
      <c r="M2040" s="330"/>
      <c r="N2040" s="330"/>
      <c r="O2040" s="330"/>
      <c r="P2040" s="330"/>
      <c r="Q2040" s="330"/>
      <c r="R2040" s="330"/>
      <c r="S2040" s="330"/>
      <c r="T2040" s="330"/>
      <c r="U2040" s="330"/>
      <c r="V2040" s="330"/>
      <c r="W2040" s="330"/>
      <c r="X2040" s="330"/>
      <c r="Y2040" s="330"/>
      <c r="Z2040" s="330"/>
    </row>
    <row r="2041" ht="33.75" customHeight="1">
      <c r="A2041" s="11" t="s">
        <v>210</v>
      </c>
      <c r="B2041" s="30" t="s">
        <v>88</v>
      </c>
      <c r="C2041" s="34" t="s">
        <v>1912</v>
      </c>
      <c r="D2041" s="349"/>
      <c r="E2041" s="78">
        <v>46093.0</v>
      </c>
      <c r="F2041" s="14" t="s">
        <v>17</v>
      </c>
      <c r="G2041" s="178">
        <v>10569.0</v>
      </c>
      <c r="H2041" s="16">
        <v>9400.0</v>
      </c>
      <c r="I2041" s="17">
        <f t="shared" si="63"/>
        <v>1169</v>
      </c>
      <c r="J2041" s="17" t="s">
        <v>1</v>
      </c>
      <c r="K2041" s="330"/>
      <c r="L2041" s="330"/>
      <c r="M2041" s="330"/>
      <c r="N2041" s="330"/>
      <c r="O2041" s="330"/>
      <c r="P2041" s="330"/>
      <c r="Q2041" s="330"/>
      <c r="R2041" s="330"/>
      <c r="S2041" s="330"/>
      <c r="T2041" s="330"/>
      <c r="U2041" s="330"/>
      <c r="V2041" s="330"/>
      <c r="W2041" s="330"/>
      <c r="X2041" s="330"/>
      <c r="Y2041" s="330"/>
      <c r="Z2041" s="330"/>
    </row>
    <row r="2042" ht="33.75" customHeight="1">
      <c r="A2042" s="11" t="s">
        <v>1389</v>
      </c>
      <c r="B2042" s="30" t="s">
        <v>2782</v>
      </c>
      <c r="C2042" s="34" t="s">
        <v>2783</v>
      </c>
      <c r="D2042" s="34" t="s">
        <v>2784</v>
      </c>
      <c r="E2042" s="78">
        <v>46093.0</v>
      </c>
      <c r="F2042" s="14" t="s">
        <v>17</v>
      </c>
      <c r="G2042" s="178">
        <v>85000.0</v>
      </c>
      <c r="H2042" s="16">
        <v>64442.0</v>
      </c>
      <c r="I2042" s="17">
        <f t="shared" si="63"/>
        <v>20558</v>
      </c>
      <c r="J2042" s="17" t="s">
        <v>1</v>
      </c>
      <c r="K2042" s="330"/>
      <c r="L2042" s="330"/>
      <c r="M2042" s="330"/>
      <c r="N2042" s="330"/>
      <c r="O2042" s="330"/>
      <c r="P2042" s="330"/>
      <c r="Q2042" s="330"/>
      <c r="R2042" s="330"/>
      <c r="S2042" s="330"/>
      <c r="T2042" s="330"/>
      <c r="U2042" s="330"/>
      <c r="V2042" s="330"/>
      <c r="W2042" s="330"/>
      <c r="X2042" s="330"/>
      <c r="Y2042" s="330"/>
      <c r="Z2042" s="330"/>
    </row>
    <row r="2043" ht="33.75" customHeight="1">
      <c r="A2043" s="11" t="s">
        <v>109</v>
      </c>
      <c r="B2043" s="30"/>
      <c r="C2043" s="34" t="s">
        <v>2420</v>
      </c>
      <c r="D2043" s="349"/>
      <c r="E2043" s="78">
        <v>46093.0</v>
      </c>
      <c r="F2043" s="14" t="s">
        <v>1141</v>
      </c>
      <c r="G2043" s="178"/>
      <c r="H2043" s="16">
        <v>2300.0</v>
      </c>
      <c r="I2043" s="17">
        <f t="shared" si="63"/>
        <v>-2300</v>
      </c>
      <c r="J2043" s="339" t="s">
        <v>700</v>
      </c>
      <c r="K2043" s="330"/>
      <c r="L2043" s="330"/>
      <c r="M2043" s="330"/>
      <c r="N2043" s="330"/>
      <c r="O2043" s="330"/>
      <c r="P2043" s="330"/>
      <c r="Q2043" s="330"/>
      <c r="R2043" s="330"/>
      <c r="S2043" s="330"/>
      <c r="T2043" s="330"/>
      <c r="U2043" s="330"/>
      <c r="V2043" s="330"/>
      <c r="W2043" s="330"/>
      <c r="X2043" s="330"/>
      <c r="Y2043" s="330"/>
      <c r="Z2043" s="330"/>
    </row>
    <row r="2044" ht="33.75" customHeight="1">
      <c r="A2044" s="11" t="s">
        <v>884</v>
      </c>
      <c r="B2044" s="22" t="s">
        <v>31</v>
      </c>
      <c r="C2044" s="33" t="s">
        <v>2317</v>
      </c>
      <c r="D2044" s="33"/>
      <c r="E2044" s="78">
        <v>46093.0</v>
      </c>
      <c r="F2044" s="14" t="s">
        <v>1191</v>
      </c>
      <c r="G2044" s="178">
        <v>50000.0</v>
      </c>
      <c r="H2044" s="16">
        <v>42396.0</v>
      </c>
      <c r="I2044" s="17">
        <f t="shared" si="63"/>
        <v>7604</v>
      </c>
      <c r="J2044" s="17" t="s">
        <v>1</v>
      </c>
      <c r="K2044" s="330"/>
      <c r="L2044" s="330"/>
      <c r="M2044" s="330"/>
      <c r="N2044" s="330"/>
      <c r="O2044" s="330"/>
      <c r="P2044" s="330"/>
      <c r="Q2044" s="330"/>
      <c r="R2044" s="330"/>
      <c r="S2044" s="330"/>
      <c r="T2044" s="330"/>
      <c r="U2044" s="330"/>
      <c r="V2044" s="330"/>
      <c r="W2044" s="330"/>
      <c r="X2044" s="330"/>
      <c r="Y2044" s="330"/>
      <c r="Z2044" s="330"/>
    </row>
    <row r="2045" ht="33.75" customHeight="1">
      <c r="A2045" s="11" t="s">
        <v>77</v>
      </c>
      <c r="B2045" s="22" t="s">
        <v>125</v>
      </c>
      <c r="C2045" s="11" t="s">
        <v>2709</v>
      </c>
      <c r="D2045" s="36"/>
      <c r="E2045" s="76">
        <v>46093.0</v>
      </c>
      <c r="F2045" s="14" t="s">
        <v>287</v>
      </c>
      <c r="G2045" s="178">
        <v>12000.0</v>
      </c>
      <c r="H2045" s="16">
        <v>8074.0</v>
      </c>
      <c r="I2045" s="17">
        <f t="shared" si="63"/>
        <v>3926</v>
      </c>
      <c r="J2045" s="25" t="s">
        <v>1</v>
      </c>
      <c r="K2045" s="330"/>
      <c r="L2045" s="330"/>
      <c r="M2045" s="330"/>
      <c r="N2045" s="330"/>
      <c r="O2045" s="330"/>
      <c r="P2045" s="330"/>
      <c r="Q2045" s="330"/>
      <c r="R2045" s="330"/>
      <c r="S2045" s="330"/>
      <c r="T2045" s="330"/>
      <c r="U2045" s="330"/>
      <c r="V2045" s="330"/>
      <c r="W2045" s="330"/>
      <c r="X2045" s="330"/>
      <c r="Y2045" s="330"/>
      <c r="Z2045" s="330"/>
    </row>
    <row r="2046" ht="33.75" customHeight="1">
      <c r="A2046" s="11" t="s">
        <v>1587</v>
      </c>
      <c r="B2046" s="22" t="s">
        <v>1627</v>
      </c>
      <c r="C2046" s="11" t="s">
        <v>2785</v>
      </c>
      <c r="D2046" s="36"/>
      <c r="E2046" s="76">
        <v>46093.0</v>
      </c>
      <c r="F2046" s="14" t="s">
        <v>287</v>
      </c>
      <c r="G2046" s="178">
        <v>35585.0</v>
      </c>
      <c r="H2046" s="16">
        <v>28395.0</v>
      </c>
      <c r="I2046" s="17">
        <f t="shared" si="63"/>
        <v>7190</v>
      </c>
      <c r="J2046" s="25" t="s">
        <v>1</v>
      </c>
      <c r="K2046" s="330"/>
      <c r="L2046" s="330"/>
      <c r="M2046" s="330"/>
      <c r="N2046" s="330"/>
      <c r="O2046" s="330"/>
      <c r="P2046" s="330"/>
      <c r="Q2046" s="330"/>
      <c r="R2046" s="330"/>
      <c r="S2046" s="330"/>
      <c r="T2046" s="330"/>
      <c r="U2046" s="330"/>
      <c r="V2046" s="330"/>
      <c r="W2046" s="330"/>
      <c r="X2046" s="330"/>
      <c r="Y2046" s="330"/>
      <c r="Z2046" s="330"/>
    </row>
    <row r="2047" ht="33.75" customHeight="1">
      <c r="A2047" s="11" t="s">
        <v>1587</v>
      </c>
      <c r="B2047" s="22" t="s">
        <v>2023</v>
      </c>
      <c r="C2047" s="11" t="s">
        <v>2786</v>
      </c>
      <c r="D2047" s="11">
        <v>9.14859061036376E14</v>
      </c>
      <c r="E2047" s="76">
        <v>46093.0</v>
      </c>
      <c r="F2047" s="14" t="s">
        <v>287</v>
      </c>
      <c r="G2047" s="178">
        <v>36001.0</v>
      </c>
      <c r="H2047" s="16">
        <v>29882.0</v>
      </c>
      <c r="I2047" s="17">
        <f t="shared" si="63"/>
        <v>6119</v>
      </c>
      <c r="J2047" s="25" t="s">
        <v>1</v>
      </c>
      <c r="K2047" s="330"/>
      <c r="L2047" s="330"/>
      <c r="M2047" s="330"/>
      <c r="N2047" s="330"/>
      <c r="O2047" s="330"/>
      <c r="P2047" s="330"/>
      <c r="Q2047" s="330"/>
      <c r="R2047" s="330"/>
      <c r="S2047" s="330"/>
      <c r="T2047" s="330"/>
      <c r="U2047" s="330"/>
      <c r="V2047" s="330"/>
      <c r="W2047" s="330"/>
      <c r="X2047" s="330"/>
      <c r="Y2047" s="330"/>
      <c r="Z2047" s="330"/>
    </row>
    <row r="2048" ht="33.75" customHeight="1">
      <c r="A2048" s="11" t="s">
        <v>1587</v>
      </c>
      <c r="B2048" s="22" t="s">
        <v>37</v>
      </c>
      <c r="C2048" s="11" t="s">
        <v>2787</v>
      </c>
      <c r="D2048" s="11" t="s">
        <v>2788</v>
      </c>
      <c r="E2048" s="76">
        <v>46093.0</v>
      </c>
      <c r="F2048" s="14" t="s">
        <v>287</v>
      </c>
      <c r="G2048" s="178">
        <v>36001.0</v>
      </c>
      <c r="H2048" s="16">
        <v>25753.0</v>
      </c>
      <c r="I2048" s="17">
        <f t="shared" si="63"/>
        <v>10248</v>
      </c>
      <c r="J2048" s="25" t="s">
        <v>1</v>
      </c>
      <c r="K2048" s="330"/>
      <c r="L2048" s="330"/>
      <c r="M2048" s="330"/>
      <c r="N2048" s="330"/>
      <c r="O2048" s="330"/>
      <c r="P2048" s="330"/>
      <c r="Q2048" s="330"/>
      <c r="R2048" s="330"/>
      <c r="S2048" s="330"/>
      <c r="T2048" s="330"/>
      <c r="U2048" s="330"/>
      <c r="V2048" s="330"/>
      <c r="W2048" s="330"/>
      <c r="X2048" s="330"/>
      <c r="Y2048" s="330"/>
      <c r="Z2048" s="330"/>
    </row>
    <row r="2049" ht="33.75" customHeight="1">
      <c r="A2049" s="11" t="s">
        <v>1587</v>
      </c>
      <c r="B2049" s="22" t="s">
        <v>1143</v>
      </c>
      <c r="C2049" s="11" t="s">
        <v>2789</v>
      </c>
      <c r="D2049" s="11" t="s">
        <v>2790</v>
      </c>
      <c r="E2049" s="76">
        <v>46093.0</v>
      </c>
      <c r="F2049" s="14" t="s">
        <v>287</v>
      </c>
      <c r="G2049" s="178">
        <v>36002.0</v>
      </c>
      <c r="H2049" s="16">
        <v>29111.0</v>
      </c>
      <c r="I2049" s="17">
        <f t="shared" si="63"/>
        <v>6891</v>
      </c>
      <c r="J2049" s="25" t="s">
        <v>1</v>
      </c>
      <c r="K2049" s="330"/>
      <c r="L2049" s="330"/>
      <c r="M2049" s="330"/>
      <c r="N2049" s="330"/>
      <c r="O2049" s="330"/>
      <c r="P2049" s="330"/>
      <c r="Q2049" s="330"/>
      <c r="R2049" s="330"/>
      <c r="S2049" s="330"/>
      <c r="T2049" s="330"/>
      <c r="U2049" s="330"/>
      <c r="V2049" s="330"/>
      <c r="W2049" s="330"/>
      <c r="X2049" s="330"/>
      <c r="Y2049" s="330"/>
      <c r="Z2049" s="330"/>
    </row>
    <row r="2050" ht="33.75" customHeight="1">
      <c r="A2050" s="11" t="s">
        <v>28</v>
      </c>
      <c r="B2050" s="22" t="s">
        <v>37</v>
      </c>
      <c r="C2050" s="11" t="s">
        <v>2736</v>
      </c>
      <c r="D2050" s="350"/>
      <c r="E2050" s="76">
        <v>46093.0</v>
      </c>
      <c r="F2050" s="14" t="s">
        <v>17</v>
      </c>
      <c r="G2050" s="178">
        <v>11999.0</v>
      </c>
      <c r="H2050" s="16">
        <v>19619.0</v>
      </c>
      <c r="I2050" s="17">
        <f t="shared" si="63"/>
        <v>-7620</v>
      </c>
      <c r="J2050" s="17" t="s">
        <v>1</v>
      </c>
      <c r="K2050" s="330"/>
      <c r="L2050" s="330"/>
      <c r="M2050" s="330"/>
      <c r="N2050" s="330"/>
      <c r="O2050" s="330"/>
      <c r="P2050" s="330"/>
      <c r="Q2050" s="330"/>
      <c r="R2050" s="330"/>
      <c r="S2050" s="330"/>
      <c r="T2050" s="330"/>
      <c r="U2050" s="330"/>
      <c r="V2050" s="330"/>
      <c r="W2050" s="330"/>
      <c r="X2050" s="330"/>
      <c r="Y2050" s="330"/>
      <c r="Z2050" s="330"/>
    </row>
    <row r="2051" ht="33.75" customHeight="1">
      <c r="A2051" s="11" t="s">
        <v>109</v>
      </c>
      <c r="B2051" s="12"/>
      <c r="C2051" s="11" t="s">
        <v>2420</v>
      </c>
      <c r="D2051" s="350"/>
      <c r="E2051" s="76">
        <v>46093.0</v>
      </c>
      <c r="F2051" s="14" t="s">
        <v>1141</v>
      </c>
      <c r="G2051" s="178"/>
      <c r="H2051" s="16">
        <v>3144.0</v>
      </c>
      <c r="I2051" s="17">
        <f t="shared" si="63"/>
        <v>-3144</v>
      </c>
      <c r="J2051" s="91" t="s">
        <v>700</v>
      </c>
      <c r="K2051" s="330"/>
      <c r="L2051" s="330"/>
      <c r="M2051" s="330"/>
      <c r="N2051" s="330"/>
      <c r="O2051" s="330"/>
      <c r="P2051" s="330"/>
      <c r="Q2051" s="330"/>
      <c r="R2051" s="330"/>
      <c r="S2051" s="330"/>
      <c r="T2051" s="330"/>
      <c r="U2051" s="330"/>
      <c r="V2051" s="330"/>
      <c r="W2051" s="330"/>
      <c r="X2051" s="330"/>
      <c r="Y2051" s="330"/>
      <c r="Z2051" s="330"/>
    </row>
    <row r="2052" ht="33.75" customHeight="1">
      <c r="A2052" s="11" t="s">
        <v>2478</v>
      </c>
      <c r="B2052" s="12"/>
      <c r="C2052" s="11"/>
      <c r="D2052" s="11" t="s">
        <v>2791</v>
      </c>
      <c r="E2052" s="76">
        <v>46093.0</v>
      </c>
      <c r="F2052" s="14" t="s">
        <v>1191</v>
      </c>
      <c r="G2052" s="178"/>
      <c r="H2052" s="16">
        <v>6216.0</v>
      </c>
      <c r="I2052" s="17">
        <f t="shared" si="63"/>
        <v>-6216</v>
      </c>
      <c r="J2052" s="17" t="s">
        <v>1</v>
      </c>
      <c r="K2052" s="330"/>
      <c r="L2052" s="330"/>
      <c r="M2052" s="330"/>
      <c r="N2052" s="330"/>
      <c r="O2052" s="330"/>
      <c r="P2052" s="330"/>
      <c r="Q2052" s="330"/>
      <c r="R2052" s="330"/>
      <c r="S2052" s="330"/>
      <c r="T2052" s="330"/>
      <c r="U2052" s="330"/>
      <c r="V2052" s="330"/>
      <c r="W2052" s="330"/>
      <c r="X2052" s="330"/>
      <c r="Y2052" s="330"/>
      <c r="Z2052" s="330"/>
    </row>
    <row r="2053" ht="33.75" customHeight="1">
      <c r="A2053" s="11" t="s">
        <v>1587</v>
      </c>
      <c r="B2053" s="22" t="s">
        <v>237</v>
      </c>
      <c r="C2053" s="11" t="s">
        <v>2792</v>
      </c>
      <c r="D2053" s="11" t="s">
        <v>2793</v>
      </c>
      <c r="E2053" s="76">
        <v>46093.0</v>
      </c>
      <c r="F2053" s="14" t="s">
        <v>287</v>
      </c>
      <c r="G2053" s="178">
        <v>36006.0</v>
      </c>
      <c r="H2053" s="28"/>
      <c r="I2053" s="17">
        <f t="shared" si="63"/>
        <v>36006</v>
      </c>
      <c r="J2053" s="220" t="s">
        <v>1</v>
      </c>
      <c r="K2053" s="330"/>
      <c r="L2053" s="330"/>
      <c r="M2053" s="330"/>
      <c r="N2053" s="330"/>
      <c r="O2053" s="330"/>
      <c r="P2053" s="330"/>
      <c r="Q2053" s="330"/>
      <c r="R2053" s="330"/>
      <c r="S2053" s="330"/>
      <c r="T2053" s="330"/>
      <c r="U2053" s="330"/>
      <c r="V2053" s="330"/>
      <c r="W2053" s="330"/>
      <c r="X2053" s="330"/>
      <c r="Y2053" s="330"/>
      <c r="Z2053" s="330"/>
    </row>
    <row r="2054" ht="33.75" customHeight="1">
      <c r="A2054" s="11" t="s">
        <v>2478</v>
      </c>
      <c r="B2054" s="22"/>
      <c r="C2054" s="11" t="s">
        <v>2794</v>
      </c>
      <c r="D2054" s="11" t="s">
        <v>2795</v>
      </c>
      <c r="E2054" s="64">
        <v>46093.0</v>
      </c>
      <c r="F2054" s="14" t="s">
        <v>1191</v>
      </c>
      <c r="G2054" s="178"/>
      <c r="H2054" s="16">
        <v>8716.0</v>
      </c>
      <c r="I2054" s="17">
        <f t="shared" si="63"/>
        <v>-8716</v>
      </c>
      <c r="J2054" s="17" t="s">
        <v>1</v>
      </c>
      <c r="K2054" s="252"/>
      <c r="L2054" s="252"/>
      <c r="M2054" s="252"/>
      <c r="N2054" s="252"/>
      <c r="O2054" s="252"/>
      <c r="P2054" s="252"/>
      <c r="Q2054" s="252"/>
      <c r="R2054" s="252"/>
      <c r="S2054" s="252"/>
      <c r="T2054" s="252"/>
      <c r="U2054" s="252"/>
      <c r="V2054" s="252"/>
      <c r="W2054" s="252"/>
      <c r="X2054" s="252"/>
      <c r="Y2054" s="252"/>
      <c r="Z2054" s="252"/>
    </row>
    <row r="2055" ht="33.75" customHeight="1">
      <c r="A2055" s="11" t="s">
        <v>2478</v>
      </c>
      <c r="B2055" s="22"/>
      <c r="C2055" s="11" t="s">
        <v>2796</v>
      </c>
      <c r="D2055" s="11" t="s">
        <v>2628</v>
      </c>
      <c r="E2055" s="64">
        <v>46093.0</v>
      </c>
      <c r="F2055" s="14" t="s">
        <v>1191</v>
      </c>
      <c r="G2055" s="178"/>
      <c r="H2055" s="16">
        <v>12012.0</v>
      </c>
      <c r="I2055" s="17">
        <f t="shared" si="63"/>
        <v>-12012</v>
      </c>
      <c r="J2055" s="17" t="s">
        <v>1</v>
      </c>
      <c r="K2055" s="330"/>
      <c r="L2055" s="330"/>
      <c r="M2055" s="330"/>
      <c r="N2055" s="330"/>
      <c r="O2055" s="330"/>
      <c r="P2055" s="330"/>
      <c r="Q2055" s="330"/>
      <c r="R2055" s="330"/>
      <c r="S2055" s="330"/>
      <c r="T2055" s="330"/>
      <c r="U2055" s="330"/>
      <c r="V2055" s="330"/>
      <c r="W2055" s="330"/>
      <c r="X2055" s="330"/>
      <c r="Y2055" s="330"/>
      <c r="Z2055" s="330"/>
    </row>
    <row r="2056" ht="33.75" customHeight="1">
      <c r="A2056" s="11" t="s">
        <v>1987</v>
      </c>
      <c r="B2056" s="22" t="s">
        <v>15</v>
      </c>
      <c r="C2056" s="11" t="s">
        <v>2481</v>
      </c>
      <c r="D2056" s="74">
        <v>1.64198899360608E15</v>
      </c>
      <c r="E2056" s="76">
        <v>46093.0</v>
      </c>
      <c r="F2056" s="14" t="s">
        <v>17</v>
      </c>
      <c r="G2056" s="178">
        <v>15000.0</v>
      </c>
      <c r="H2056" s="16">
        <v>13023.0</v>
      </c>
      <c r="I2056" s="17">
        <f t="shared" si="63"/>
        <v>1977</v>
      </c>
      <c r="J2056" s="17" t="s">
        <v>1</v>
      </c>
      <c r="K2056" s="330"/>
      <c r="L2056" s="330"/>
      <c r="M2056" s="330"/>
      <c r="N2056" s="330"/>
      <c r="O2056" s="330"/>
      <c r="P2056" s="330"/>
      <c r="Q2056" s="330"/>
      <c r="R2056" s="330"/>
      <c r="S2056" s="330"/>
      <c r="T2056" s="330"/>
      <c r="U2056" s="330"/>
      <c r="V2056" s="330"/>
      <c r="W2056" s="330"/>
      <c r="X2056" s="330"/>
      <c r="Y2056" s="330"/>
      <c r="Z2056" s="330"/>
    </row>
    <row r="2057" ht="33.75" customHeight="1">
      <c r="A2057" s="11" t="s">
        <v>2485</v>
      </c>
      <c r="B2057" s="22" t="s">
        <v>19</v>
      </c>
      <c r="C2057" s="11" t="s">
        <v>2486</v>
      </c>
      <c r="D2057" s="36"/>
      <c r="E2057" s="64">
        <v>46093.0</v>
      </c>
      <c r="F2057" s="14" t="s">
        <v>1141</v>
      </c>
      <c r="G2057" s="178"/>
      <c r="H2057" s="16">
        <v>18890.0</v>
      </c>
      <c r="I2057" s="17">
        <f t="shared" si="63"/>
        <v>-18890</v>
      </c>
      <c r="J2057" s="222" t="s">
        <v>700</v>
      </c>
      <c r="K2057" s="330"/>
      <c r="L2057" s="330"/>
      <c r="M2057" s="330"/>
      <c r="N2057" s="330"/>
      <c r="O2057" s="330"/>
      <c r="P2057" s="330"/>
      <c r="Q2057" s="330"/>
      <c r="R2057" s="330"/>
      <c r="S2057" s="330"/>
      <c r="T2057" s="330"/>
      <c r="U2057" s="330"/>
      <c r="V2057" s="330"/>
      <c r="W2057" s="330"/>
      <c r="X2057" s="330"/>
      <c r="Y2057" s="330"/>
      <c r="Z2057" s="330"/>
    </row>
    <row r="2058" ht="33.75" customHeight="1">
      <c r="A2058" s="11" t="s">
        <v>2797</v>
      </c>
      <c r="B2058" s="22" t="s">
        <v>2798</v>
      </c>
      <c r="C2058" s="11" t="s">
        <v>2799</v>
      </c>
      <c r="D2058" s="11">
        <v>8.9796067950713E14</v>
      </c>
      <c r="E2058" s="64">
        <v>46093.0</v>
      </c>
      <c r="F2058" s="14" t="s">
        <v>17</v>
      </c>
      <c r="G2058" s="178">
        <v>5000.0</v>
      </c>
      <c r="H2058" s="16">
        <v>4156.0</v>
      </c>
      <c r="I2058" s="17">
        <f t="shared" si="63"/>
        <v>844</v>
      </c>
      <c r="J2058" s="17" t="s">
        <v>1</v>
      </c>
      <c r="K2058" s="330"/>
      <c r="L2058" s="330"/>
      <c r="M2058" s="330"/>
      <c r="N2058" s="330"/>
      <c r="O2058" s="330"/>
      <c r="P2058" s="330"/>
      <c r="Q2058" s="330"/>
      <c r="R2058" s="330"/>
      <c r="S2058" s="330"/>
      <c r="T2058" s="330"/>
      <c r="U2058" s="330"/>
      <c r="V2058" s="330"/>
      <c r="W2058" s="330"/>
      <c r="X2058" s="330"/>
      <c r="Y2058" s="330"/>
      <c r="Z2058" s="330"/>
    </row>
    <row r="2059" ht="33.75" customHeight="1">
      <c r="A2059" s="11" t="s">
        <v>2800</v>
      </c>
      <c r="B2059" s="22"/>
      <c r="C2059" s="11" t="s">
        <v>2801</v>
      </c>
      <c r="D2059" s="36"/>
      <c r="E2059" s="64">
        <v>46093.0</v>
      </c>
      <c r="F2059" s="14" t="s">
        <v>99</v>
      </c>
      <c r="G2059" s="178"/>
      <c r="H2059" s="16">
        <v>1797.0</v>
      </c>
      <c r="I2059" s="17">
        <f t="shared" si="63"/>
        <v>-1797</v>
      </c>
      <c r="J2059" s="91" t="s">
        <v>3</v>
      </c>
      <c r="K2059" s="330"/>
      <c r="L2059" s="330"/>
      <c r="M2059" s="330"/>
      <c r="N2059" s="330"/>
      <c r="O2059" s="330"/>
      <c r="P2059" s="330"/>
      <c r="Q2059" s="330"/>
      <c r="R2059" s="330"/>
      <c r="S2059" s="330"/>
      <c r="T2059" s="330"/>
      <c r="U2059" s="330"/>
      <c r="V2059" s="330"/>
      <c r="W2059" s="330"/>
      <c r="X2059" s="330"/>
      <c r="Y2059" s="330"/>
      <c r="Z2059" s="330"/>
    </row>
    <row r="2060" ht="33.75" customHeight="1">
      <c r="A2060" s="11" t="s">
        <v>1994</v>
      </c>
      <c r="B2060" s="22" t="s">
        <v>140</v>
      </c>
      <c r="C2060" s="11" t="s">
        <v>2802</v>
      </c>
      <c r="D2060" s="11" t="s">
        <v>2803</v>
      </c>
      <c r="E2060" s="64">
        <v>46093.0</v>
      </c>
      <c r="F2060" s="14" t="s">
        <v>17</v>
      </c>
      <c r="G2060" s="178">
        <v>52965.0</v>
      </c>
      <c r="H2060" s="16">
        <v>47053.0</v>
      </c>
      <c r="I2060" s="17">
        <f t="shared" si="63"/>
        <v>5912</v>
      </c>
      <c r="J2060" s="17" t="s">
        <v>1</v>
      </c>
      <c r="K2060" s="330"/>
      <c r="L2060" s="330"/>
      <c r="M2060" s="330"/>
      <c r="N2060" s="330"/>
      <c r="O2060" s="330"/>
      <c r="P2060" s="330"/>
      <c r="Q2060" s="330"/>
      <c r="R2060" s="330"/>
      <c r="S2060" s="330"/>
      <c r="T2060" s="330"/>
      <c r="U2060" s="330"/>
      <c r="V2060" s="330"/>
      <c r="W2060" s="330"/>
      <c r="X2060" s="330"/>
      <c r="Y2060" s="330"/>
      <c r="Z2060" s="330"/>
    </row>
    <row r="2061" ht="33.75" customHeight="1">
      <c r="A2061" s="11" t="s">
        <v>1994</v>
      </c>
      <c r="B2061" s="22" t="s">
        <v>140</v>
      </c>
      <c r="C2061" s="11" t="s">
        <v>2804</v>
      </c>
      <c r="D2061" s="11" t="s">
        <v>2803</v>
      </c>
      <c r="E2061" s="64">
        <v>46093.0</v>
      </c>
      <c r="F2061" s="14" t="s">
        <v>17</v>
      </c>
      <c r="G2061" s="178">
        <v>52965.0</v>
      </c>
      <c r="H2061" s="16">
        <v>35157.0</v>
      </c>
      <c r="I2061" s="17">
        <f t="shared" si="63"/>
        <v>17808</v>
      </c>
      <c r="J2061" s="17" t="s">
        <v>1</v>
      </c>
      <c r="K2061" s="330"/>
      <c r="L2061" s="330"/>
      <c r="M2061" s="330"/>
      <c r="N2061" s="330"/>
      <c r="O2061" s="330"/>
      <c r="P2061" s="330"/>
      <c r="Q2061" s="330"/>
      <c r="R2061" s="330"/>
      <c r="S2061" s="330"/>
      <c r="T2061" s="330"/>
      <c r="U2061" s="330"/>
      <c r="V2061" s="330"/>
      <c r="W2061" s="330"/>
      <c r="X2061" s="330"/>
      <c r="Y2061" s="330"/>
      <c r="Z2061" s="330"/>
    </row>
    <row r="2062" ht="33.75" customHeight="1">
      <c r="A2062" s="11" t="s">
        <v>1994</v>
      </c>
      <c r="B2062" s="22" t="s">
        <v>140</v>
      </c>
      <c r="C2062" s="11" t="s">
        <v>2805</v>
      </c>
      <c r="D2062" s="11" t="s">
        <v>2806</v>
      </c>
      <c r="E2062" s="64">
        <v>46093.0</v>
      </c>
      <c r="F2062" s="14" t="s">
        <v>17</v>
      </c>
      <c r="G2062" s="178">
        <v>52965.0</v>
      </c>
      <c r="H2062" s="16">
        <v>38974.0</v>
      </c>
      <c r="I2062" s="17">
        <f t="shared" si="63"/>
        <v>13991</v>
      </c>
      <c r="J2062" s="17" t="s">
        <v>1</v>
      </c>
      <c r="K2062" s="330"/>
      <c r="L2062" s="330"/>
      <c r="M2062" s="330"/>
      <c r="N2062" s="330"/>
      <c r="O2062" s="330"/>
      <c r="P2062" s="330"/>
      <c r="Q2062" s="330"/>
      <c r="R2062" s="330"/>
      <c r="S2062" s="330"/>
      <c r="T2062" s="330"/>
      <c r="U2062" s="330"/>
      <c r="V2062" s="330"/>
      <c r="W2062" s="330"/>
      <c r="X2062" s="330"/>
      <c r="Y2062" s="330"/>
      <c r="Z2062" s="330"/>
    </row>
    <row r="2063" ht="33.75" customHeight="1">
      <c r="A2063" s="11" t="s">
        <v>1994</v>
      </c>
      <c r="B2063" s="22" t="s">
        <v>140</v>
      </c>
      <c r="C2063" s="11" t="s">
        <v>2807</v>
      </c>
      <c r="D2063" s="11" t="s">
        <v>2806</v>
      </c>
      <c r="E2063" s="64">
        <v>46093.0</v>
      </c>
      <c r="F2063" s="14" t="s">
        <v>17</v>
      </c>
      <c r="G2063" s="178">
        <v>52965.0</v>
      </c>
      <c r="H2063" s="16">
        <v>29858.0</v>
      </c>
      <c r="I2063" s="17">
        <f t="shared" si="63"/>
        <v>23107</v>
      </c>
      <c r="J2063" s="17" t="s">
        <v>1</v>
      </c>
      <c r="K2063" s="330"/>
      <c r="L2063" s="330"/>
      <c r="M2063" s="330"/>
      <c r="N2063" s="330"/>
      <c r="O2063" s="330"/>
      <c r="P2063" s="330"/>
      <c r="Q2063" s="330"/>
      <c r="R2063" s="330"/>
      <c r="S2063" s="330"/>
      <c r="T2063" s="330"/>
      <c r="U2063" s="330"/>
      <c r="V2063" s="330"/>
      <c r="W2063" s="330"/>
      <c r="X2063" s="330"/>
      <c r="Y2063" s="330"/>
      <c r="Z2063" s="330"/>
    </row>
    <row r="2064" ht="33.75" customHeight="1">
      <c r="A2064" s="11" t="s">
        <v>1994</v>
      </c>
      <c r="B2064" s="22" t="s">
        <v>140</v>
      </c>
      <c r="C2064" s="11" t="s">
        <v>2808</v>
      </c>
      <c r="D2064" s="11" t="s">
        <v>2809</v>
      </c>
      <c r="E2064" s="64">
        <v>46093.0</v>
      </c>
      <c r="F2064" s="14" t="s">
        <v>17</v>
      </c>
      <c r="G2064" s="178">
        <v>52965.0</v>
      </c>
      <c r="H2064" s="28"/>
      <c r="I2064" s="17">
        <f t="shared" si="63"/>
        <v>52965</v>
      </c>
      <c r="J2064" s="17" t="s">
        <v>1</v>
      </c>
      <c r="K2064" s="330"/>
      <c r="L2064" s="330"/>
      <c r="M2064" s="330"/>
      <c r="N2064" s="330"/>
      <c r="O2064" s="330"/>
      <c r="P2064" s="330"/>
      <c r="Q2064" s="330"/>
      <c r="R2064" s="330"/>
      <c r="S2064" s="330"/>
      <c r="T2064" s="330"/>
      <c r="U2064" s="330"/>
      <c r="V2064" s="330"/>
      <c r="W2064" s="330"/>
      <c r="X2064" s="330"/>
      <c r="Y2064" s="330"/>
      <c r="Z2064" s="330"/>
    </row>
    <row r="2065" ht="33.75" customHeight="1">
      <c r="A2065" s="11" t="s">
        <v>2444</v>
      </c>
      <c r="B2065" s="22" t="s">
        <v>1011</v>
      </c>
      <c r="C2065" s="11" t="s">
        <v>2810</v>
      </c>
      <c r="D2065" s="11" t="s">
        <v>2446</v>
      </c>
      <c r="E2065" s="64">
        <v>46094.0</v>
      </c>
      <c r="F2065" s="14" t="s">
        <v>1191</v>
      </c>
      <c r="G2065" s="178">
        <v>1182.0</v>
      </c>
      <c r="H2065" s="16">
        <v>1082.0</v>
      </c>
      <c r="I2065" s="17">
        <f t="shared" si="63"/>
        <v>100</v>
      </c>
      <c r="J2065" s="17" t="s">
        <v>1</v>
      </c>
      <c r="K2065" s="252"/>
      <c r="L2065" s="252"/>
      <c r="M2065" s="252"/>
      <c r="N2065" s="252"/>
      <c r="O2065" s="252"/>
      <c r="P2065" s="252"/>
      <c r="Q2065" s="252"/>
      <c r="R2065" s="252"/>
      <c r="S2065" s="252"/>
      <c r="T2065" s="252"/>
      <c r="U2065" s="252"/>
      <c r="V2065" s="252"/>
      <c r="W2065" s="252"/>
      <c r="X2065" s="252"/>
      <c r="Y2065" s="252"/>
      <c r="Z2065" s="252"/>
    </row>
    <row r="2066" ht="33.75" customHeight="1">
      <c r="A2066" s="11" t="s">
        <v>77</v>
      </c>
      <c r="B2066" s="22" t="s">
        <v>49</v>
      </c>
      <c r="C2066" s="11" t="s">
        <v>2709</v>
      </c>
      <c r="D2066" s="11" t="s">
        <v>2498</v>
      </c>
      <c r="E2066" s="64">
        <v>46094.0</v>
      </c>
      <c r="F2066" s="14" t="s">
        <v>1141</v>
      </c>
      <c r="G2066" s="178">
        <v>35000.0</v>
      </c>
      <c r="H2066" s="16">
        <v>24122.0</v>
      </c>
      <c r="I2066" s="17">
        <f t="shared" si="63"/>
        <v>10878</v>
      </c>
      <c r="J2066" s="91" t="s">
        <v>1</v>
      </c>
      <c r="K2066" s="252"/>
      <c r="L2066" s="252"/>
      <c r="M2066" s="252"/>
      <c r="N2066" s="252"/>
      <c r="O2066" s="252"/>
      <c r="P2066" s="252"/>
      <c r="Q2066" s="252"/>
      <c r="R2066" s="252"/>
      <c r="S2066" s="252"/>
      <c r="T2066" s="252"/>
      <c r="U2066" s="252"/>
      <c r="V2066" s="252"/>
      <c r="W2066" s="252"/>
      <c r="X2066" s="252"/>
      <c r="Y2066" s="252"/>
      <c r="Z2066" s="252"/>
    </row>
    <row r="2067" ht="33.75" customHeight="1">
      <c r="A2067" s="11" t="s">
        <v>28</v>
      </c>
      <c r="B2067" s="22" t="s">
        <v>81</v>
      </c>
      <c r="C2067" s="11" t="s">
        <v>2811</v>
      </c>
      <c r="D2067" s="36"/>
      <c r="E2067" s="64">
        <v>46094.0</v>
      </c>
      <c r="F2067" s="14" t="s">
        <v>17</v>
      </c>
      <c r="G2067" s="178">
        <v>12000.0</v>
      </c>
      <c r="H2067" s="16">
        <v>10231.0</v>
      </c>
      <c r="I2067" s="17">
        <f t="shared" si="63"/>
        <v>1769</v>
      </c>
      <c r="J2067" s="17" t="s">
        <v>1</v>
      </c>
      <c r="K2067" s="330"/>
      <c r="L2067" s="330"/>
      <c r="M2067" s="330"/>
      <c r="N2067" s="330"/>
      <c r="O2067" s="330"/>
      <c r="P2067" s="330"/>
      <c r="Q2067" s="330"/>
      <c r="R2067" s="330"/>
      <c r="S2067" s="330"/>
      <c r="T2067" s="330"/>
      <c r="U2067" s="330"/>
      <c r="V2067" s="330"/>
      <c r="W2067" s="330"/>
      <c r="X2067" s="330"/>
      <c r="Y2067" s="330"/>
      <c r="Z2067" s="330"/>
    </row>
    <row r="2068" ht="33.75" customHeight="1">
      <c r="A2068" s="11" t="s">
        <v>2812</v>
      </c>
      <c r="B2068" s="22" t="s">
        <v>81</v>
      </c>
      <c r="C2068" s="11" t="s">
        <v>2813</v>
      </c>
      <c r="D2068" s="11">
        <v>1.53960187113418E15</v>
      </c>
      <c r="E2068" s="64">
        <v>46094.0</v>
      </c>
      <c r="F2068" s="14" t="s">
        <v>1133</v>
      </c>
      <c r="G2068" s="178">
        <v>10000.0</v>
      </c>
      <c r="H2068" s="28">
        <f>3701+3840</f>
        <v>7541</v>
      </c>
      <c r="I2068" s="17">
        <f t="shared" si="63"/>
        <v>2459</v>
      </c>
      <c r="J2068" s="17" t="s">
        <v>1</v>
      </c>
      <c r="K2068" s="330"/>
      <c r="L2068" s="330"/>
      <c r="M2068" s="330"/>
      <c r="N2068" s="330"/>
      <c r="O2068" s="330"/>
      <c r="P2068" s="330"/>
      <c r="Q2068" s="330"/>
      <c r="R2068" s="330"/>
      <c r="S2068" s="330"/>
      <c r="T2068" s="330"/>
      <c r="U2068" s="330"/>
      <c r="V2068" s="330"/>
      <c r="W2068" s="330"/>
      <c r="X2068" s="330"/>
      <c r="Y2068" s="330"/>
      <c r="Z2068" s="330"/>
    </row>
    <row r="2069" ht="33.75" customHeight="1">
      <c r="A2069" s="11" t="s">
        <v>2447</v>
      </c>
      <c r="B2069" s="22" t="s">
        <v>81</v>
      </c>
      <c r="C2069" s="11" t="s">
        <v>2813</v>
      </c>
      <c r="D2069" s="11">
        <v>1.53960187113418E15</v>
      </c>
      <c r="E2069" s="64">
        <v>46094.0</v>
      </c>
      <c r="F2069" s="14" t="s">
        <v>1133</v>
      </c>
      <c r="G2069" s="178">
        <v>10000.0</v>
      </c>
      <c r="H2069" s="28">
        <f>3631+3522</f>
        <v>7153</v>
      </c>
      <c r="I2069" s="17">
        <f t="shared" si="63"/>
        <v>2847</v>
      </c>
      <c r="J2069" s="17" t="s">
        <v>1</v>
      </c>
      <c r="K2069" s="330"/>
      <c r="L2069" s="330"/>
      <c r="M2069" s="330"/>
      <c r="N2069" s="330"/>
      <c r="O2069" s="330"/>
      <c r="P2069" s="330"/>
      <c r="Q2069" s="330"/>
      <c r="R2069" s="330"/>
      <c r="S2069" s="330"/>
      <c r="T2069" s="330"/>
      <c r="U2069" s="330"/>
      <c r="V2069" s="330"/>
      <c r="W2069" s="330"/>
      <c r="X2069" s="330"/>
      <c r="Y2069" s="330"/>
      <c r="Z2069" s="330"/>
    </row>
    <row r="2070" ht="33.75" customHeight="1">
      <c r="A2070" s="11" t="s">
        <v>2814</v>
      </c>
      <c r="B2070" s="22" t="s">
        <v>81</v>
      </c>
      <c r="C2070" s="11" t="s">
        <v>2813</v>
      </c>
      <c r="D2070" s="11">
        <v>1.53960187113418E15</v>
      </c>
      <c r="E2070" s="64">
        <v>46094.0</v>
      </c>
      <c r="F2070" s="14" t="s">
        <v>1133</v>
      </c>
      <c r="G2070" s="178">
        <v>5000.0</v>
      </c>
      <c r="H2070" s="16">
        <v>2474.0</v>
      </c>
      <c r="I2070" s="17">
        <f t="shared" si="63"/>
        <v>2526</v>
      </c>
      <c r="J2070" s="17" t="s">
        <v>1</v>
      </c>
      <c r="K2070" s="330"/>
      <c r="L2070" s="330"/>
      <c r="M2070" s="330"/>
      <c r="N2070" s="330"/>
      <c r="O2070" s="330"/>
      <c r="P2070" s="330"/>
      <c r="Q2070" s="330"/>
      <c r="R2070" s="330"/>
      <c r="S2070" s="330"/>
      <c r="T2070" s="330"/>
      <c r="U2070" s="330"/>
      <c r="V2070" s="330"/>
      <c r="W2070" s="330"/>
      <c r="X2070" s="330"/>
      <c r="Y2070" s="330"/>
      <c r="Z2070" s="330"/>
    </row>
    <row r="2071" ht="33.75" customHeight="1">
      <c r="A2071" s="11" t="s">
        <v>2815</v>
      </c>
      <c r="B2071" s="22" t="s">
        <v>81</v>
      </c>
      <c r="C2071" s="11" t="s">
        <v>2813</v>
      </c>
      <c r="D2071" s="11">
        <v>1.53960187113418E15</v>
      </c>
      <c r="E2071" s="64">
        <v>46094.0</v>
      </c>
      <c r="F2071" s="14" t="s">
        <v>1133</v>
      </c>
      <c r="G2071" s="178">
        <v>8000.0</v>
      </c>
      <c r="H2071" s="16">
        <v>4798.0</v>
      </c>
      <c r="I2071" s="17">
        <f t="shared" si="63"/>
        <v>3202</v>
      </c>
      <c r="J2071" s="17" t="s">
        <v>1</v>
      </c>
      <c r="K2071" s="330"/>
      <c r="L2071" s="330"/>
      <c r="M2071" s="330"/>
      <c r="N2071" s="330"/>
      <c r="O2071" s="330"/>
      <c r="P2071" s="330"/>
      <c r="Q2071" s="330"/>
      <c r="R2071" s="330"/>
      <c r="S2071" s="330"/>
      <c r="T2071" s="330"/>
      <c r="U2071" s="330"/>
      <c r="V2071" s="330"/>
      <c r="W2071" s="330"/>
      <c r="X2071" s="330"/>
      <c r="Y2071" s="330"/>
      <c r="Z2071" s="330"/>
    </row>
    <row r="2072" ht="33.75" customHeight="1">
      <c r="A2072" s="11" t="s">
        <v>2816</v>
      </c>
      <c r="B2072" s="22" t="s">
        <v>81</v>
      </c>
      <c r="C2072" s="11" t="s">
        <v>2813</v>
      </c>
      <c r="D2072" s="11">
        <v>1.53960187113418E15</v>
      </c>
      <c r="E2072" s="64">
        <v>46094.0</v>
      </c>
      <c r="F2072" s="14" t="s">
        <v>1133</v>
      </c>
      <c r="G2072" s="178">
        <v>5000.0</v>
      </c>
      <c r="H2072" s="16">
        <v>2435.0</v>
      </c>
      <c r="I2072" s="17">
        <f t="shared" si="63"/>
        <v>2565</v>
      </c>
      <c r="J2072" s="17" t="s">
        <v>1</v>
      </c>
      <c r="K2072" s="330"/>
      <c r="L2072" s="330"/>
      <c r="M2072" s="330"/>
      <c r="N2072" s="330"/>
      <c r="O2072" s="330"/>
      <c r="P2072" s="330"/>
      <c r="Q2072" s="330"/>
      <c r="R2072" s="330"/>
      <c r="S2072" s="330"/>
      <c r="T2072" s="330"/>
      <c r="U2072" s="330"/>
      <c r="V2072" s="330"/>
      <c r="W2072" s="330"/>
      <c r="X2072" s="330"/>
      <c r="Y2072" s="330"/>
      <c r="Z2072" s="330"/>
    </row>
    <row r="2073" ht="33.75" customHeight="1">
      <c r="A2073" s="11" t="s">
        <v>2817</v>
      </c>
      <c r="B2073" s="22" t="s">
        <v>81</v>
      </c>
      <c r="C2073" s="11" t="s">
        <v>2818</v>
      </c>
      <c r="D2073" s="11" t="s">
        <v>2819</v>
      </c>
      <c r="E2073" s="64">
        <v>46094.0</v>
      </c>
      <c r="F2073" s="14" t="s">
        <v>1133</v>
      </c>
      <c r="G2073" s="178">
        <v>15000.0</v>
      </c>
      <c r="H2073" s="28">
        <f>4798+4564</f>
        <v>9362</v>
      </c>
      <c r="I2073" s="17">
        <f t="shared" si="63"/>
        <v>5638</v>
      </c>
      <c r="J2073" s="17" t="s">
        <v>1</v>
      </c>
      <c r="K2073" s="330"/>
      <c r="L2073" s="330"/>
      <c r="M2073" s="330"/>
      <c r="N2073" s="330"/>
      <c r="O2073" s="330"/>
      <c r="P2073" s="330"/>
      <c r="Q2073" s="330"/>
      <c r="R2073" s="330"/>
      <c r="S2073" s="330"/>
      <c r="T2073" s="330"/>
      <c r="U2073" s="330"/>
      <c r="V2073" s="330"/>
      <c r="W2073" s="330"/>
      <c r="X2073" s="330"/>
      <c r="Y2073" s="330"/>
      <c r="Z2073" s="330"/>
    </row>
    <row r="2074" ht="33.75" customHeight="1">
      <c r="A2074" s="11" t="s">
        <v>2820</v>
      </c>
      <c r="B2074" s="22" t="s">
        <v>81</v>
      </c>
      <c r="C2074" s="11" t="s">
        <v>2818</v>
      </c>
      <c r="D2074" s="11" t="s">
        <v>2819</v>
      </c>
      <c r="E2074" s="64">
        <v>46094.0</v>
      </c>
      <c r="F2074" s="14" t="s">
        <v>1133</v>
      </c>
      <c r="G2074" s="178">
        <v>8000.0</v>
      </c>
      <c r="H2074" s="16">
        <v>4135.0</v>
      </c>
      <c r="I2074" s="17">
        <f t="shared" si="63"/>
        <v>3865</v>
      </c>
      <c r="J2074" s="17" t="s">
        <v>1</v>
      </c>
      <c r="K2074" s="330"/>
      <c r="L2074" s="330"/>
      <c r="M2074" s="330"/>
      <c r="N2074" s="330"/>
      <c r="O2074" s="330"/>
      <c r="P2074" s="330"/>
      <c r="Q2074" s="330"/>
      <c r="R2074" s="330"/>
      <c r="S2074" s="330"/>
      <c r="T2074" s="330"/>
      <c r="U2074" s="330"/>
      <c r="V2074" s="330"/>
      <c r="W2074" s="330"/>
      <c r="X2074" s="330"/>
      <c r="Y2074" s="330"/>
      <c r="Z2074" s="330"/>
    </row>
    <row r="2075" ht="33.75" customHeight="1">
      <c r="A2075" s="11" t="s">
        <v>2821</v>
      </c>
      <c r="B2075" s="22" t="s">
        <v>81</v>
      </c>
      <c r="C2075" s="11" t="s">
        <v>2818</v>
      </c>
      <c r="D2075" s="11" t="s">
        <v>2819</v>
      </c>
      <c r="E2075" s="64">
        <v>46094.0</v>
      </c>
      <c r="F2075" s="14" t="s">
        <v>1133</v>
      </c>
      <c r="G2075" s="178">
        <v>8000.0</v>
      </c>
      <c r="H2075" s="16">
        <v>5172.0</v>
      </c>
      <c r="I2075" s="17">
        <f t="shared" si="63"/>
        <v>2828</v>
      </c>
      <c r="J2075" s="17" t="s">
        <v>1</v>
      </c>
      <c r="K2075" s="330"/>
      <c r="L2075" s="330"/>
      <c r="M2075" s="330"/>
      <c r="N2075" s="330"/>
      <c r="O2075" s="330"/>
      <c r="P2075" s="330"/>
      <c r="Q2075" s="330"/>
      <c r="R2075" s="330"/>
      <c r="S2075" s="330"/>
      <c r="T2075" s="330"/>
      <c r="U2075" s="330"/>
      <c r="V2075" s="330"/>
      <c r="W2075" s="330"/>
      <c r="X2075" s="330"/>
      <c r="Y2075" s="330"/>
      <c r="Z2075" s="330"/>
    </row>
    <row r="2076" ht="33.75" customHeight="1">
      <c r="A2076" s="11" t="s">
        <v>2769</v>
      </c>
      <c r="B2076" s="22" t="s">
        <v>81</v>
      </c>
      <c r="C2076" s="11" t="s">
        <v>2818</v>
      </c>
      <c r="D2076" s="11" t="s">
        <v>2819</v>
      </c>
      <c r="E2076" s="64">
        <v>46094.0</v>
      </c>
      <c r="F2076" s="14" t="s">
        <v>1133</v>
      </c>
      <c r="G2076" s="178">
        <v>6000.0</v>
      </c>
      <c r="H2076" s="16">
        <v>4605.0</v>
      </c>
      <c r="I2076" s="17">
        <f t="shared" si="63"/>
        <v>1395</v>
      </c>
      <c r="J2076" s="17" t="s">
        <v>1</v>
      </c>
      <c r="K2076" s="330"/>
      <c r="L2076" s="330"/>
      <c r="M2076" s="330"/>
      <c r="N2076" s="330"/>
      <c r="O2076" s="330"/>
      <c r="P2076" s="330"/>
      <c r="Q2076" s="330"/>
      <c r="R2076" s="330"/>
      <c r="S2076" s="330"/>
      <c r="T2076" s="330"/>
      <c r="U2076" s="330"/>
      <c r="V2076" s="330"/>
      <c r="W2076" s="330"/>
      <c r="X2076" s="330"/>
      <c r="Y2076" s="330"/>
      <c r="Z2076" s="330"/>
    </row>
    <row r="2077" ht="33.75" customHeight="1">
      <c r="A2077" s="11" t="s">
        <v>2822</v>
      </c>
      <c r="B2077" s="22" t="s">
        <v>81</v>
      </c>
      <c r="C2077" s="11" t="s">
        <v>2818</v>
      </c>
      <c r="D2077" s="11" t="s">
        <v>2819</v>
      </c>
      <c r="E2077" s="64">
        <v>46094.0</v>
      </c>
      <c r="F2077" s="14" t="s">
        <v>1133</v>
      </c>
      <c r="G2077" s="178">
        <v>2000.0</v>
      </c>
      <c r="H2077" s="16">
        <v>1450.0</v>
      </c>
      <c r="I2077" s="17">
        <f t="shared" si="63"/>
        <v>550</v>
      </c>
      <c r="J2077" s="17" t="s">
        <v>1</v>
      </c>
      <c r="K2077" s="330"/>
      <c r="L2077" s="330"/>
      <c r="M2077" s="330"/>
      <c r="N2077" s="330"/>
      <c r="O2077" s="330"/>
      <c r="P2077" s="330"/>
      <c r="Q2077" s="330"/>
      <c r="R2077" s="330"/>
      <c r="S2077" s="330"/>
      <c r="T2077" s="330"/>
      <c r="U2077" s="330"/>
      <c r="V2077" s="330"/>
      <c r="W2077" s="330"/>
      <c r="X2077" s="330"/>
      <c r="Y2077" s="330"/>
      <c r="Z2077" s="330"/>
    </row>
    <row r="2078" ht="33.75" customHeight="1">
      <c r="A2078" s="11" t="s">
        <v>2823</v>
      </c>
      <c r="B2078" s="22" t="s">
        <v>81</v>
      </c>
      <c r="C2078" s="11" t="s">
        <v>2824</v>
      </c>
      <c r="D2078" s="11" t="s">
        <v>2825</v>
      </c>
      <c r="E2078" s="64">
        <v>46094.0</v>
      </c>
      <c r="F2078" s="14" t="s">
        <v>1133</v>
      </c>
      <c r="G2078" s="178">
        <v>6000.0</v>
      </c>
      <c r="H2078" s="16">
        <v>4107.0</v>
      </c>
      <c r="I2078" s="17">
        <f t="shared" si="63"/>
        <v>1893</v>
      </c>
      <c r="J2078" s="17" t="s">
        <v>1</v>
      </c>
      <c r="K2078" s="330"/>
      <c r="L2078" s="330"/>
      <c r="M2078" s="330"/>
      <c r="N2078" s="330"/>
      <c r="O2078" s="330"/>
      <c r="P2078" s="330"/>
      <c r="Q2078" s="330"/>
      <c r="R2078" s="330"/>
      <c r="S2078" s="330"/>
      <c r="T2078" s="330"/>
      <c r="U2078" s="330"/>
      <c r="V2078" s="330"/>
      <c r="W2078" s="330"/>
      <c r="X2078" s="330"/>
      <c r="Y2078" s="330"/>
      <c r="Z2078" s="330"/>
    </row>
    <row r="2079" ht="33.75" customHeight="1">
      <c r="A2079" s="11" t="s">
        <v>2826</v>
      </c>
      <c r="B2079" s="22" t="s">
        <v>81</v>
      </c>
      <c r="C2079" s="11" t="s">
        <v>2824</v>
      </c>
      <c r="D2079" s="11" t="s">
        <v>2825</v>
      </c>
      <c r="E2079" s="64">
        <v>46094.0</v>
      </c>
      <c r="F2079" s="14" t="s">
        <v>1133</v>
      </c>
      <c r="G2079" s="178">
        <v>8000.0</v>
      </c>
      <c r="H2079" s="16">
        <v>4427.0</v>
      </c>
      <c r="I2079" s="17">
        <f t="shared" si="63"/>
        <v>3573</v>
      </c>
      <c r="J2079" s="17" t="s">
        <v>1</v>
      </c>
      <c r="K2079" s="330"/>
      <c r="L2079" s="330"/>
      <c r="M2079" s="330"/>
      <c r="N2079" s="330"/>
      <c r="O2079" s="330"/>
      <c r="P2079" s="330"/>
      <c r="Q2079" s="330"/>
      <c r="R2079" s="330"/>
      <c r="S2079" s="330"/>
      <c r="T2079" s="330"/>
      <c r="U2079" s="330"/>
      <c r="V2079" s="330"/>
      <c r="W2079" s="330"/>
      <c r="X2079" s="330"/>
      <c r="Y2079" s="330"/>
      <c r="Z2079" s="330"/>
    </row>
    <row r="2080" ht="33.75" customHeight="1">
      <c r="A2080" s="11" t="s">
        <v>2827</v>
      </c>
      <c r="B2080" s="22" t="s">
        <v>81</v>
      </c>
      <c r="C2080" s="11" t="s">
        <v>2824</v>
      </c>
      <c r="D2080" s="11" t="s">
        <v>2825</v>
      </c>
      <c r="E2080" s="64">
        <v>46094.0</v>
      </c>
      <c r="F2080" s="14" t="s">
        <v>1133</v>
      </c>
      <c r="G2080" s="178">
        <v>5000.0</v>
      </c>
      <c r="H2080" s="16">
        <v>3468.0</v>
      </c>
      <c r="I2080" s="17">
        <f t="shared" si="63"/>
        <v>1532</v>
      </c>
      <c r="J2080" s="17" t="s">
        <v>1</v>
      </c>
      <c r="K2080" s="330"/>
      <c r="L2080" s="330"/>
      <c r="M2080" s="330"/>
      <c r="N2080" s="330"/>
      <c r="O2080" s="330"/>
      <c r="P2080" s="330"/>
      <c r="Q2080" s="330"/>
      <c r="R2080" s="330"/>
      <c r="S2080" s="330"/>
      <c r="T2080" s="330"/>
      <c r="U2080" s="330"/>
      <c r="V2080" s="330"/>
      <c r="W2080" s="330"/>
      <c r="X2080" s="330"/>
      <c r="Y2080" s="330"/>
      <c r="Z2080" s="330"/>
    </row>
    <row r="2081" ht="33.75" customHeight="1">
      <c r="A2081" s="11" t="s">
        <v>2828</v>
      </c>
      <c r="B2081" s="22" t="s">
        <v>81</v>
      </c>
      <c r="C2081" s="11" t="s">
        <v>2824</v>
      </c>
      <c r="D2081" s="11" t="s">
        <v>2825</v>
      </c>
      <c r="E2081" s="64">
        <v>46094.0</v>
      </c>
      <c r="F2081" s="14" t="s">
        <v>1133</v>
      </c>
      <c r="G2081" s="178">
        <v>5000.0</v>
      </c>
      <c r="H2081" s="16">
        <v>297.0</v>
      </c>
      <c r="I2081" s="17">
        <f t="shared" si="63"/>
        <v>4703</v>
      </c>
      <c r="J2081" s="17" t="s">
        <v>1</v>
      </c>
      <c r="K2081" s="330"/>
      <c r="L2081" s="330"/>
      <c r="M2081" s="330"/>
      <c r="N2081" s="330"/>
      <c r="O2081" s="330"/>
      <c r="P2081" s="330"/>
      <c r="Q2081" s="330"/>
      <c r="R2081" s="330"/>
      <c r="S2081" s="330"/>
      <c r="T2081" s="330"/>
      <c r="U2081" s="330"/>
      <c r="V2081" s="330"/>
      <c r="W2081" s="330"/>
      <c r="X2081" s="330"/>
      <c r="Y2081" s="330"/>
      <c r="Z2081" s="330"/>
    </row>
    <row r="2082" ht="33.75" customHeight="1">
      <c r="A2082" s="11" t="s">
        <v>2829</v>
      </c>
      <c r="B2082" s="22" t="s">
        <v>81</v>
      </c>
      <c r="C2082" s="11" t="s">
        <v>2824</v>
      </c>
      <c r="D2082" s="11" t="s">
        <v>2825</v>
      </c>
      <c r="E2082" s="64">
        <v>46094.0</v>
      </c>
      <c r="F2082" s="14" t="s">
        <v>1133</v>
      </c>
      <c r="G2082" s="178">
        <v>8000.0</v>
      </c>
      <c r="H2082" s="16">
        <v>5019.0</v>
      </c>
      <c r="I2082" s="17">
        <f t="shared" si="63"/>
        <v>2981</v>
      </c>
      <c r="J2082" s="17" t="s">
        <v>1</v>
      </c>
      <c r="K2082" s="330"/>
      <c r="L2082" s="330"/>
      <c r="M2082" s="330"/>
      <c r="N2082" s="330"/>
      <c r="O2082" s="330"/>
      <c r="P2082" s="330"/>
      <c r="Q2082" s="330"/>
      <c r="R2082" s="330"/>
      <c r="S2082" s="330"/>
      <c r="T2082" s="330"/>
      <c r="U2082" s="330"/>
      <c r="V2082" s="330"/>
      <c r="W2082" s="330"/>
      <c r="X2082" s="330"/>
      <c r="Y2082" s="330"/>
      <c r="Z2082" s="330"/>
    </row>
    <row r="2083" ht="33.75" customHeight="1">
      <c r="A2083" s="11" t="s">
        <v>2830</v>
      </c>
      <c r="B2083" s="22" t="s">
        <v>81</v>
      </c>
      <c r="C2083" s="11" t="s">
        <v>2824</v>
      </c>
      <c r="D2083" s="11" t="s">
        <v>2825</v>
      </c>
      <c r="E2083" s="64">
        <v>46094.0</v>
      </c>
      <c r="F2083" s="14" t="s">
        <v>1133</v>
      </c>
      <c r="G2083" s="178">
        <v>8000.0</v>
      </c>
      <c r="H2083" s="16">
        <v>5629.0</v>
      </c>
      <c r="I2083" s="17">
        <f t="shared" si="63"/>
        <v>2371</v>
      </c>
      <c r="J2083" s="17" t="s">
        <v>1</v>
      </c>
      <c r="K2083" s="330"/>
      <c r="L2083" s="330"/>
      <c r="M2083" s="330"/>
      <c r="N2083" s="330"/>
      <c r="O2083" s="330"/>
      <c r="P2083" s="330"/>
      <c r="Q2083" s="330"/>
      <c r="R2083" s="330"/>
      <c r="S2083" s="330"/>
      <c r="T2083" s="330"/>
      <c r="U2083" s="330"/>
      <c r="V2083" s="330"/>
      <c r="W2083" s="330"/>
      <c r="X2083" s="330"/>
      <c r="Y2083" s="330"/>
      <c r="Z2083" s="330"/>
    </row>
    <row r="2084" ht="33.75" customHeight="1">
      <c r="A2084" s="11" t="s">
        <v>2478</v>
      </c>
      <c r="B2084" s="12"/>
      <c r="C2084" s="11" t="s">
        <v>2796</v>
      </c>
      <c r="D2084" s="36"/>
      <c r="E2084" s="64">
        <v>46094.0</v>
      </c>
      <c r="F2084" s="14" t="s">
        <v>1191</v>
      </c>
      <c r="G2084" s="178"/>
      <c r="H2084" s="16">
        <v>3784.0</v>
      </c>
      <c r="I2084" s="17">
        <f t="shared" si="63"/>
        <v>-3784</v>
      </c>
      <c r="J2084" s="17" t="s">
        <v>1</v>
      </c>
      <c r="K2084" s="252"/>
      <c r="L2084" s="252"/>
      <c r="M2084" s="252"/>
      <c r="N2084" s="252"/>
      <c r="O2084" s="252"/>
      <c r="P2084" s="252"/>
      <c r="Q2084" s="252"/>
      <c r="R2084" s="252"/>
      <c r="S2084" s="252"/>
      <c r="T2084" s="252"/>
      <c r="U2084" s="252"/>
      <c r="V2084" s="252"/>
      <c r="W2084" s="252"/>
      <c r="X2084" s="252"/>
      <c r="Y2084" s="252"/>
      <c r="Z2084" s="252"/>
    </row>
    <row r="2085" ht="33.75" customHeight="1">
      <c r="A2085" s="11" t="s">
        <v>2478</v>
      </c>
      <c r="B2085" s="12"/>
      <c r="C2085" s="11" t="s">
        <v>2794</v>
      </c>
      <c r="D2085" s="36"/>
      <c r="E2085" s="64">
        <v>46094.0</v>
      </c>
      <c r="F2085" s="14" t="s">
        <v>1191</v>
      </c>
      <c r="G2085" s="178"/>
      <c r="H2085" s="16">
        <v>3962.0</v>
      </c>
      <c r="I2085" s="17">
        <f t="shared" si="63"/>
        <v>-3962</v>
      </c>
      <c r="J2085" s="17" t="s">
        <v>1</v>
      </c>
      <c r="K2085" s="252"/>
      <c r="L2085" s="252"/>
      <c r="M2085" s="252"/>
      <c r="N2085" s="252"/>
      <c r="O2085" s="252"/>
      <c r="P2085" s="252"/>
      <c r="Q2085" s="252"/>
      <c r="R2085" s="252"/>
      <c r="S2085" s="252"/>
      <c r="T2085" s="252"/>
      <c r="U2085" s="252"/>
      <c r="V2085" s="252"/>
      <c r="W2085" s="252"/>
      <c r="X2085" s="252"/>
      <c r="Y2085" s="252"/>
      <c r="Z2085" s="252"/>
    </row>
    <row r="2086" ht="33.75" customHeight="1">
      <c r="A2086" s="11" t="s">
        <v>109</v>
      </c>
      <c r="B2086" s="12"/>
      <c r="C2086" s="11" t="s">
        <v>2420</v>
      </c>
      <c r="D2086" s="36"/>
      <c r="E2086" s="64">
        <v>46094.0</v>
      </c>
      <c r="F2086" s="14" t="s">
        <v>1141</v>
      </c>
      <c r="G2086" s="178">
        <v>6262.0</v>
      </c>
      <c r="H2086" s="11">
        <v>5131.0</v>
      </c>
      <c r="I2086" s="22">
        <f t="shared" si="63"/>
        <v>1131</v>
      </c>
      <c r="J2086" s="91" t="s">
        <v>700</v>
      </c>
      <c r="K2086" s="330"/>
      <c r="L2086" s="330"/>
      <c r="M2086" s="330"/>
      <c r="N2086" s="330"/>
      <c r="O2086" s="330"/>
      <c r="P2086" s="330"/>
      <c r="Q2086" s="330"/>
      <c r="R2086" s="330"/>
      <c r="S2086" s="330"/>
      <c r="T2086" s="330"/>
      <c r="U2086" s="330"/>
      <c r="V2086" s="330"/>
      <c r="W2086" s="330"/>
      <c r="X2086" s="330"/>
      <c r="Y2086" s="330"/>
      <c r="Z2086" s="330"/>
    </row>
    <row r="2087" ht="33.75" customHeight="1">
      <c r="A2087" s="11" t="s">
        <v>2741</v>
      </c>
      <c r="B2087" s="22" t="s">
        <v>144</v>
      </c>
      <c r="C2087" s="11" t="s">
        <v>2742</v>
      </c>
      <c r="D2087" s="36"/>
      <c r="E2087" s="64">
        <v>46091.0</v>
      </c>
      <c r="F2087" s="14" t="s">
        <v>1133</v>
      </c>
      <c r="G2087" s="178">
        <v>10000.0</v>
      </c>
      <c r="H2087" s="16">
        <v>8123.0</v>
      </c>
      <c r="I2087" s="17">
        <f t="shared" si="63"/>
        <v>1877</v>
      </c>
      <c r="J2087" s="17" t="s">
        <v>1</v>
      </c>
      <c r="K2087" s="330"/>
      <c r="L2087" s="330"/>
      <c r="M2087" s="330"/>
      <c r="N2087" s="330"/>
      <c r="O2087" s="330"/>
      <c r="P2087" s="330"/>
      <c r="Q2087" s="330"/>
      <c r="R2087" s="330"/>
      <c r="S2087" s="330"/>
      <c r="T2087" s="330"/>
      <c r="U2087" s="330"/>
      <c r="V2087" s="330"/>
      <c r="W2087" s="330"/>
      <c r="X2087" s="330"/>
      <c r="Y2087" s="330"/>
      <c r="Z2087" s="330"/>
    </row>
    <row r="2088" ht="33.75" customHeight="1">
      <c r="A2088" s="11" t="s">
        <v>1587</v>
      </c>
      <c r="B2088" s="22" t="s">
        <v>85</v>
      </c>
      <c r="C2088" s="11" t="s">
        <v>2785</v>
      </c>
      <c r="D2088" s="36"/>
      <c r="E2088" s="64">
        <v>46094.0</v>
      </c>
      <c r="F2088" s="14" t="s">
        <v>287</v>
      </c>
      <c r="G2088" s="178">
        <v>37252.0</v>
      </c>
      <c r="H2088" s="16">
        <v>29474.0</v>
      </c>
      <c r="I2088" s="17">
        <f t="shared" si="63"/>
        <v>7778</v>
      </c>
      <c r="J2088" s="25" t="s">
        <v>1</v>
      </c>
      <c r="K2088" s="330"/>
      <c r="L2088" s="330"/>
      <c r="M2088" s="330"/>
      <c r="N2088" s="330"/>
      <c r="O2088" s="330"/>
      <c r="P2088" s="330"/>
      <c r="Q2088" s="330"/>
      <c r="R2088" s="330"/>
      <c r="S2088" s="330"/>
      <c r="T2088" s="330"/>
      <c r="U2088" s="330"/>
      <c r="V2088" s="330"/>
      <c r="W2088" s="330"/>
      <c r="X2088" s="330"/>
      <c r="Y2088" s="330"/>
      <c r="Z2088" s="330"/>
    </row>
    <row r="2089" ht="33.75" customHeight="1">
      <c r="A2089" s="11" t="s">
        <v>2038</v>
      </c>
      <c r="B2089" s="22" t="s">
        <v>2831</v>
      </c>
      <c r="C2089" s="11" t="s">
        <v>2417</v>
      </c>
      <c r="D2089" s="11"/>
      <c r="E2089" s="64">
        <v>46094.0</v>
      </c>
      <c r="F2089" s="14" t="s">
        <v>17</v>
      </c>
      <c r="G2089" s="178">
        <v>9435.0</v>
      </c>
      <c r="H2089" s="16">
        <v>7124.0</v>
      </c>
      <c r="I2089" s="17">
        <f t="shared" si="63"/>
        <v>2311</v>
      </c>
      <c r="J2089" s="17" t="s">
        <v>1</v>
      </c>
      <c r="K2089" s="330"/>
      <c r="L2089" s="330"/>
      <c r="M2089" s="330"/>
      <c r="N2089" s="330"/>
      <c r="O2089" s="330"/>
      <c r="P2089" s="330"/>
      <c r="Q2089" s="330"/>
      <c r="R2089" s="330"/>
      <c r="S2089" s="330"/>
      <c r="T2089" s="330"/>
      <c r="U2089" s="330"/>
      <c r="V2089" s="330"/>
      <c r="W2089" s="330"/>
      <c r="X2089" s="330"/>
      <c r="Y2089" s="330"/>
      <c r="Z2089" s="330"/>
    </row>
    <row r="2090" ht="33.75" customHeight="1">
      <c r="A2090" s="11" t="s">
        <v>2038</v>
      </c>
      <c r="B2090" s="22" t="s">
        <v>2831</v>
      </c>
      <c r="C2090" s="11" t="s">
        <v>2417</v>
      </c>
      <c r="D2090" s="11"/>
      <c r="E2090" s="64">
        <v>46094.0</v>
      </c>
      <c r="F2090" s="14" t="s">
        <v>17</v>
      </c>
      <c r="G2090" s="178">
        <v>7260.0</v>
      </c>
      <c r="H2090" s="16">
        <v>6342.0</v>
      </c>
      <c r="I2090" s="17">
        <f t="shared" si="63"/>
        <v>918</v>
      </c>
      <c r="J2090" s="17" t="s">
        <v>1</v>
      </c>
      <c r="K2090" s="330"/>
      <c r="L2090" s="330"/>
      <c r="M2090" s="330"/>
      <c r="N2090" s="330"/>
      <c r="O2090" s="330"/>
      <c r="P2090" s="330"/>
      <c r="Q2090" s="330"/>
      <c r="R2090" s="330"/>
      <c r="S2090" s="330"/>
      <c r="T2090" s="330"/>
      <c r="U2090" s="330"/>
      <c r="V2090" s="330"/>
      <c r="W2090" s="330"/>
      <c r="X2090" s="330"/>
      <c r="Y2090" s="330"/>
      <c r="Z2090" s="330"/>
    </row>
    <row r="2091" ht="33.75" customHeight="1">
      <c r="A2091" s="11" t="s">
        <v>2018</v>
      </c>
      <c r="B2091" s="22"/>
      <c r="C2091" s="11" t="s">
        <v>2392</v>
      </c>
      <c r="D2091" s="11" t="s">
        <v>2393</v>
      </c>
      <c r="E2091" s="64">
        <v>46094.0</v>
      </c>
      <c r="F2091" s="14" t="s">
        <v>1141</v>
      </c>
      <c r="G2091" s="178">
        <v>771.0</v>
      </c>
      <c r="H2091" s="16">
        <v>722.0</v>
      </c>
      <c r="I2091" s="17">
        <f t="shared" si="63"/>
        <v>49</v>
      </c>
      <c r="J2091" s="17" t="s">
        <v>1</v>
      </c>
      <c r="K2091" s="330"/>
      <c r="L2091" s="330"/>
      <c r="M2091" s="330"/>
      <c r="N2091" s="330"/>
      <c r="O2091" s="330"/>
      <c r="P2091" s="330"/>
      <c r="Q2091" s="330"/>
      <c r="R2091" s="330"/>
      <c r="S2091" s="330"/>
      <c r="T2091" s="330"/>
      <c r="U2091" s="330"/>
      <c r="V2091" s="330"/>
      <c r="W2091" s="330"/>
      <c r="X2091" s="330"/>
      <c r="Y2091" s="330"/>
      <c r="Z2091" s="330"/>
    </row>
    <row r="2092" ht="33.75" customHeight="1">
      <c r="A2092" s="11" t="s">
        <v>1516</v>
      </c>
      <c r="B2092" s="22" t="s">
        <v>2832</v>
      </c>
      <c r="C2092" s="11" t="s">
        <v>2833</v>
      </c>
      <c r="D2092" s="11" t="s">
        <v>2834</v>
      </c>
      <c r="E2092" s="64">
        <v>46094.0</v>
      </c>
      <c r="F2092" s="14" t="s">
        <v>17</v>
      </c>
      <c r="G2092" s="178">
        <v>4000.0</v>
      </c>
      <c r="H2092" s="16">
        <v>2112.0</v>
      </c>
      <c r="I2092" s="17">
        <f t="shared" si="63"/>
        <v>1888</v>
      </c>
      <c r="J2092" s="17" t="s">
        <v>1</v>
      </c>
      <c r="K2092" s="330"/>
      <c r="L2092" s="330"/>
      <c r="M2092" s="330"/>
      <c r="N2092" s="330"/>
      <c r="O2092" s="330"/>
      <c r="P2092" s="330"/>
      <c r="Q2092" s="330"/>
      <c r="R2092" s="330"/>
      <c r="S2092" s="330"/>
      <c r="T2092" s="330"/>
      <c r="U2092" s="330"/>
      <c r="V2092" s="330"/>
      <c r="W2092" s="330"/>
      <c r="X2092" s="330"/>
      <c r="Y2092" s="330"/>
      <c r="Z2092" s="330"/>
    </row>
    <row r="2093" ht="33.75" customHeight="1">
      <c r="A2093" s="11" t="s">
        <v>2556</v>
      </c>
      <c r="B2093" s="22" t="s">
        <v>2835</v>
      </c>
      <c r="C2093" s="11" t="s">
        <v>2557</v>
      </c>
      <c r="D2093" s="11">
        <v>8.3233312593272E14</v>
      </c>
      <c r="E2093" s="64">
        <v>46094.0</v>
      </c>
      <c r="F2093" s="14" t="s">
        <v>287</v>
      </c>
      <c r="G2093" s="178">
        <v>50000.0</v>
      </c>
      <c r="H2093" s="16">
        <v>34269.0</v>
      </c>
      <c r="I2093" s="17">
        <f t="shared" si="63"/>
        <v>15731</v>
      </c>
      <c r="J2093" s="25" t="s">
        <v>1</v>
      </c>
      <c r="K2093" s="330"/>
      <c r="L2093" s="330"/>
      <c r="M2093" s="330"/>
      <c r="N2093" s="330"/>
      <c r="O2093" s="330"/>
      <c r="P2093" s="330"/>
      <c r="Q2093" s="330"/>
      <c r="R2093" s="330"/>
      <c r="S2093" s="330"/>
      <c r="T2093" s="330"/>
      <c r="U2093" s="330"/>
      <c r="V2093" s="330"/>
      <c r="W2093" s="330"/>
      <c r="X2093" s="330"/>
      <c r="Y2093" s="330"/>
      <c r="Z2093" s="330"/>
    </row>
    <row r="2094" ht="33.75" customHeight="1">
      <c r="A2094" s="11" t="s">
        <v>1587</v>
      </c>
      <c r="B2094" s="22" t="s">
        <v>88</v>
      </c>
      <c r="C2094" s="11" t="s">
        <v>2786</v>
      </c>
      <c r="D2094" s="11">
        <v>9.14859061036376E14</v>
      </c>
      <c r="E2094" s="64">
        <v>46094.0</v>
      </c>
      <c r="F2094" s="14" t="s">
        <v>287</v>
      </c>
      <c r="G2094" s="178">
        <v>36906.0</v>
      </c>
      <c r="H2094" s="16">
        <v>29057.0</v>
      </c>
      <c r="I2094" s="17">
        <f t="shared" si="63"/>
        <v>7849</v>
      </c>
      <c r="J2094" s="25" t="s">
        <v>1</v>
      </c>
      <c r="K2094" s="330"/>
      <c r="L2094" s="330"/>
      <c r="M2094" s="330"/>
      <c r="N2094" s="330"/>
      <c r="O2094" s="330"/>
      <c r="P2094" s="330"/>
      <c r="Q2094" s="330"/>
      <c r="R2094" s="330"/>
      <c r="S2094" s="330"/>
      <c r="T2094" s="330"/>
      <c r="U2094" s="330"/>
      <c r="V2094" s="330"/>
      <c r="W2094" s="330"/>
      <c r="X2094" s="330"/>
      <c r="Y2094" s="330"/>
      <c r="Z2094" s="330"/>
    </row>
    <row r="2095" ht="33.75" customHeight="1">
      <c r="A2095" s="11" t="s">
        <v>2172</v>
      </c>
      <c r="B2095" s="22" t="s">
        <v>31</v>
      </c>
      <c r="C2095" s="11" t="s">
        <v>2559</v>
      </c>
      <c r="D2095" s="11">
        <v>8.81523457979127E14</v>
      </c>
      <c r="E2095" s="64">
        <v>46094.0</v>
      </c>
      <c r="F2095" s="14" t="s">
        <v>17</v>
      </c>
      <c r="G2095" s="178">
        <v>53711.0</v>
      </c>
      <c r="H2095" s="16">
        <v>49598.0</v>
      </c>
      <c r="I2095" s="17">
        <f t="shared" si="63"/>
        <v>4113</v>
      </c>
      <c r="J2095" s="17" t="s">
        <v>1</v>
      </c>
      <c r="K2095" s="330"/>
      <c r="L2095" s="330"/>
      <c r="M2095" s="330"/>
      <c r="N2095" s="330"/>
      <c r="O2095" s="330"/>
      <c r="P2095" s="330"/>
      <c r="Q2095" s="330"/>
      <c r="R2095" s="330"/>
      <c r="S2095" s="330"/>
      <c r="T2095" s="330"/>
      <c r="U2095" s="330"/>
      <c r="V2095" s="330"/>
      <c r="W2095" s="330"/>
      <c r="X2095" s="330"/>
      <c r="Y2095" s="330"/>
      <c r="Z2095" s="330"/>
    </row>
    <row r="2096" ht="33.75" customHeight="1">
      <c r="A2096" s="11" t="s">
        <v>2172</v>
      </c>
      <c r="B2096" s="22" t="s">
        <v>31</v>
      </c>
      <c r="C2096" s="11" t="s">
        <v>2560</v>
      </c>
      <c r="D2096" s="11">
        <v>9.13012638131824E14</v>
      </c>
      <c r="E2096" s="64">
        <v>46094.0</v>
      </c>
      <c r="F2096" s="14" t="s">
        <v>17</v>
      </c>
      <c r="G2096" s="178">
        <v>53711.0</v>
      </c>
      <c r="H2096" s="16">
        <v>48908.0</v>
      </c>
      <c r="I2096" s="17">
        <f t="shared" si="63"/>
        <v>4803</v>
      </c>
      <c r="J2096" s="17" t="s">
        <v>1</v>
      </c>
      <c r="K2096" s="330"/>
      <c r="L2096" s="330"/>
      <c r="M2096" s="330"/>
      <c r="N2096" s="330"/>
      <c r="O2096" s="330"/>
      <c r="P2096" s="330"/>
      <c r="Q2096" s="330"/>
      <c r="R2096" s="330"/>
      <c r="S2096" s="330"/>
      <c r="T2096" s="330"/>
      <c r="U2096" s="330"/>
      <c r="V2096" s="330"/>
      <c r="W2096" s="330"/>
      <c r="X2096" s="330"/>
      <c r="Y2096" s="330"/>
      <c r="Z2096" s="330"/>
    </row>
    <row r="2097" ht="33.75" customHeight="1">
      <c r="A2097" s="11" t="s">
        <v>1587</v>
      </c>
      <c r="B2097" s="22" t="s">
        <v>31</v>
      </c>
      <c r="C2097" s="11" t="s">
        <v>2787</v>
      </c>
      <c r="D2097" s="11" t="s">
        <v>2788</v>
      </c>
      <c r="E2097" s="64">
        <v>46094.0</v>
      </c>
      <c r="F2097" s="14" t="s">
        <v>287</v>
      </c>
      <c r="G2097" s="178">
        <v>36903.0</v>
      </c>
      <c r="H2097" s="16">
        <v>26717.0</v>
      </c>
      <c r="I2097" s="17">
        <f t="shared" si="63"/>
        <v>10186</v>
      </c>
      <c r="J2097" s="25" t="s">
        <v>1</v>
      </c>
      <c r="K2097" s="330"/>
      <c r="L2097" s="330"/>
      <c r="M2097" s="330"/>
      <c r="N2097" s="330"/>
      <c r="O2097" s="330"/>
      <c r="P2097" s="330"/>
      <c r="Q2097" s="330"/>
      <c r="R2097" s="330"/>
      <c r="S2097" s="330"/>
      <c r="T2097" s="330"/>
      <c r="U2097" s="330"/>
      <c r="V2097" s="330"/>
      <c r="W2097" s="330"/>
      <c r="X2097" s="330"/>
      <c r="Y2097" s="330"/>
      <c r="Z2097" s="330"/>
    </row>
    <row r="2098" ht="33.75" customHeight="1">
      <c r="A2098" s="11" t="s">
        <v>109</v>
      </c>
      <c r="B2098" s="22"/>
      <c r="C2098" s="11" t="s">
        <v>2420</v>
      </c>
      <c r="D2098" s="11"/>
      <c r="E2098" s="64">
        <v>46094.0</v>
      </c>
      <c r="F2098" s="14" t="s">
        <v>1191</v>
      </c>
      <c r="G2098" s="178"/>
      <c r="H2098" s="16">
        <v>2612.0</v>
      </c>
      <c r="I2098" s="17">
        <f t="shared" si="63"/>
        <v>-2612</v>
      </c>
      <c r="J2098" s="17" t="s">
        <v>1</v>
      </c>
      <c r="K2098" s="330"/>
      <c r="L2098" s="330"/>
      <c r="M2098" s="330"/>
      <c r="N2098" s="330"/>
      <c r="O2098" s="330"/>
      <c r="P2098" s="330"/>
      <c r="Q2098" s="330"/>
      <c r="R2098" s="330"/>
      <c r="S2098" s="330"/>
      <c r="T2098" s="330"/>
      <c r="U2098" s="330"/>
      <c r="V2098" s="330"/>
      <c r="W2098" s="330"/>
      <c r="X2098" s="330"/>
      <c r="Y2098" s="330"/>
      <c r="Z2098" s="330"/>
    </row>
    <row r="2099" ht="33.75" customHeight="1">
      <c r="A2099" s="11" t="s">
        <v>1587</v>
      </c>
      <c r="B2099" s="22" t="s">
        <v>91</v>
      </c>
      <c r="C2099" s="11" t="s">
        <v>2789</v>
      </c>
      <c r="D2099" s="11" t="s">
        <v>2790</v>
      </c>
      <c r="E2099" s="64">
        <v>46094.0</v>
      </c>
      <c r="F2099" s="14" t="s">
        <v>287</v>
      </c>
      <c r="G2099" s="178">
        <v>36902.0</v>
      </c>
      <c r="H2099" s="16">
        <v>27437.0</v>
      </c>
      <c r="I2099" s="17">
        <f t="shared" si="63"/>
        <v>9465</v>
      </c>
      <c r="J2099" s="25" t="s">
        <v>1</v>
      </c>
      <c r="K2099" s="330"/>
      <c r="L2099" s="330"/>
      <c r="M2099" s="330"/>
      <c r="N2099" s="330"/>
      <c r="O2099" s="330"/>
      <c r="P2099" s="330"/>
      <c r="Q2099" s="330"/>
      <c r="R2099" s="330"/>
      <c r="S2099" s="330"/>
      <c r="T2099" s="330"/>
      <c r="U2099" s="330"/>
      <c r="V2099" s="330"/>
      <c r="W2099" s="330"/>
      <c r="X2099" s="330"/>
      <c r="Y2099" s="330"/>
      <c r="Z2099" s="330"/>
    </row>
    <row r="2100" ht="33.75" customHeight="1">
      <c r="A2100" s="11" t="s">
        <v>1587</v>
      </c>
      <c r="B2100" s="22" t="s">
        <v>125</v>
      </c>
      <c r="C2100" s="11" t="s">
        <v>2792</v>
      </c>
      <c r="D2100" s="11" t="s">
        <v>2793</v>
      </c>
      <c r="E2100" s="64">
        <v>46094.0</v>
      </c>
      <c r="F2100" s="14" t="s">
        <v>287</v>
      </c>
      <c r="G2100" s="178">
        <v>36902.0</v>
      </c>
      <c r="H2100" s="16">
        <v>29291.0</v>
      </c>
      <c r="I2100" s="17">
        <f t="shared" si="63"/>
        <v>7611</v>
      </c>
      <c r="J2100" s="25" t="s">
        <v>1</v>
      </c>
      <c r="K2100" s="330"/>
      <c r="L2100" s="330"/>
      <c r="M2100" s="330"/>
      <c r="N2100" s="330"/>
      <c r="O2100" s="330"/>
      <c r="P2100" s="330"/>
      <c r="Q2100" s="330"/>
      <c r="R2100" s="330"/>
      <c r="S2100" s="330"/>
      <c r="T2100" s="330"/>
      <c r="U2100" s="330"/>
      <c r="V2100" s="330"/>
      <c r="W2100" s="330"/>
      <c r="X2100" s="330"/>
      <c r="Y2100" s="330"/>
      <c r="Z2100" s="330"/>
    </row>
    <row r="2101" ht="33.75" customHeight="1">
      <c r="A2101" s="11" t="s">
        <v>135</v>
      </c>
      <c r="B2101" s="22" t="s">
        <v>161</v>
      </c>
      <c r="C2101" s="11" t="s">
        <v>2836</v>
      </c>
      <c r="D2101" s="74" t="s">
        <v>2837</v>
      </c>
      <c r="E2101" s="64">
        <v>46093.0</v>
      </c>
      <c r="F2101" s="14" t="s">
        <v>287</v>
      </c>
      <c r="G2101" s="178">
        <v>19000.0</v>
      </c>
      <c r="H2101" s="16">
        <v>17412.0</v>
      </c>
      <c r="I2101" s="17">
        <f t="shared" si="63"/>
        <v>1588</v>
      </c>
      <c r="J2101" s="25" t="s">
        <v>1</v>
      </c>
      <c r="K2101" s="330"/>
      <c r="L2101" s="330"/>
      <c r="M2101" s="330"/>
      <c r="N2101" s="330"/>
      <c r="O2101" s="330"/>
      <c r="P2101" s="330"/>
      <c r="Q2101" s="330"/>
      <c r="R2101" s="330"/>
      <c r="S2101" s="330"/>
      <c r="T2101" s="330"/>
      <c r="U2101" s="330"/>
      <c r="V2101" s="330"/>
      <c r="W2101" s="330"/>
      <c r="X2101" s="330"/>
      <c r="Y2101" s="330"/>
      <c r="Z2101" s="330"/>
    </row>
    <row r="2102" ht="33.75" customHeight="1">
      <c r="A2102" s="11" t="s">
        <v>1987</v>
      </c>
      <c r="B2102" s="22" t="s">
        <v>530</v>
      </c>
      <c r="C2102" s="11" t="s">
        <v>2481</v>
      </c>
      <c r="D2102" s="74">
        <v>1.64198899360608E15</v>
      </c>
      <c r="E2102" s="64">
        <v>46093.0</v>
      </c>
      <c r="F2102" s="14" t="s">
        <v>1133</v>
      </c>
      <c r="G2102" s="178">
        <v>10000.0</v>
      </c>
      <c r="H2102" s="28">
        <f>4597+4348</f>
        <v>8945</v>
      </c>
      <c r="I2102" s="17">
        <f t="shared" si="63"/>
        <v>1055</v>
      </c>
      <c r="J2102" s="17" t="s">
        <v>1</v>
      </c>
      <c r="K2102" s="330"/>
      <c r="L2102" s="330"/>
      <c r="M2102" s="330"/>
      <c r="N2102" s="330"/>
      <c r="O2102" s="330"/>
      <c r="P2102" s="330"/>
      <c r="Q2102" s="330"/>
      <c r="R2102" s="330"/>
      <c r="S2102" s="330"/>
      <c r="T2102" s="330"/>
      <c r="U2102" s="330"/>
      <c r="V2102" s="330"/>
      <c r="W2102" s="330"/>
      <c r="X2102" s="330"/>
      <c r="Y2102" s="330"/>
      <c r="Z2102" s="330"/>
    </row>
    <row r="2103" ht="33.75" customHeight="1">
      <c r="A2103" s="11" t="s">
        <v>2838</v>
      </c>
      <c r="B2103" s="22" t="s">
        <v>2839</v>
      </c>
      <c r="C2103" s="11" t="s">
        <v>2840</v>
      </c>
      <c r="D2103" s="11" t="s">
        <v>2841</v>
      </c>
      <c r="E2103" s="64">
        <v>46093.0</v>
      </c>
      <c r="F2103" s="14" t="s">
        <v>17</v>
      </c>
      <c r="G2103" s="178">
        <v>1486.0</v>
      </c>
      <c r="H2103" s="16">
        <v>912.0</v>
      </c>
      <c r="I2103" s="17">
        <f t="shared" si="63"/>
        <v>574</v>
      </c>
      <c r="J2103" s="17" t="s">
        <v>1</v>
      </c>
      <c r="K2103" s="330"/>
      <c r="L2103" s="330"/>
      <c r="M2103" s="330"/>
      <c r="N2103" s="330"/>
      <c r="O2103" s="330"/>
      <c r="P2103" s="330"/>
      <c r="Q2103" s="330"/>
      <c r="R2103" s="330"/>
      <c r="S2103" s="330"/>
      <c r="T2103" s="330"/>
      <c r="U2103" s="330"/>
      <c r="V2103" s="330"/>
      <c r="W2103" s="330"/>
      <c r="X2103" s="330"/>
      <c r="Y2103" s="330"/>
      <c r="Z2103" s="330"/>
    </row>
    <row r="2104" ht="33.75" customHeight="1">
      <c r="A2104" s="11" t="s">
        <v>534</v>
      </c>
      <c r="B2104" s="22" t="s">
        <v>1043</v>
      </c>
      <c r="C2104" s="11" t="s">
        <v>2842</v>
      </c>
      <c r="D2104" s="74">
        <v>2.42930686751511E15</v>
      </c>
      <c r="E2104" s="64">
        <v>46093.0</v>
      </c>
      <c r="F2104" s="14" t="s">
        <v>17</v>
      </c>
      <c r="G2104" s="178">
        <v>8659.0</v>
      </c>
      <c r="H2104" s="16">
        <v>6176.0</v>
      </c>
      <c r="I2104" s="17">
        <f t="shared" si="63"/>
        <v>2483</v>
      </c>
      <c r="J2104" s="17" t="s">
        <v>1</v>
      </c>
      <c r="K2104" s="330"/>
      <c r="L2104" s="330"/>
      <c r="M2104" s="330"/>
      <c r="N2104" s="330"/>
      <c r="O2104" s="330"/>
      <c r="P2104" s="330"/>
      <c r="Q2104" s="330"/>
      <c r="R2104" s="330"/>
      <c r="S2104" s="330"/>
      <c r="T2104" s="330"/>
      <c r="U2104" s="330"/>
      <c r="V2104" s="330"/>
      <c r="W2104" s="330"/>
      <c r="X2104" s="330"/>
      <c r="Y2104" s="330"/>
      <c r="Z2104" s="330"/>
    </row>
    <row r="2105" ht="33.75" customHeight="1">
      <c r="A2105" s="11" t="s">
        <v>539</v>
      </c>
      <c r="B2105" s="12"/>
      <c r="C2105" s="11" t="s">
        <v>2843</v>
      </c>
      <c r="D2105" s="11">
        <v>7.61089570407931E14</v>
      </c>
      <c r="E2105" s="64">
        <v>46093.0</v>
      </c>
      <c r="F2105" s="14" t="s">
        <v>1191</v>
      </c>
      <c r="G2105" s="178">
        <v>15004.0</v>
      </c>
      <c r="H2105" s="16">
        <v>13214.0</v>
      </c>
      <c r="I2105" s="17">
        <f t="shared" si="63"/>
        <v>1790</v>
      </c>
      <c r="J2105" s="17" t="s">
        <v>1</v>
      </c>
      <c r="K2105" s="252"/>
      <c r="L2105" s="252"/>
      <c r="M2105" s="252"/>
      <c r="N2105" s="252"/>
      <c r="O2105" s="252"/>
      <c r="P2105" s="252"/>
      <c r="Q2105" s="252"/>
      <c r="R2105" s="252"/>
      <c r="S2105" s="252"/>
      <c r="T2105" s="252"/>
      <c r="U2105" s="252"/>
      <c r="V2105" s="252"/>
      <c r="W2105" s="252"/>
      <c r="X2105" s="252"/>
      <c r="Y2105" s="252"/>
      <c r="Z2105" s="252"/>
    </row>
    <row r="2106" ht="33.75" customHeight="1">
      <c r="A2106" s="11" t="s">
        <v>785</v>
      </c>
      <c r="B2106" s="22"/>
      <c r="C2106" s="11" t="s">
        <v>2844</v>
      </c>
      <c r="D2106" s="74" t="s">
        <v>2845</v>
      </c>
      <c r="E2106" s="64">
        <v>46093.0</v>
      </c>
      <c r="F2106" s="14" t="s">
        <v>1141</v>
      </c>
      <c r="G2106" s="178">
        <v>15004.0</v>
      </c>
      <c r="H2106" s="16">
        <v>14302.0</v>
      </c>
      <c r="I2106" s="17">
        <f t="shared" si="63"/>
        <v>702</v>
      </c>
      <c r="J2106" s="17" t="s">
        <v>1</v>
      </c>
      <c r="K2106" s="330"/>
      <c r="L2106" s="330"/>
      <c r="M2106" s="330"/>
      <c r="N2106" s="330"/>
      <c r="O2106" s="330"/>
      <c r="P2106" s="330"/>
      <c r="Q2106" s="330"/>
      <c r="R2106" s="330"/>
      <c r="S2106" s="330"/>
      <c r="T2106" s="330"/>
      <c r="U2106" s="330"/>
      <c r="V2106" s="330"/>
      <c r="W2106" s="330"/>
      <c r="X2106" s="330"/>
      <c r="Y2106" s="330"/>
      <c r="Z2106" s="330"/>
    </row>
    <row r="2107" ht="33.75" customHeight="1">
      <c r="A2107" s="11" t="s">
        <v>2387</v>
      </c>
      <c r="B2107" s="22" t="s">
        <v>34</v>
      </c>
      <c r="C2107" s="11" t="s">
        <v>2389</v>
      </c>
      <c r="D2107" s="74">
        <v>7.53987530911922E14</v>
      </c>
      <c r="E2107" s="64">
        <v>46093.0</v>
      </c>
      <c r="F2107" s="14" t="s">
        <v>1141</v>
      </c>
      <c r="G2107" s="178"/>
      <c r="H2107" s="16">
        <v>253.0</v>
      </c>
      <c r="I2107" s="17">
        <f t="shared" si="63"/>
        <v>-253</v>
      </c>
      <c r="J2107" s="91" t="s">
        <v>700</v>
      </c>
      <c r="K2107" s="330"/>
      <c r="L2107" s="330"/>
      <c r="M2107" s="330"/>
      <c r="N2107" s="330"/>
      <c r="O2107" s="330"/>
      <c r="P2107" s="330"/>
      <c r="Q2107" s="330"/>
      <c r="R2107" s="330"/>
      <c r="S2107" s="330"/>
      <c r="T2107" s="330"/>
      <c r="U2107" s="330"/>
      <c r="V2107" s="330"/>
      <c r="W2107" s="330"/>
      <c r="X2107" s="330"/>
      <c r="Y2107" s="330"/>
      <c r="Z2107" s="330"/>
    </row>
    <row r="2108" ht="33.75" customHeight="1">
      <c r="A2108" s="11" t="s">
        <v>2846</v>
      </c>
      <c r="B2108" s="12"/>
      <c r="C2108" s="11" t="s">
        <v>2847</v>
      </c>
      <c r="D2108" s="11" t="s">
        <v>2848</v>
      </c>
      <c r="E2108" s="64">
        <v>46094.0</v>
      </c>
      <c r="F2108" s="14" t="s">
        <v>99</v>
      </c>
      <c r="G2108" s="178"/>
      <c r="H2108" s="16">
        <v>9171.0</v>
      </c>
      <c r="I2108" s="17">
        <f t="shared" si="63"/>
        <v>-9171</v>
      </c>
      <c r="J2108" s="17" t="s">
        <v>1</v>
      </c>
      <c r="K2108" s="330"/>
      <c r="L2108" s="330"/>
      <c r="M2108" s="330"/>
      <c r="N2108" s="330"/>
      <c r="O2108" s="330"/>
      <c r="P2108" s="330"/>
      <c r="Q2108" s="330"/>
      <c r="R2108" s="330"/>
      <c r="S2108" s="330"/>
      <c r="T2108" s="330"/>
      <c r="U2108" s="330"/>
      <c r="V2108" s="330"/>
      <c r="W2108" s="330"/>
      <c r="X2108" s="330"/>
      <c r="Y2108" s="330"/>
      <c r="Z2108" s="330"/>
    </row>
    <row r="2109" ht="33.75" customHeight="1">
      <c r="A2109" s="11" t="s">
        <v>373</v>
      </c>
      <c r="B2109" s="22" t="s">
        <v>1011</v>
      </c>
      <c r="C2109" s="11" t="s">
        <v>2849</v>
      </c>
      <c r="D2109" s="11" t="s">
        <v>2850</v>
      </c>
      <c r="E2109" s="64">
        <v>46095.0</v>
      </c>
      <c r="F2109" s="14" t="s">
        <v>1133</v>
      </c>
      <c r="G2109" s="178">
        <v>12000.0</v>
      </c>
      <c r="H2109" s="28">
        <f>3849+3862+3477</f>
        <v>11188</v>
      </c>
      <c r="I2109" s="17">
        <f t="shared" si="63"/>
        <v>812</v>
      </c>
      <c r="J2109" s="25" t="s">
        <v>1</v>
      </c>
      <c r="K2109" s="330"/>
      <c r="L2109" s="330"/>
      <c r="M2109" s="330"/>
      <c r="N2109" s="330"/>
      <c r="O2109" s="330"/>
      <c r="P2109" s="330"/>
      <c r="Q2109" s="330"/>
      <c r="R2109" s="330"/>
      <c r="S2109" s="330"/>
      <c r="T2109" s="330"/>
      <c r="U2109" s="330"/>
      <c r="V2109" s="330"/>
      <c r="W2109" s="330"/>
      <c r="X2109" s="330"/>
      <c r="Y2109" s="330"/>
      <c r="Z2109" s="330"/>
    </row>
    <row r="2110" ht="33.75" customHeight="1">
      <c r="A2110" s="11" t="s">
        <v>1667</v>
      </c>
      <c r="B2110" s="22" t="s">
        <v>2131</v>
      </c>
      <c r="C2110" s="11" t="s">
        <v>1784</v>
      </c>
      <c r="D2110" s="11"/>
      <c r="E2110" s="64">
        <v>46095.0</v>
      </c>
      <c r="F2110" s="14" t="s">
        <v>17</v>
      </c>
      <c r="G2110" s="178">
        <v>11426.0</v>
      </c>
      <c r="H2110" s="28"/>
      <c r="I2110" s="17">
        <f t="shared" si="63"/>
        <v>11426</v>
      </c>
      <c r="J2110" s="91" t="s">
        <v>1316</v>
      </c>
      <c r="K2110" s="330"/>
      <c r="L2110" s="330"/>
      <c r="M2110" s="330"/>
      <c r="N2110" s="330"/>
      <c r="O2110" s="330"/>
      <c r="P2110" s="330"/>
      <c r="Q2110" s="330"/>
      <c r="R2110" s="330"/>
      <c r="S2110" s="330"/>
      <c r="T2110" s="330"/>
      <c r="U2110" s="330"/>
      <c r="V2110" s="330"/>
      <c r="W2110" s="330"/>
      <c r="X2110" s="330"/>
      <c r="Y2110" s="330"/>
      <c r="Z2110" s="330"/>
    </row>
    <row r="2111" ht="33.75" customHeight="1">
      <c r="A2111" s="11" t="s">
        <v>2728</v>
      </c>
      <c r="B2111" s="22" t="s">
        <v>31</v>
      </c>
      <c r="C2111" s="11" t="s">
        <v>2851</v>
      </c>
      <c r="D2111" s="11">
        <v>9.23527506699253E14</v>
      </c>
      <c r="E2111" s="64">
        <v>46095.0</v>
      </c>
      <c r="F2111" s="14" t="s">
        <v>1141</v>
      </c>
      <c r="G2111" s="178">
        <v>25000.0</v>
      </c>
      <c r="H2111" s="28"/>
      <c r="I2111" s="17">
        <f t="shared" si="63"/>
        <v>25000</v>
      </c>
      <c r="J2111" s="91" t="s">
        <v>1316</v>
      </c>
      <c r="K2111" s="330"/>
      <c r="L2111" s="330"/>
      <c r="M2111" s="330"/>
      <c r="N2111" s="330"/>
      <c r="O2111" s="330"/>
      <c r="P2111" s="330"/>
      <c r="Q2111" s="330"/>
      <c r="R2111" s="330"/>
      <c r="S2111" s="330"/>
      <c r="T2111" s="330"/>
      <c r="U2111" s="330"/>
      <c r="V2111" s="330"/>
      <c r="W2111" s="330"/>
      <c r="X2111" s="330"/>
      <c r="Y2111" s="330"/>
      <c r="Z2111" s="330"/>
    </row>
    <row r="2112" ht="33.75" customHeight="1">
      <c r="A2112" s="11" t="s">
        <v>2585</v>
      </c>
      <c r="B2112" s="22" t="s">
        <v>31</v>
      </c>
      <c r="C2112" s="11" t="s">
        <v>2727</v>
      </c>
      <c r="D2112" s="11" t="s">
        <v>2587</v>
      </c>
      <c r="E2112" s="64">
        <v>46095.0</v>
      </c>
      <c r="F2112" s="14" t="s">
        <v>287</v>
      </c>
      <c r="G2112" s="178">
        <v>7136.0</v>
      </c>
      <c r="H2112" s="28"/>
      <c r="I2112" s="17">
        <f t="shared" si="63"/>
        <v>7136</v>
      </c>
      <c r="J2112" s="25" t="s">
        <v>1</v>
      </c>
      <c r="K2112" s="330"/>
      <c r="L2112" s="330"/>
      <c r="M2112" s="330"/>
      <c r="N2112" s="330"/>
      <c r="O2112" s="330"/>
      <c r="P2112" s="330"/>
      <c r="Q2112" s="330"/>
      <c r="R2112" s="330"/>
      <c r="S2112" s="330"/>
      <c r="T2112" s="330"/>
      <c r="U2112" s="330"/>
      <c r="V2112" s="330"/>
      <c r="W2112" s="330"/>
      <c r="X2112" s="330"/>
      <c r="Y2112" s="330"/>
      <c r="Z2112" s="330"/>
    </row>
    <row r="2113" ht="33.75" customHeight="1">
      <c r="A2113" s="11" t="s">
        <v>1987</v>
      </c>
      <c r="B2113" s="22" t="s">
        <v>530</v>
      </c>
      <c r="C2113" s="11" t="s">
        <v>2481</v>
      </c>
      <c r="D2113" s="74">
        <v>1.64198899360608E15</v>
      </c>
      <c r="E2113" s="64">
        <v>46095.0</v>
      </c>
      <c r="F2113" s="14" t="s">
        <v>1133</v>
      </c>
      <c r="G2113" s="178">
        <v>10000.0</v>
      </c>
      <c r="H2113" s="28">
        <f>4765+4602</f>
        <v>9367</v>
      </c>
      <c r="I2113" s="17">
        <f t="shared" si="63"/>
        <v>633</v>
      </c>
      <c r="J2113" s="25" t="s">
        <v>1</v>
      </c>
      <c r="K2113" s="330"/>
      <c r="L2113" s="330"/>
      <c r="M2113" s="330"/>
      <c r="N2113" s="330"/>
      <c r="O2113" s="330"/>
      <c r="P2113" s="330"/>
      <c r="Q2113" s="330"/>
      <c r="R2113" s="330"/>
      <c r="S2113" s="330"/>
      <c r="T2113" s="330"/>
      <c r="U2113" s="330"/>
      <c r="V2113" s="330"/>
      <c r="W2113" s="330"/>
      <c r="X2113" s="330"/>
      <c r="Y2113" s="330"/>
      <c r="Z2113" s="330"/>
    </row>
    <row r="2114" ht="33.75" customHeight="1">
      <c r="A2114" s="11" t="s">
        <v>752</v>
      </c>
      <c r="B2114" s="12"/>
      <c r="C2114" s="11" t="s">
        <v>2852</v>
      </c>
      <c r="D2114" s="24" t="s">
        <v>2853</v>
      </c>
      <c r="E2114" s="64">
        <v>46096.0</v>
      </c>
      <c r="F2114" s="14" t="s">
        <v>1141</v>
      </c>
      <c r="G2114" s="178">
        <v>5705.0</v>
      </c>
      <c r="H2114" s="28"/>
      <c r="I2114" s="17">
        <f t="shared" si="63"/>
        <v>5705</v>
      </c>
      <c r="J2114" s="17" t="s">
        <v>1</v>
      </c>
      <c r="K2114" s="330"/>
      <c r="L2114" s="330"/>
      <c r="M2114" s="330"/>
      <c r="N2114" s="330"/>
      <c r="O2114" s="330"/>
      <c r="P2114" s="330"/>
      <c r="Q2114" s="330"/>
      <c r="R2114" s="330"/>
      <c r="S2114" s="330"/>
      <c r="T2114" s="330"/>
      <c r="U2114" s="330"/>
      <c r="V2114" s="330"/>
      <c r="W2114" s="330"/>
      <c r="X2114" s="330"/>
      <c r="Y2114" s="330"/>
      <c r="Z2114" s="330"/>
    </row>
    <row r="2115" ht="33.75" customHeight="1">
      <c r="A2115" s="11" t="s">
        <v>1987</v>
      </c>
      <c r="B2115" s="12" t="s">
        <v>19</v>
      </c>
      <c r="C2115" s="11" t="s">
        <v>2481</v>
      </c>
      <c r="D2115" s="24">
        <v>1.64198899360608E15</v>
      </c>
      <c r="E2115" s="64">
        <v>46096.0</v>
      </c>
      <c r="F2115" s="14" t="s">
        <v>1141</v>
      </c>
      <c r="G2115" s="178">
        <v>10000.0</v>
      </c>
      <c r="H2115" s="28"/>
      <c r="I2115" s="17">
        <f t="shared" si="63"/>
        <v>10000</v>
      </c>
      <c r="J2115" s="39" t="s">
        <v>2854</v>
      </c>
      <c r="K2115" s="330"/>
      <c r="L2115" s="330"/>
      <c r="M2115" s="330"/>
      <c r="N2115" s="330"/>
      <c r="O2115" s="330"/>
      <c r="P2115" s="330"/>
      <c r="Q2115" s="330"/>
      <c r="R2115" s="330"/>
      <c r="S2115" s="330"/>
      <c r="T2115" s="330"/>
      <c r="U2115" s="330"/>
      <c r="V2115" s="330"/>
      <c r="W2115" s="330"/>
      <c r="X2115" s="330"/>
      <c r="Y2115" s="330"/>
      <c r="Z2115" s="330"/>
    </row>
    <row r="2116" ht="33.75" customHeight="1">
      <c r="A2116" s="11" t="s">
        <v>2855</v>
      </c>
      <c r="B2116" s="22" t="s">
        <v>49</v>
      </c>
      <c r="C2116" s="11" t="s">
        <v>2856</v>
      </c>
      <c r="D2116" s="24" t="s">
        <v>2857</v>
      </c>
      <c r="E2116" s="64">
        <v>46097.0</v>
      </c>
      <c r="F2116" s="14" t="s">
        <v>1133</v>
      </c>
      <c r="G2116" s="178">
        <v>5000.0</v>
      </c>
      <c r="H2116" s="16">
        <v>3423.0</v>
      </c>
      <c r="I2116" s="17">
        <f t="shared" si="63"/>
        <v>1577</v>
      </c>
      <c r="J2116" s="17" t="s">
        <v>1</v>
      </c>
      <c r="K2116" s="330"/>
      <c r="L2116" s="330"/>
      <c r="M2116" s="330"/>
      <c r="N2116" s="330"/>
      <c r="O2116" s="330"/>
      <c r="P2116" s="330"/>
      <c r="Q2116" s="330"/>
      <c r="R2116" s="330"/>
      <c r="S2116" s="330"/>
      <c r="T2116" s="330"/>
      <c r="U2116" s="330"/>
      <c r="V2116" s="330"/>
      <c r="W2116" s="330"/>
      <c r="X2116" s="330"/>
      <c r="Y2116" s="330"/>
      <c r="Z2116" s="330"/>
    </row>
    <row r="2117" ht="33.75" customHeight="1">
      <c r="A2117" s="11" t="s">
        <v>2858</v>
      </c>
      <c r="B2117" s="22" t="s">
        <v>49</v>
      </c>
      <c r="C2117" s="11" t="s">
        <v>2856</v>
      </c>
      <c r="D2117" s="24" t="s">
        <v>2857</v>
      </c>
      <c r="E2117" s="64">
        <v>46097.0</v>
      </c>
      <c r="F2117" s="14" t="s">
        <v>1133</v>
      </c>
      <c r="G2117" s="178">
        <v>15000.0</v>
      </c>
      <c r="H2117" s="28">
        <f>3770+3284+3038</f>
        <v>10092</v>
      </c>
      <c r="I2117" s="17">
        <f t="shared" si="63"/>
        <v>4908</v>
      </c>
      <c r="J2117" s="17" t="s">
        <v>1</v>
      </c>
      <c r="K2117" s="330"/>
      <c r="L2117" s="330"/>
      <c r="M2117" s="330"/>
      <c r="N2117" s="330"/>
      <c r="O2117" s="330"/>
      <c r="P2117" s="330"/>
      <c r="Q2117" s="330"/>
      <c r="R2117" s="330"/>
      <c r="S2117" s="330"/>
      <c r="T2117" s="330"/>
      <c r="U2117" s="330"/>
      <c r="V2117" s="330"/>
      <c r="W2117" s="330"/>
      <c r="X2117" s="330"/>
      <c r="Y2117" s="330"/>
      <c r="Z2117" s="330"/>
    </row>
    <row r="2118" ht="33.75" customHeight="1">
      <c r="A2118" s="11" t="s">
        <v>2859</v>
      </c>
      <c r="B2118" s="22" t="s">
        <v>49</v>
      </c>
      <c r="C2118" s="11" t="s">
        <v>2856</v>
      </c>
      <c r="D2118" s="24" t="s">
        <v>2857</v>
      </c>
      <c r="E2118" s="64">
        <v>46097.0</v>
      </c>
      <c r="F2118" s="14" t="s">
        <v>1133</v>
      </c>
      <c r="G2118" s="178">
        <v>15000.0</v>
      </c>
      <c r="H2118" s="28">
        <f>3820+3578+2708</f>
        <v>10106</v>
      </c>
      <c r="I2118" s="17">
        <f t="shared" si="63"/>
        <v>4894</v>
      </c>
      <c r="J2118" s="17" t="s">
        <v>1</v>
      </c>
      <c r="K2118" s="330"/>
      <c r="L2118" s="330"/>
      <c r="M2118" s="330"/>
      <c r="N2118" s="330"/>
      <c r="O2118" s="330"/>
      <c r="P2118" s="330"/>
      <c r="Q2118" s="330"/>
      <c r="R2118" s="330"/>
      <c r="S2118" s="330"/>
      <c r="T2118" s="330"/>
      <c r="U2118" s="330"/>
      <c r="V2118" s="330"/>
      <c r="W2118" s="330"/>
      <c r="X2118" s="330"/>
      <c r="Y2118" s="330"/>
      <c r="Z2118" s="330"/>
    </row>
    <row r="2119" ht="33.75" customHeight="1">
      <c r="A2119" s="11" t="s">
        <v>2860</v>
      </c>
      <c r="B2119" s="22" t="s">
        <v>49</v>
      </c>
      <c r="C2119" s="11" t="s">
        <v>2856</v>
      </c>
      <c r="D2119" s="24" t="s">
        <v>2857</v>
      </c>
      <c r="E2119" s="64">
        <v>46097.0</v>
      </c>
      <c r="F2119" s="14" t="s">
        <v>1133</v>
      </c>
      <c r="G2119" s="178">
        <v>5000.0</v>
      </c>
      <c r="H2119" s="16">
        <v>2279.0</v>
      </c>
      <c r="I2119" s="17">
        <f t="shared" si="63"/>
        <v>2721</v>
      </c>
      <c r="J2119" s="17" t="s">
        <v>1</v>
      </c>
      <c r="K2119" s="330"/>
      <c r="L2119" s="330"/>
      <c r="M2119" s="330"/>
      <c r="N2119" s="330"/>
      <c r="O2119" s="330"/>
      <c r="P2119" s="330"/>
      <c r="Q2119" s="330"/>
      <c r="R2119" s="330"/>
      <c r="S2119" s="330"/>
      <c r="T2119" s="330"/>
      <c r="U2119" s="330"/>
      <c r="V2119" s="330"/>
      <c r="W2119" s="330"/>
      <c r="X2119" s="330"/>
      <c r="Y2119" s="330"/>
      <c r="Z2119" s="330"/>
    </row>
    <row r="2120" ht="33.75" customHeight="1">
      <c r="A2120" s="11" t="s">
        <v>2861</v>
      </c>
      <c r="B2120" s="22" t="s">
        <v>49</v>
      </c>
      <c r="C2120" s="11" t="s">
        <v>2862</v>
      </c>
      <c r="D2120" s="24" t="s">
        <v>2863</v>
      </c>
      <c r="E2120" s="64">
        <v>46097.0</v>
      </c>
      <c r="F2120" s="14" t="s">
        <v>1133</v>
      </c>
      <c r="G2120" s="178">
        <v>6000.0</v>
      </c>
      <c r="H2120" s="16">
        <v>1472.0</v>
      </c>
      <c r="I2120" s="17">
        <f t="shared" si="63"/>
        <v>4528</v>
      </c>
      <c r="J2120" s="17" t="s">
        <v>1</v>
      </c>
      <c r="K2120" s="330"/>
      <c r="L2120" s="330"/>
      <c r="M2120" s="330"/>
      <c r="N2120" s="330"/>
      <c r="O2120" s="330"/>
      <c r="P2120" s="330"/>
      <c r="Q2120" s="330"/>
      <c r="R2120" s="330"/>
      <c r="S2120" s="330"/>
      <c r="T2120" s="330"/>
      <c r="U2120" s="330"/>
      <c r="V2120" s="330"/>
      <c r="W2120" s="330"/>
      <c r="X2120" s="330"/>
      <c r="Y2120" s="330"/>
      <c r="Z2120" s="330"/>
    </row>
    <row r="2121" ht="33.75" customHeight="1">
      <c r="A2121" s="11" t="s">
        <v>2528</v>
      </c>
      <c r="B2121" s="22" t="s">
        <v>49</v>
      </c>
      <c r="C2121" s="11" t="s">
        <v>2862</v>
      </c>
      <c r="D2121" s="24" t="s">
        <v>2863</v>
      </c>
      <c r="E2121" s="64">
        <v>46097.0</v>
      </c>
      <c r="F2121" s="14" t="s">
        <v>1133</v>
      </c>
      <c r="G2121" s="178">
        <v>20000.0</v>
      </c>
      <c r="H2121" s="28">
        <f>3913+3874+3911+4020</f>
        <v>15718</v>
      </c>
      <c r="I2121" s="17">
        <f t="shared" si="63"/>
        <v>4282</v>
      </c>
      <c r="J2121" s="17" t="s">
        <v>1</v>
      </c>
      <c r="K2121" s="330"/>
      <c r="L2121" s="330"/>
      <c r="M2121" s="330"/>
      <c r="N2121" s="330"/>
      <c r="O2121" s="330"/>
      <c r="P2121" s="330"/>
      <c r="Q2121" s="330"/>
      <c r="R2121" s="330"/>
      <c r="S2121" s="330"/>
      <c r="T2121" s="330"/>
      <c r="U2121" s="330"/>
      <c r="V2121" s="330"/>
      <c r="W2121" s="330"/>
      <c r="X2121" s="330"/>
      <c r="Y2121" s="330"/>
      <c r="Z2121" s="330"/>
    </row>
    <row r="2122" ht="33.75" customHeight="1">
      <c r="A2122" s="11" t="s">
        <v>2756</v>
      </c>
      <c r="B2122" s="22" t="s">
        <v>49</v>
      </c>
      <c r="C2122" s="11" t="s">
        <v>2862</v>
      </c>
      <c r="D2122" s="24" t="s">
        <v>2863</v>
      </c>
      <c r="E2122" s="64">
        <v>46097.0</v>
      </c>
      <c r="F2122" s="14" t="s">
        <v>1133</v>
      </c>
      <c r="G2122" s="178">
        <v>5000.0</v>
      </c>
      <c r="H2122" s="16">
        <v>4138.0</v>
      </c>
      <c r="I2122" s="17">
        <f t="shared" si="63"/>
        <v>862</v>
      </c>
      <c r="J2122" s="17" t="s">
        <v>1</v>
      </c>
      <c r="K2122" s="330"/>
      <c r="L2122" s="330"/>
      <c r="M2122" s="330"/>
      <c r="N2122" s="330"/>
      <c r="O2122" s="330"/>
      <c r="P2122" s="330"/>
      <c r="Q2122" s="330"/>
      <c r="R2122" s="330"/>
      <c r="S2122" s="330"/>
      <c r="T2122" s="330"/>
      <c r="U2122" s="330"/>
      <c r="V2122" s="330"/>
      <c r="W2122" s="330"/>
      <c r="X2122" s="330"/>
      <c r="Y2122" s="330"/>
      <c r="Z2122" s="330"/>
    </row>
    <row r="2123" ht="33.75" customHeight="1">
      <c r="A2123" s="11" t="s">
        <v>2864</v>
      </c>
      <c r="B2123" s="22" t="s">
        <v>49</v>
      </c>
      <c r="C2123" s="11" t="s">
        <v>2862</v>
      </c>
      <c r="D2123" s="24" t="s">
        <v>2863</v>
      </c>
      <c r="E2123" s="64">
        <v>46097.0</v>
      </c>
      <c r="F2123" s="14" t="s">
        <v>1133</v>
      </c>
      <c r="G2123" s="178">
        <v>8000.0</v>
      </c>
      <c r="H2123" s="16">
        <v>4973.0</v>
      </c>
      <c r="I2123" s="17">
        <f t="shared" si="63"/>
        <v>3027</v>
      </c>
      <c r="J2123" s="17" t="s">
        <v>1</v>
      </c>
      <c r="K2123" s="330"/>
      <c r="L2123" s="330"/>
      <c r="M2123" s="330"/>
      <c r="N2123" s="330"/>
      <c r="O2123" s="330"/>
      <c r="P2123" s="330"/>
      <c r="Q2123" s="330"/>
      <c r="R2123" s="330"/>
      <c r="S2123" s="330"/>
      <c r="T2123" s="330"/>
      <c r="U2123" s="330"/>
      <c r="V2123" s="330"/>
      <c r="W2123" s="330"/>
      <c r="X2123" s="330"/>
      <c r="Y2123" s="330"/>
      <c r="Z2123" s="330"/>
    </row>
    <row r="2124" ht="33.75" customHeight="1">
      <c r="A2124" s="11" t="s">
        <v>2865</v>
      </c>
      <c r="B2124" s="22" t="s">
        <v>49</v>
      </c>
      <c r="C2124" s="11" t="s">
        <v>2866</v>
      </c>
      <c r="D2124" s="24" t="s">
        <v>2867</v>
      </c>
      <c r="E2124" s="64">
        <v>46097.0</v>
      </c>
      <c r="F2124" s="14" t="s">
        <v>1133</v>
      </c>
      <c r="G2124" s="178">
        <v>9000.0</v>
      </c>
      <c r="H2124" s="16">
        <v>4297.0</v>
      </c>
      <c r="I2124" s="17">
        <f t="shared" si="63"/>
        <v>4703</v>
      </c>
      <c r="J2124" s="17" t="s">
        <v>1</v>
      </c>
      <c r="K2124" s="330"/>
      <c r="L2124" s="330"/>
      <c r="M2124" s="330"/>
      <c r="N2124" s="330"/>
      <c r="O2124" s="330"/>
      <c r="P2124" s="330"/>
      <c r="Q2124" s="330"/>
      <c r="R2124" s="330"/>
      <c r="S2124" s="330"/>
      <c r="T2124" s="330"/>
      <c r="U2124" s="330"/>
      <c r="V2124" s="330"/>
      <c r="W2124" s="330"/>
      <c r="X2124" s="330"/>
      <c r="Y2124" s="330"/>
      <c r="Z2124" s="330"/>
    </row>
    <row r="2125" ht="33.75" customHeight="1">
      <c r="A2125" s="11" t="s">
        <v>2868</v>
      </c>
      <c r="B2125" s="22" t="s">
        <v>49</v>
      </c>
      <c r="C2125" s="11" t="s">
        <v>2866</v>
      </c>
      <c r="D2125" s="24" t="s">
        <v>2867</v>
      </c>
      <c r="E2125" s="64">
        <v>46097.0</v>
      </c>
      <c r="F2125" s="14" t="s">
        <v>1133</v>
      </c>
      <c r="G2125" s="178">
        <v>8000.0</v>
      </c>
      <c r="H2125" s="16">
        <v>4523.0</v>
      </c>
      <c r="I2125" s="17">
        <f t="shared" si="63"/>
        <v>3477</v>
      </c>
      <c r="J2125" s="17" t="s">
        <v>1</v>
      </c>
      <c r="K2125" s="330"/>
      <c r="L2125" s="330"/>
      <c r="M2125" s="330"/>
      <c r="N2125" s="330"/>
      <c r="O2125" s="330"/>
      <c r="P2125" s="330"/>
      <c r="Q2125" s="330"/>
      <c r="R2125" s="330"/>
      <c r="S2125" s="330"/>
      <c r="T2125" s="330"/>
      <c r="U2125" s="330"/>
      <c r="V2125" s="330"/>
      <c r="W2125" s="330"/>
      <c r="X2125" s="330"/>
      <c r="Y2125" s="330"/>
      <c r="Z2125" s="330"/>
    </row>
    <row r="2126" ht="33.75" customHeight="1">
      <c r="A2126" s="11" t="s">
        <v>2763</v>
      </c>
      <c r="B2126" s="22" t="s">
        <v>49</v>
      </c>
      <c r="C2126" s="11" t="s">
        <v>2866</v>
      </c>
      <c r="D2126" s="24" t="s">
        <v>2867</v>
      </c>
      <c r="E2126" s="64">
        <v>46097.0</v>
      </c>
      <c r="F2126" s="14" t="s">
        <v>1133</v>
      </c>
      <c r="G2126" s="178">
        <v>8000.0</v>
      </c>
      <c r="H2126" s="16">
        <v>5234.0</v>
      </c>
      <c r="I2126" s="17">
        <f t="shared" si="63"/>
        <v>2766</v>
      </c>
      <c r="J2126" s="17" t="s">
        <v>1</v>
      </c>
      <c r="K2126" s="330"/>
      <c r="L2126" s="330"/>
      <c r="M2126" s="330"/>
      <c r="N2126" s="330"/>
      <c r="O2126" s="330"/>
      <c r="P2126" s="330"/>
      <c r="Q2126" s="330"/>
      <c r="R2126" s="330"/>
      <c r="S2126" s="330"/>
      <c r="T2126" s="330"/>
      <c r="U2126" s="330"/>
      <c r="V2126" s="330"/>
      <c r="W2126" s="330"/>
      <c r="X2126" s="330"/>
      <c r="Y2126" s="330"/>
      <c r="Z2126" s="330"/>
    </row>
    <row r="2127" ht="33.75" customHeight="1">
      <c r="A2127" s="11" t="s">
        <v>2764</v>
      </c>
      <c r="B2127" s="22" t="s">
        <v>49</v>
      </c>
      <c r="C2127" s="11" t="s">
        <v>2866</v>
      </c>
      <c r="D2127" s="24" t="s">
        <v>2867</v>
      </c>
      <c r="E2127" s="64">
        <v>46097.0</v>
      </c>
      <c r="F2127" s="14" t="s">
        <v>1133</v>
      </c>
      <c r="G2127" s="178">
        <v>8000.0</v>
      </c>
      <c r="H2127" s="16">
        <v>5251.0</v>
      </c>
      <c r="I2127" s="17">
        <f t="shared" si="63"/>
        <v>2749</v>
      </c>
      <c r="J2127" s="17" t="s">
        <v>1</v>
      </c>
      <c r="K2127" s="330"/>
      <c r="L2127" s="330"/>
      <c r="M2127" s="330"/>
      <c r="N2127" s="330"/>
      <c r="O2127" s="330"/>
      <c r="P2127" s="330"/>
      <c r="Q2127" s="330"/>
      <c r="R2127" s="330"/>
      <c r="S2127" s="330"/>
      <c r="T2127" s="330"/>
      <c r="U2127" s="330"/>
      <c r="V2127" s="330"/>
      <c r="W2127" s="330"/>
      <c r="X2127" s="330"/>
      <c r="Y2127" s="330"/>
      <c r="Z2127" s="330"/>
    </row>
    <row r="2128" ht="33.75" customHeight="1">
      <c r="A2128" s="11" t="s">
        <v>2869</v>
      </c>
      <c r="B2128" s="22" t="s">
        <v>85</v>
      </c>
      <c r="C2128" s="11" t="s">
        <v>2870</v>
      </c>
      <c r="D2128" s="11">
        <v>9.38897118640851E14</v>
      </c>
      <c r="E2128" s="64">
        <v>46097.0</v>
      </c>
      <c r="F2128" s="14" t="s">
        <v>1133</v>
      </c>
      <c r="G2128" s="178">
        <v>10000.0</v>
      </c>
      <c r="H2128" s="28">
        <f>3268+3379</f>
        <v>6647</v>
      </c>
      <c r="I2128" s="17">
        <f t="shared" si="63"/>
        <v>3353</v>
      </c>
      <c r="J2128" s="17" t="s">
        <v>1</v>
      </c>
      <c r="K2128" s="330"/>
      <c r="L2128" s="330"/>
      <c r="M2128" s="330"/>
      <c r="N2128" s="330"/>
      <c r="O2128" s="330"/>
      <c r="P2128" s="330"/>
      <c r="Q2128" s="330"/>
      <c r="R2128" s="330"/>
      <c r="S2128" s="330"/>
      <c r="T2128" s="330"/>
      <c r="U2128" s="330"/>
      <c r="V2128" s="330"/>
      <c r="W2128" s="330"/>
      <c r="X2128" s="330"/>
      <c r="Y2128" s="330"/>
      <c r="Z2128" s="330"/>
    </row>
    <row r="2129" ht="33.75" customHeight="1">
      <c r="A2129" s="11" t="s">
        <v>77</v>
      </c>
      <c r="B2129" s="22" t="s">
        <v>49</v>
      </c>
      <c r="C2129" s="11" t="s">
        <v>2709</v>
      </c>
      <c r="D2129" s="24" t="s">
        <v>2498</v>
      </c>
      <c r="E2129" s="64">
        <v>46097.0</v>
      </c>
      <c r="F2129" s="14" t="s">
        <v>1141</v>
      </c>
      <c r="G2129" s="178">
        <v>35001.0</v>
      </c>
      <c r="H2129" s="16">
        <v>23339.0</v>
      </c>
      <c r="I2129" s="17">
        <f t="shared" si="63"/>
        <v>11662</v>
      </c>
      <c r="J2129" s="17" t="s">
        <v>1</v>
      </c>
      <c r="K2129" s="330"/>
      <c r="L2129" s="330"/>
      <c r="M2129" s="330"/>
      <c r="N2129" s="330"/>
      <c r="O2129" s="330"/>
      <c r="P2129" s="330"/>
      <c r="Q2129" s="330"/>
      <c r="R2129" s="330"/>
      <c r="S2129" s="330"/>
      <c r="T2129" s="330"/>
      <c r="U2129" s="330"/>
      <c r="V2129" s="330"/>
      <c r="W2129" s="330"/>
      <c r="X2129" s="330"/>
      <c r="Y2129" s="330"/>
      <c r="Z2129" s="330"/>
    </row>
    <row r="2130" ht="33.75" customHeight="1">
      <c r="A2130" s="11" t="s">
        <v>28</v>
      </c>
      <c r="B2130" s="22" t="s">
        <v>81</v>
      </c>
      <c r="C2130" s="11" t="s">
        <v>2811</v>
      </c>
      <c r="D2130" s="11" t="s">
        <v>2871</v>
      </c>
      <c r="E2130" s="64">
        <v>46097.0</v>
      </c>
      <c r="F2130" s="14" t="s">
        <v>17</v>
      </c>
      <c r="G2130" s="178">
        <v>12000.0</v>
      </c>
      <c r="H2130" s="28"/>
      <c r="I2130" s="17">
        <f t="shared" si="63"/>
        <v>12000</v>
      </c>
      <c r="J2130" s="17" t="s">
        <v>1</v>
      </c>
      <c r="K2130" s="330"/>
      <c r="L2130" s="330"/>
      <c r="M2130" s="330"/>
      <c r="N2130" s="330"/>
      <c r="O2130" s="330"/>
      <c r="P2130" s="330"/>
      <c r="Q2130" s="330"/>
      <c r="R2130" s="330"/>
      <c r="S2130" s="330"/>
      <c r="T2130" s="330"/>
      <c r="U2130" s="330"/>
      <c r="V2130" s="330"/>
      <c r="W2130" s="330"/>
      <c r="X2130" s="330"/>
      <c r="Y2130" s="330"/>
      <c r="Z2130" s="330"/>
    </row>
    <row r="2131" ht="33.75" customHeight="1">
      <c r="A2131" s="11" t="s">
        <v>2872</v>
      </c>
      <c r="B2131" s="22"/>
      <c r="C2131" s="11" t="s">
        <v>2873</v>
      </c>
      <c r="D2131" s="11">
        <v>9.25378123221216E14</v>
      </c>
      <c r="E2131" s="64">
        <v>46097.0</v>
      </c>
      <c r="F2131" s="14" t="s">
        <v>1191</v>
      </c>
      <c r="G2131" s="178">
        <v>10000.0</v>
      </c>
      <c r="H2131" s="16">
        <v>6675.0</v>
      </c>
      <c r="I2131" s="17">
        <f t="shared" si="63"/>
        <v>3325</v>
      </c>
      <c r="J2131" s="17" t="s">
        <v>1</v>
      </c>
      <c r="K2131" s="330"/>
      <c r="L2131" s="330"/>
      <c r="M2131" s="330"/>
      <c r="N2131" s="330"/>
      <c r="O2131" s="330"/>
      <c r="P2131" s="330"/>
      <c r="Q2131" s="330"/>
      <c r="R2131" s="330"/>
      <c r="S2131" s="330"/>
      <c r="T2131" s="330"/>
      <c r="U2131" s="330"/>
      <c r="V2131" s="330"/>
      <c r="W2131" s="330"/>
      <c r="X2131" s="330"/>
      <c r="Y2131" s="330"/>
      <c r="Z2131" s="330"/>
    </row>
    <row r="2132" ht="33.75" customHeight="1">
      <c r="A2132" s="11" t="s">
        <v>1587</v>
      </c>
      <c r="B2132" s="22" t="s">
        <v>1835</v>
      </c>
      <c r="C2132" s="11" t="s">
        <v>2744</v>
      </c>
      <c r="D2132" s="11">
        <v>9.13255191107813E14</v>
      </c>
      <c r="E2132" s="64">
        <v>46097.0</v>
      </c>
      <c r="F2132" s="14" t="s">
        <v>287</v>
      </c>
      <c r="G2132" s="178">
        <v>10814.0</v>
      </c>
      <c r="H2132" s="28"/>
      <c r="I2132" s="17">
        <f t="shared" si="63"/>
        <v>10814</v>
      </c>
      <c r="J2132" s="25" t="s">
        <v>1</v>
      </c>
      <c r="K2132" s="330"/>
      <c r="L2132" s="330"/>
      <c r="M2132" s="330"/>
      <c r="N2132" s="330"/>
      <c r="O2132" s="330"/>
      <c r="P2132" s="330"/>
      <c r="Q2132" s="330"/>
      <c r="R2132" s="330"/>
      <c r="S2132" s="330"/>
      <c r="T2132" s="330"/>
      <c r="U2132" s="330"/>
      <c r="V2132" s="330"/>
      <c r="W2132" s="330"/>
      <c r="X2132" s="330"/>
      <c r="Y2132" s="330"/>
      <c r="Z2132" s="330"/>
    </row>
    <row r="2133" ht="33.75" customHeight="1">
      <c r="A2133" s="11" t="s">
        <v>1587</v>
      </c>
      <c r="B2133" s="22" t="s">
        <v>2874</v>
      </c>
      <c r="C2133" s="11" t="s">
        <v>2689</v>
      </c>
      <c r="D2133" s="11" t="s">
        <v>2690</v>
      </c>
      <c r="E2133" s="64">
        <v>46097.0</v>
      </c>
      <c r="F2133" s="14" t="s">
        <v>287</v>
      </c>
      <c r="G2133" s="178">
        <v>56002.0</v>
      </c>
      <c r="H2133" s="28"/>
      <c r="I2133" s="17">
        <f t="shared" si="63"/>
        <v>56002</v>
      </c>
      <c r="J2133" s="25" t="s">
        <v>1</v>
      </c>
      <c r="K2133" s="330"/>
      <c r="L2133" s="330"/>
      <c r="M2133" s="330"/>
      <c r="N2133" s="330"/>
      <c r="O2133" s="330"/>
      <c r="P2133" s="330"/>
      <c r="Q2133" s="330"/>
      <c r="R2133" s="330"/>
      <c r="S2133" s="330"/>
      <c r="T2133" s="330"/>
      <c r="U2133" s="330"/>
      <c r="V2133" s="330"/>
      <c r="W2133" s="330"/>
      <c r="X2133" s="330"/>
      <c r="Y2133" s="330"/>
      <c r="Z2133" s="330"/>
    </row>
    <row r="2134" ht="33.75" customHeight="1">
      <c r="A2134" s="11" t="s">
        <v>2038</v>
      </c>
      <c r="B2134" s="22" t="s">
        <v>88</v>
      </c>
      <c r="C2134" s="11" t="s">
        <v>2417</v>
      </c>
      <c r="D2134" s="11">
        <v>9.29952600211321E14</v>
      </c>
      <c r="E2134" s="64">
        <v>46097.0</v>
      </c>
      <c r="F2134" s="14" t="s">
        <v>17</v>
      </c>
      <c r="G2134" s="178">
        <v>10880.0</v>
      </c>
      <c r="H2134" s="28"/>
      <c r="I2134" s="17">
        <f t="shared" si="63"/>
        <v>10880</v>
      </c>
      <c r="J2134" s="17" t="s">
        <v>1</v>
      </c>
      <c r="K2134" s="330"/>
      <c r="L2134" s="330"/>
      <c r="M2134" s="330"/>
      <c r="N2134" s="330"/>
      <c r="O2134" s="330"/>
      <c r="P2134" s="330"/>
      <c r="Q2134" s="330"/>
      <c r="R2134" s="330"/>
      <c r="S2134" s="330"/>
      <c r="T2134" s="330"/>
      <c r="U2134" s="330"/>
      <c r="V2134" s="330"/>
      <c r="W2134" s="330"/>
      <c r="X2134" s="330"/>
      <c r="Y2134" s="330"/>
      <c r="Z2134" s="330"/>
    </row>
    <row r="2135" ht="33.75" customHeight="1">
      <c r="A2135" s="11" t="s">
        <v>2038</v>
      </c>
      <c r="B2135" s="22" t="s">
        <v>88</v>
      </c>
      <c r="C2135" s="11" t="s">
        <v>2731</v>
      </c>
      <c r="D2135" s="11">
        <v>9.29952600211321E14</v>
      </c>
      <c r="E2135" s="64">
        <v>46097.0</v>
      </c>
      <c r="F2135" s="14" t="s">
        <v>17</v>
      </c>
      <c r="G2135" s="178">
        <v>12637.0</v>
      </c>
      <c r="H2135" s="28"/>
      <c r="I2135" s="17">
        <f t="shared" si="63"/>
        <v>12637</v>
      </c>
      <c r="J2135" s="17" t="s">
        <v>1</v>
      </c>
      <c r="K2135" s="330"/>
      <c r="L2135" s="330"/>
      <c r="M2135" s="330"/>
      <c r="N2135" s="330"/>
      <c r="O2135" s="330"/>
      <c r="P2135" s="330"/>
      <c r="Q2135" s="330"/>
      <c r="R2135" s="330"/>
      <c r="S2135" s="330"/>
      <c r="T2135" s="330"/>
      <c r="U2135" s="330"/>
      <c r="V2135" s="330"/>
      <c r="W2135" s="330"/>
      <c r="X2135" s="330"/>
      <c r="Y2135" s="330"/>
      <c r="Z2135" s="330"/>
    </row>
    <row r="2136" ht="33.75" customHeight="1">
      <c r="A2136" s="11" t="s">
        <v>2038</v>
      </c>
      <c r="B2136" s="22" t="s">
        <v>88</v>
      </c>
      <c r="C2136" s="11" t="s">
        <v>2417</v>
      </c>
      <c r="D2136" s="11">
        <v>7.48555344785532E14</v>
      </c>
      <c r="E2136" s="64">
        <v>46097.0</v>
      </c>
      <c r="F2136" s="14" t="s">
        <v>17</v>
      </c>
      <c r="G2136" s="178">
        <v>5011.0</v>
      </c>
      <c r="H2136" s="28"/>
      <c r="I2136" s="17">
        <f t="shared" si="63"/>
        <v>5011</v>
      </c>
      <c r="J2136" s="17" t="s">
        <v>1</v>
      </c>
      <c r="K2136" s="330"/>
      <c r="L2136" s="330"/>
      <c r="M2136" s="330"/>
      <c r="N2136" s="330"/>
      <c r="O2136" s="330"/>
      <c r="P2136" s="330"/>
      <c r="Q2136" s="330"/>
      <c r="R2136" s="330"/>
      <c r="S2136" s="330"/>
      <c r="T2136" s="330"/>
      <c r="U2136" s="330"/>
      <c r="V2136" s="330"/>
      <c r="W2136" s="330"/>
      <c r="X2136" s="330"/>
      <c r="Y2136" s="330"/>
      <c r="Z2136" s="330"/>
    </row>
    <row r="2137" ht="33.75" customHeight="1">
      <c r="A2137" s="11" t="s">
        <v>2478</v>
      </c>
      <c r="B2137" s="22"/>
      <c r="C2137" s="11" t="s">
        <v>2794</v>
      </c>
      <c r="D2137" s="11"/>
      <c r="E2137" s="64">
        <v>46097.0</v>
      </c>
      <c r="F2137" s="14" t="s">
        <v>1141</v>
      </c>
      <c r="G2137" s="178">
        <v>37952.0</v>
      </c>
      <c r="H2137" s="16">
        <v>30316.0</v>
      </c>
      <c r="I2137" s="17">
        <f t="shared" si="63"/>
        <v>7636</v>
      </c>
      <c r="J2137" s="17" t="s">
        <v>1</v>
      </c>
      <c r="K2137" s="330"/>
      <c r="L2137" s="330"/>
      <c r="M2137" s="330"/>
      <c r="N2137" s="330"/>
      <c r="O2137" s="330"/>
      <c r="P2137" s="330"/>
      <c r="Q2137" s="330"/>
      <c r="R2137" s="330"/>
      <c r="S2137" s="330"/>
      <c r="T2137" s="330"/>
      <c r="U2137" s="330"/>
      <c r="V2137" s="330"/>
      <c r="W2137" s="330"/>
      <c r="X2137" s="330"/>
      <c r="Y2137" s="330"/>
      <c r="Z2137" s="330"/>
    </row>
    <row r="2138" ht="33.75" customHeight="1">
      <c r="A2138" s="11" t="s">
        <v>109</v>
      </c>
      <c r="B2138" s="22"/>
      <c r="C2138" s="11" t="s">
        <v>2875</v>
      </c>
      <c r="D2138" s="11"/>
      <c r="E2138" s="64">
        <v>46097.0</v>
      </c>
      <c r="F2138" s="14" t="s">
        <v>1191</v>
      </c>
      <c r="G2138" s="178">
        <v>13540.0</v>
      </c>
      <c r="H2138" s="16">
        <v>7289.0</v>
      </c>
      <c r="I2138" s="17">
        <f t="shared" si="63"/>
        <v>6251</v>
      </c>
      <c r="J2138" s="17" t="s">
        <v>1</v>
      </c>
      <c r="K2138" s="330"/>
      <c r="L2138" s="330"/>
      <c r="M2138" s="330"/>
      <c r="N2138" s="330"/>
      <c r="O2138" s="330"/>
      <c r="P2138" s="330"/>
      <c r="Q2138" s="330"/>
      <c r="R2138" s="330"/>
      <c r="S2138" s="330"/>
      <c r="T2138" s="330"/>
      <c r="U2138" s="330"/>
      <c r="V2138" s="330"/>
      <c r="W2138" s="330"/>
      <c r="X2138" s="330"/>
      <c r="Y2138" s="330"/>
      <c r="Z2138" s="330"/>
    </row>
    <row r="2139" ht="33.75" customHeight="1">
      <c r="A2139" s="11" t="s">
        <v>1516</v>
      </c>
      <c r="B2139" s="22" t="s">
        <v>31</v>
      </c>
      <c r="C2139" s="11" t="s">
        <v>2876</v>
      </c>
      <c r="D2139" s="11"/>
      <c r="E2139" s="64">
        <v>46097.0</v>
      </c>
      <c r="F2139" s="14" t="s">
        <v>17</v>
      </c>
      <c r="G2139" s="178">
        <v>7438.0</v>
      </c>
      <c r="H2139" s="28"/>
      <c r="I2139" s="17">
        <f t="shared" si="63"/>
        <v>7438</v>
      </c>
      <c r="J2139" s="17" t="s">
        <v>1</v>
      </c>
      <c r="K2139" s="330"/>
      <c r="L2139" s="330"/>
      <c r="M2139" s="330"/>
      <c r="N2139" s="330"/>
      <c r="O2139" s="330"/>
      <c r="P2139" s="330"/>
      <c r="Q2139" s="330"/>
      <c r="R2139" s="330"/>
      <c r="S2139" s="330"/>
      <c r="T2139" s="330"/>
      <c r="U2139" s="330"/>
      <c r="V2139" s="330"/>
      <c r="W2139" s="330"/>
      <c r="X2139" s="330"/>
      <c r="Y2139" s="330"/>
      <c r="Z2139" s="330"/>
    </row>
    <row r="2140" ht="33.75" customHeight="1">
      <c r="A2140" s="11" t="s">
        <v>2556</v>
      </c>
      <c r="B2140" s="22" t="s">
        <v>31</v>
      </c>
      <c r="C2140" s="11" t="s">
        <v>2557</v>
      </c>
      <c r="D2140" s="11">
        <v>8.3233312593272E14</v>
      </c>
      <c r="E2140" s="64">
        <v>46097.0</v>
      </c>
      <c r="F2140" s="14" t="s">
        <v>99</v>
      </c>
      <c r="G2140" s="178">
        <v>24670.0</v>
      </c>
      <c r="H2140" s="28"/>
      <c r="I2140" s="17">
        <f t="shared" si="63"/>
        <v>24670</v>
      </c>
      <c r="J2140" s="17" t="s">
        <v>1</v>
      </c>
      <c r="K2140" s="330"/>
      <c r="L2140" s="330"/>
      <c r="M2140" s="330"/>
      <c r="N2140" s="330"/>
      <c r="O2140" s="330"/>
      <c r="P2140" s="330"/>
      <c r="Q2140" s="330"/>
      <c r="R2140" s="330"/>
      <c r="S2140" s="330"/>
      <c r="T2140" s="330"/>
      <c r="U2140" s="330"/>
      <c r="V2140" s="330"/>
      <c r="W2140" s="330"/>
      <c r="X2140" s="330"/>
      <c r="Y2140" s="330"/>
      <c r="Z2140" s="330"/>
    </row>
    <row r="2141" ht="33.75" customHeight="1">
      <c r="A2141" s="11" t="s">
        <v>2018</v>
      </c>
      <c r="B2141" s="22"/>
      <c r="C2141" s="11" t="s">
        <v>2443</v>
      </c>
      <c r="D2141" s="11"/>
      <c r="E2141" s="64">
        <v>46097.0</v>
      </c>
      <c r="F2141" s="14" t="s">
        <v>1141</v>
      </c>
      <c r="G2141" s="178">
        <v>3299.0</v>
      </c>
      <c r="H2141" s="16">
        <v>2793.0</v>
      </c>
      <c r="I2141" s="17">
        <f t="shared" si="63"/>
        <v>506</v>
      </c>
      <c r="J2141" s="17" t="s">
        <v>1</v>
      </c>
      <c r="K2141" s="330"/>
      <c r="L2141" s="330"/>
      <c r="M2141" s="330"/>
      <c r="N2141" s="330"/>
      <c r="O2141" s="330"/>
      <c r="P2141" s="330"/>
      <c r="Q2141" s="330"/>
      <c r="R2141" s="330"/>
      <c r="S2141" s="330"/>
      <c r="T2141" s="330"/>
      <c r="U2141" s="330"/>
      <c r="V2141" s="330"/>
      <c r="W2141" s="330"/>
      <c r="X2141" s="330"/>
      <c r="Y2141" s="330"/>
      <c r="Z2141" s="330"/>
    </row>
    <row r="2142" ht="33.75" customHeight="1">
      <c r="A2142" s="11" t="s">
        <v>28</v>
      </c>
      <c r="B2142" s="22" t="s">
        <v>37</v>
      </c>
      <c r="C2142" s="11" t="s">
        <v>2811</v>
      </c>
      <c r="D2142" s="11" t="s">
        <v>2871</v>
      </c>
      <c r="E2142" s="64">
        <v>46097.0</v>
      </c>
      <c r="F2142" s="14" t="s">
        <v>17</v>
      </c>
      <c r="G2142" s="178">
        <v>11999.0</v>
      </c>
      <c r="H2142" s="28"/>
      <c r="I2142" s="17">
        <f t="shared" si="63"/>
        <v>11999</v>
      </c>
      <c r="J2142" s="17" t="s">
        <v>1</v>
      </c>
      <c r="K2142" s="330"/>
      <c r="L2142" s="330"/>
      <c r="M2142" s="330"/>
      <c r="N2142" s="330"/>
      <c r="O2142" s="330"/>
      <c r="P2142" s="330"/>
      <c r="Q2142" s="330"/>
      <c r="R2142" s="330"/>
      <c r="S2142" s="330"/>
      <c r="T2142" s="330"/>
      <c r="U2142" s="330"/>
      <c r="V2142" s="330"/>
      <c r="W2142" s="330"/>
      <c r="X2142" s="330"/>
      <c r="Y2142" s="330"/>
      <c r="Z2142" s="330"/>
    </row>
    <row r="2143" ht="33.75" customHeight="1">
      <c r="A2143" s="11" t="s">
        <v>1587</v>
      </c>
      <c r="B2143" s="22" t="s">
        <v>578</v>
      </c>
      <c r="C2143" s="11" t="s">
        <v>2724</v>
      </c>
      <c r="D2143" s="11" t="s">
        <v>2877</v>
      </c>
      <c r="E2143" s="64">
        <v>46097.0</v>
      </c>
      <c r="F2143" s="14" t="s">
        <v>287</v>
      </c>
      <c r="G2143" s="178">
        <v>56002.0</v>
      </c>
      <c r="H2143" s="28"/>
      <c r="I2143" s="17">
        <f t="shared" si="63"/>
        <v>56002</v>
      </c>
      <c r="J2143" s="25" t="s">
        <v>1</v>
      </c>
      <c r="K2143" s="330"/>
      <c r="L2143" s="330"/>
      <c r="M2143" s="330"/>
      <c r="N2143" s="330"/>
      <c r="O2143" s="330"/>
      <c r="P2143" s="330"/>
      <c r="Q2143" s="330"/>
      <c r="R2143" s="330"/>
      <c r="S2143" s="330"/>
      <c r="T2143" s="330"/>
      <c r="U2143" s="330"/>
      <c r="V2143" s="330"/>
      <c r="W2143" s="330"/>
      <c r="X2143" s="330"/>
      <c r="Y2143" s="330"/>
      <c r="Z2143" s="330"/>
    </row>
    <row r="2144" ht="33.75" customHeight="1">
      <c r="A2144" s="11" t="s">
        <v>1587</v>
      </c>
      <c r="B2144" s="22" t="s">
        <v>1074</v>
      </c>
      <c r="C2144" s="11" t="s">
        <v>2726</v>
      </c>
      <c r="D2144" s="11">
        <v>8.14752988355664E14</v>
      </c>
      <c r="E2144" s="64">
        <v>46097.0</v>
      </c>
      <c r="F2144" s="14" t="s">
        <v>287</v>
      </c>
      <c r="G2144" s="178">
        <v>56002.0</v>
      </c>
      <c r="H2144" s="28"/>
      <c r="I2144" s="17">
        <f t="shared" si="63"/>
        <v>56002</v>
      </c>
      <c r="J2144" s="25" t="s">
        <v>1</v>
      </c>
      <c r="K2144" s="330"/>
      <c r="L2144" s="330"/>
      <c r="M2144" s="330"/>
      <c r="N2144" s="330"/>
      <c r="O2144" s="330"/>
      <c r="P2144" s="330"/>
      <c r="Q2144" s="330"/>
      <c r="R2144" s="330"/>
      <c r="S2144" s="330"/>
      <c r="T2144" s="330"/>
      <c r="U2144" s="330"/>
      <c r="V2144" s="330"/>
      <c r="W2144" s="330"/>
      <c r="X2144" s="330"/>
      <c r="Y2144" s="330"/>
      <c r="Z2144" s="330"/>
    </row>
    <row r="2145" ht="33.75" customHeight="1">
      <c r="A2145" s="11" t="s">
        <v>1587</v>
      </c>
      <c r="B2145" s="22" t="s">
        <v>2878</v>
      </c>
      <c r="C2145" s="11" t="s">
        <v>2737</v>
      </c>
      <c r="D2145" s="11" t="s">
        <v>2879</v>
      </c>
      <c r="E2145" s="64">
        <v>46097.0</v>
      </c>
      <c r="F2145" s="14" t="s">
        <v>287</v>
      </c>
      <c r="G2145" s="178">
        <v>56002.0</v>
      </c>
      <c r="H2145" s="28"/>
      <c r="I2145" s="17">
        <f t="shared" si="63"/>
        <v>56002</v>
      </c>
      <c r="J2145" s="25" t="s">
        <v>1</v>
      </c>
      <c r="K2145" s="330"/>
      <c r="L2145" s="330"/>
      <c r="M2145" s="330"/>
      <c r="N2145" s="330"/>
      <c r="O2145" s="330"/>
      <c r="P2145" s="330"/>
      <c r="Q2145" s="330"/>
      <c r="R2145" s="330"/>
      <c r="S2145" s="330"/>
      <c r="T2145" s="330"/>
      <c r="U2145" s="330"/>
      <c r="V2145" s="330"/>
      <c r="W2145" s="330"/>
      <c r="X2145" s="330"/>
      <c r="Y2145" s="330"/>
      <c r="Z2145" s="330"/>
    </row>
    <row r="2146" ht="33.75" customHeight="1">
      <c r="A2146" s="11" t="s">
        <v>1587</v>
      </c>
      <c r="B2146" s="22" t="s">
        <v>2880</v>
      </c>
      <c r="C2146" s="11" t="s">
        <v>2614</v>
      </c>
      <c r="D2146" s="36"/>
      <c r="E2146" s="64">
        <v>46097.0</v>
      </c>
      <c r="F2146" s="14" t="s">
        <v>287</v>
      </c>
      <c r="G2146" s="178">
        <v>56006.0</v>
      </c>
      <c r="H2146" s="28"/>
      <c r="I2146" s="17">
        <f t="shared" si="63"/>
        <v>56006</v>
      </c>
      <c r="J2146" s="25" t="s">
        <v>1</v>
      </c>
      <c r="K2146" s="330"/>
      <c r="L2146" s="330"/>
      <c r="M2146" s="330"/>
      <c r="N2146" s="330"/>
      <c r="O2146" s="330"/>
      <c r="P2146" s="330"/>
      <c r="Q2146" s="330"/>
      <c r="R2146" s="330"/>
      <c r="S2146" s="330"/>
      <c r="T2146" s="330"/>
      <c r="U2146" s="330"/>
      <c r="V2146" s="330"/>
      <c r="W2146" s="330"/>
      <c r="X2146" s="330"/>
      <c r="Y2146" s="330"/>
      <c r="Z2146" s="330"/>
    </row>
    <row r="2147" ht="33.75" customHeight="1">
      <c r="A2147" s="11" t="s">
        <v>2797</v>
      </c>
      <c r="B2147" s="22" t="s">
        <v>2881</v>
      </c>
      <c r="C2147" s="11" t="s">
        <v>2799</v>
      </c>
      <c r="D2147" s="11">
        <v>8.9796067950713E14</v>
      </c>
      <c r="E2147" s="64">
        <v>46097.0</v>
      </c>
      <c r="F2147" s="14" t="s">
        <v>1133</v>
      </c>
      <c r="G2147" s="178">
        <v>5000.0</v>
      </c>
      <c r="H2147" s="28">
        <f>1804
+1742</f>
        <v>3546</v>
      </c>
      <c r="I2147" s="17">
        <f t="shared" si="63"/>
        <v>1454</v>
      </c>
      <c r="J2147" s="39" t="s">
        <v>1</v>
      </c>
      <c r="K2147" s="330"/>
      <c r="L2147" s="330"/>
      <c r="M2147" s="330"/>
      <c r="N2147" s="330"/>
      <c r="O2147" s="330"/>
      <c r="P2147" s="330"/>
      <c r="Q2147" s="330"/>
      <c r="R2147" s="330"/>
      <c r="S2147" s="330"/>
      <c r="T2147" s="330"/>
      <c r="U2147" s="330"/>
      <c r="V2147" s="330"/>
      <c r="W2147" s="330"/>
      <c r="X2147" s="330"/>
      <c r="Y2147" s="330"/>
      <c r="Z2147" s="330"/>
    </row>
    <row r="2148" ht="33.75" customHeight="1">
      <c r="A2148" s="11" t="s">
        <v>2698</v>
      </c>
      <c r="B2148" s="22" t="s">
        <v>185</v>
      </c>
      <c r="C2148" s="11" t="s">
        <v>2700</v>
      </c>
      <c r="D2148" s="36" t="s">
        <v>2701</v>
      </c>
      <c r="E2148" s="64">
        <v>46097.0</v>
      </c>
      <c r="F2148" s="14" t="s">
        <v>1133</v>
      </c>
      <c r="G2148" s="178">
        <v>1600.0</v>
      </c>
      <c r="H2148" s="16">
        <v>1529.0</v>
      </c>
      <c r="I2148" s="17">
        <f t="shared" si="63"/>
        <v>71</v>
      </c>
      <c r="J2148" s="17" t="s">
        <v>1</v>
      </c>
      <c r="K2148" s="330"/>
      <c r="L2148" s="330"/>
      <c r="M2148" s="330"/>
      <c r="N2148" s="330"/>
      <c r="O2148" s="330"/>
      <c r="P2148" s="330"/>
      <c r="Q2148" s="330"/>
      <c r="R2148" s="330"/>
      <c r="S2148" s="330"/>
      <c r="T2148" s="330"/>
      <c r="U2148" s="330"/>
      <c r="V2148" s="330"/>
      <c r="W2148" s="330"/>
      <c r="X2148" s="330"/>
      <c r="Y2148" s="330"/>
      <c r="Z2148" s="330"/>
    </row>
    <row r="2149" ht="33.75" customHeight="1">
      <c r="A2149" s="11" t="s">
        <v>1583</v>
      </c>
      <c r="B2149" s="22" t="s">
        <v>34</v>
      </c>
      <c r="C2149" s="11" t="s">
        <v>2882</v>
      </c>
      <c r="D2149" s="11" t="s">
        <v>2883</v>
      </c>
      <c r="E2149" s="64">
        <v>46097.0</v>
      </c>
      <c r="F2149" s="14" t="s">
        <v>287</v>
      </c>
      <c r="G2149" s="178">
        <v>5355.0</v>
      </c>
      <c r="H2149" s="28"/>
      <c r="I2149" s="17">
        <f t="shared" si="63"/>
        <v>5355</v>
      </c>
      <c r="J2149" s="25" t="s">
        <v>1</v>
      </c>
      <c r="K2149" s="330"/>
      <c r="L2149" s="330"/>
      <c r="M2149" s="330"/>
      <c r="N2149" s="330"/>
      <c r="O2149" s="330"/>
      <c r="P2149" s="330"/>
      <c r="Q2149" s="330"/>
      <c r="R2149" s="330"/>
      <c r="S2149" s="330"/>
      <c r="T2149" s="330"/>
      <c r="U2149" s="330"/>
      <c r="V2149" s="330"/>
      <c r="W2149" s="330"/>
      <c r="X2149" s="330"/>
      <c r="Y2149" s="330"/>
      <c r="Z2149" s="330"/>
    </row>
    <row r="2150" ht="33.75" customHeight="1">
      <c r="A2150" s="11" t="s">
        <v>1583</v>
      </c>
      <c r="B2150" s="285"/>
      <c r="C2150" s="24" t="s">
        <v>2882</v>
      </c>
      <c r="D2150" s="11" t="s">
        <v>2883</v>
      </c>
      <c r="E2150" s="64">
        <v>46097.0</v>
      </c>
      <c r="F2150" s="14" t="s">
        <v>26</v>
      </c>
      <c r="G2150" s="178"/>
      <c r="H2150" s="28"/>
      <c r="I2150" s="17">
        <f t="shared" si="63"/>
        <v>0</v>
      </c>
      <c r="J2150" s="91" t="s">
        <v>3</v>
      </c>
      <c r="K2150" s="330"/>
      <c r="L2150" s="330"/>
      <c r="M2150" s="330"/>
      <c r="N2150" s="330"/>
      <c r="O2150" s="330"/>
      <c r="P2150" s="330"/>
      <c r="Q2150" s="330"/>
      <c r="R2150" s="330"/>
      <c r="S2150" s="330"/>
      <c r="T2150" s="330"/>
      <c r="U2150" s="330"/>
      <c r="V2150" s="330"/>
      <c r="W2150" s="330"/>
      <c r="X2150" s="330"/>
      <c r="Y2150" s="330"/>
      <c r="Z2150" s="330"/>
    </row>
    <row r="2151" ht="33.75" customHeight="1">
      <c r="A2151" s="44"/>
      <c r="B2151" s="351"/>
      <c r="C2151" s="352"/>
      <c r="D2151" s="353"/>
      <c r="E2151" s="323"/>
      <c r="F2151" s="46"/>
      <c r="G2151" s="327"/>
      <c r="H2151" s="309"/>
      <c r="I2151" s="48"/>
      <c r="J2151" s="354"/>
      <c r="K2151" s="330"/>
      <c r="L2151" s="330"/>
      <c r="M2151" s="330"/>
      <c r="N2151" s="330"/>
      <c r="O2151" s="330"/>
      <c r="P2151" s="330"/>
      <c r="Q2151" s="330"/>
      <c r="R2151" s="330"/>
      <c r="S2151" s="330"/>
      <c r="T2151" s="330"/>
      <c r="U2151" s="330"/>
      <c r="V2151" s="330"/>
      <c r="W2151" s="330"/>
      <c r="X2151" s="330"/>
      <c r="Y2151" s="330"/>
      <c r="Z2151" s="330"/>
    </row>
    <row r="2152" ht="33.75" customHeight="1">
      <c r="A2152" s="11" t="s">
        <v>2872</v>
      </c>
      <c r="B2152" s="22" t="s">
        <v>1011</v>
      </c>
      <c r="C2152" s="11" t="s">
        <v>2873</v>
      </c>
      <c r="D2152" s="11">
        <v>9.25378123221216E14</v>
      </c>
      <c r="E2152" s="64">
        <v>46098.0</v>
      </c>
      <c r="F2152" s="14" t="s">
        <v>1141</v>
      </c>
      <c r="G2152" s="178">
        <v>10007.0</v>
      </c>
      <c r="H2152" s="28"/>
      <c r="I2152" s="17">
        <f t="shared" ref="I2152:I2226" si="64">G2152-H2152</f>
        <v>10007</v>
      </c>
      <c r="J2152" s="91" t="s">
        <v>1139</v>
      </c>
      <c r="K2152" s="252"/>
      <c r="L2152" s="252"/>
      <c r="M2152" s="252"/>
      <c r="N2152" s="252"/>
      <c r="O2152" s="252"/>
      <c r="P2152" s="252"/>
      <c r="Q2152" s="252"/>
      <c r="R2152" s="252"/>
      <c r="S2152" s="252"/>
      <c r="T2152" s="252"/>
      <c r="U2152" s="252"/>
      <c r="V2152" s="252"/>
      <c r="W2152" s="252"/>
      <c r="X2152" s="252"/>
      <c r="Y2152" s="252"/>
      <c r="Z2152" s="252"/>
    </row>
    <row r="2153" ht="33.75" customHeight="1">
      <c r="A2153" s="11" t="s">
        <v>1314</v>
      </c>
      <c r="B2153" s="22" t="s">
        <v>1011</v>
      </c>
      <c r="C2153" s="11" t="s">
        <v>2322</v>
      </c>
      <c r="D2153" s="11" t="s">
        <v>2323</v>
      </c>
      <c r="E2153" s="64">
        <v>46098.0</v>
      </c>
      <c r="F2153" s="14" t="s">
        <v>1191</v>
      </c>
      <c r="G2153" s="178">
        <v>2350.0</v>
      </c>
      <c r="H2153" s="16">
        <v>1966.0</v>
      </c>
      <c r="I2153" s="17">
        <f t="shared" si="64"/>
        <v>384</v>
      </c>
      <c r="J2153" s="25" t="s">
        <v>1</v>
      </c>
      <c r="K2153" s="252"/>
      <c r="L2153" s="252"/>
      <c r="M2153" s="252"/>
      <c r="N2153" s="252"/>
      <c r="O2153" s="252"/>
      <c r="P2153" s="252"/>
      <c r="Q2153" s="252"/>
      <c r="R2153" s="252"/>
      <c r="S2153" s="252"/>
      <c r="T2153" s="252"/>
      <c r="U2153" s="252"/>
      <c r="V2153" s="252"/>
      <c r="W2153" s="252"/>
      <c r="X2153" s="252"/>
      <c r="Y2153" s="252"/>
      <c r="Z2153" s="252"/>
    </row>
    <row r="2154" ht="33.75" customHeight="1">
      <c r="A2154" s="11" t="s">
        <v>2884</v>
      </c>
      <c r="B2154" s="22" t="s">
        <v>1011</v>
      </c>
      <c r="C2154" s="11" t="s">
        <v>2885</v>
      </c>
      <c r="D2154" s="11" t="s">
        <v>2886</v>
      </c>
      <c r="E2154" s="64">
        <v>46098.0</v>
      </c>
      <c r="F2154" s="14" t="s">
        <v>1133</v>
      </c>
      <c r="G2154" s="178">
        <v>1000.0</v>
      </c>
      <c r="H2154" s="16"/>
      <c r="I2154" s="17">
        <f t="shared" si="64"/>
        <v>1000</v>
      </c>
      <c r="J2154" s="91" t="s">
        <v>1139</v>
      </c>
      <c r="K2154" s="330"/>
      <c r="L2154" s="330"/>
      <c r="M2154" s="330"/>
      <c r="N2154" s="330"/>
      <c r="O2154" s="330"/>
      <c r="P2154" s="330"/>
      <c r="Q2154" s="330"/>
      <c r="R2154" s="330"/>
      <c r="S2154" s="330"/>
      <c r="T2154" s="330"/>
      <c r="U2154" s="330"/>
      <c r="V2154" s="330"/>
      <c r="W2154" s="330"/>
      <c r="X2154" s="330"/>
      <c r="Y2154" s="330"/>
      <c r="Z2154" s="330"/>
    </row>
    <row r="2155" ht="33.75" customHeight="1">
      <c r="A2155" s="11" t="s">
        <v>2887</v>
      </c>
      <c r="B2155" s="22" t="s">
        <v>49</v>
      </c>
      <c r="C2155" s="11" t="s">
        <v>2888</v>
      </c>
      <c r="D2155" s="11" t="s">
        <v>2889</v>
      </c>
      <c r="E2155" s="64">
        <v>46098.0</v>
      </c>
      <c r="F2155" s="14" t="s">
        <v>1141</v>
      </c>
      <c r="G2155" s="178">
        <v>5000.0</v>
      </c>
      <c r="H2155" s="16">
        <v>3460.0</v>
      </c>
      <c r="I2155" s="17">
        <f t="shared" si="64"/>
        <v>1540</v>
      </c>
      <c r="J2155" s="91" t="s">
        <v>1</v>
      </c>
      <c r="K2155" s="330"/>
      <c r="L2155" s="330"/>
      <c r="M2155" s="330"/>
      <c r="N2155" s="330"/>
      <c r="O2155" s="330"/>
      <c r="P2155" s="330"/>
      <c r="Q2155" s="330"/>
      <c r="R2155" s="330"/>
      <c r="S2155" s="330"/>
      <c r="T2155" s="330"/>
      <c r="U2155" s="330"/>
      <c r="V2155" s="330"/>
      <c r="W2155" s="330"/>
      <c r="X2155" s="330"/>
      <c r="Y2155" s="330"/>
      <c r="Z2155" s="330"/>
    </row>
    <row r="2156" ht="33.75" customHeight="1">
      <c r="A2156" s="11" t="s">
        <v>1381</v>
      </c>
      <c r="B2156" s="22" t="s">
        <v>49</v>
      </c>
      <c r="C2156" s="11" t="s">
        <v>2636</v>
      </c>
      <c r="D2156" s="11">
        <v>9.62764609773528E14</v>
      </c>
      <c r="E2156" s="64">
        <v>46098.0</v>
      </c>
      <c r="F2156" s="14" t="s">
        <v>1191</v>
      </c>
      <c r="G2156" s="178">
        <v>1001.0</v>
      </c>
      <c r="H2156" s="16">
        <v>790.0</v>
      </c>
      <c r="I2156" s="17">
        <f t="shared" si="64"/>
        <v>211</v>
      </c>
      <c r="J2156" s="25" t="s">
        <v>1</v>
      </c>
      <c r="K2156" s="252"/>
      <c r="L2156" s="252"/>
      <c r="M2156" s="252"/>
      <c r="N2156" s="252"/>
      <c r="O2156" s="252"/>
      <c r="P2156" s="252"/>
      <c r="Q2156" s="252"/>
      <c r="R2156" s="252"/>
      <c r="S2156" s="252"/>
      <c r="T2156" s="252"/>
      <c r="U2156" s="252"/>
      <c r="V2156" s="252"/>
      <c r="W2156" s="252"/>
      <c r="X2156" s="252"/>
      <c r="Y2156" s="252"/>
      <c r="Z2156" s="252"/>
    </row>
    <row r="2157" ht="33.75" customHeight="1">
      <c r="A2157" s="11" t="s">
        <v>28</v>
      </c>
      <c r="B2157" s="22" t="s">
        <v>81</v>
      </c>
      <c r="C2157" s="11" t="s">
        <v>2811</v>
      </c>
      <c r="D2157" s="24" t="s">
        <v>2871</v>
      </c>
      <c r="E2157" s="64">
        <v>46098.0</v>
      </c>
      <c r="F2157" s="14" t="s">
        <v>17</v>
      </c>
      <c r="G2157" s="178">
        <v>12000.0</v>
      </c>
      <c r="H2157" s="28"/>
      <c r="I2157" s="17">
        <f t="shared" si="64"/>
        <v>12000</v>
      </c>
      <c r="J2157" s="25" t="s">
        <v>1</v>
      </c>
      <c r="K2157" s="330"/>
      <c r="L2157" s="330"/>
      <c r="M2157" s="330"/>
      <c r="N2157" s="330"/>
      <c r="O2157" s="330"/>
      <c r="P2157" s="330"/>
      <c r="Q2157" s="330"/>
      <c r="R2157" s="330"/>
      <c r="S2157" s="330"/>
      <c r="T2157" s="330"/>
      <c r="U2157" s="330"/>
      <c r="V2157" s="330"/>
      <c r="W2157" s="330"/>
      <c r="X2157" s="330"/>
      <c r="Y2157" s="330"/>
      <c r="Z2157" s="330"/>
    </row>
    <row r="2158" ht="33.75" customHeight="1">
      <c r="A2158" s="11" t="s">
        <v>2018</v>
      </c>
      <c r="B2158" s="22" t="s">
        <v>81</v>
      </c>
      <c r="C2158" s="11" t="s">
        <v>2443</v>
      </c>
      <c r="D2158" s="11"/>
      <c r="E2158" s="64">
        <v>46098.0</v>
      </c>
      <c r="F2158" s="14" t="s">
        <v>1141</v>
      </c>
      <c r="G2158" s="178">
        <v>3298.0</v>
      </c>
      <c r="H2158" s="28"/>
      <c r="I2158" s="17">
        <f t="shared" si="64"/>
        <v>3298</v>
      </c>
      <c r="J2158" s="91" t="s">
        <v>1139</v>
      </c>
      <c r="K2158" s="252"/>
      <c r="L2158" s="252"/>
      <c r="M2158" s="252"/>
      <c r="N2158" s="252"/>
      <c r="O2158" s="252"/>
      <c r="P2158" s="252"/>
      <c r="Q2158" s="252"/>
      <c r="R2158" s="252"/>
      <c r="S2158" s="252"/>
      <c r="T2158" s="252"/>
      <c r="U2158" s="252"/>
      <c r="V2158" s="252"/>
      <c r="W2158" s="252"/>
      <c r="X2158" s="252"/>
      <c r="Y2158" s="252"/>
      <c r="Z2158" s="252"/>
    </row>
    <row r="2159" ht="33.75" customHeight="1">
      <c r="A2159" s="11" t="s">
        <v>2869</v>
      </c>
      <c r="B2159" s="22" t="s">
        <v>81</v>
      </c>
      <c r="C2159" s="11" t="s">
        <v>2870</v>
      </c>
      <c r="D2159" s="11">
        <v>9.38897118640851E14</v>
      </c>
      <c r="E2159" s="64">
        <v>46098.0</v>
      </c>
      <c r="F2159" s="14" t="s">
        <v>1133</v>
      </c>
      <c r="G2159" s="178">
        <v>10000.0</v>
      </c>
      <c r="H2159" s="28">
        <f>3138+3141</f>
        <v>6279</v>
      </c>
      <c r="I2159" s="17">
        <f t="shared" si="64"/>
        <v>3721</v>
      </c>
      <c r="J2159" s="25" t="s">
        <v>1</v>
      </c>
      <c r="K2159" s="330"/>
      <c r="L2159" s="330"/>
      <c r="M2159" s="330"/>
      <c r="N2159" s="330"/>
      <c r="O2159" s="330"/>
      <c r="P2159" s="330"/>
      <c r="Q2159" s="330"/>
      <c r="R2159" s="330"/>
      <c r="S2159" s="330"/>
      <c r="T2159" s="330"/>
      <c r="U2159" s="330"/>
      <c r="V2159" s="330"/>
      <c r="W2159" s="330"/>
      <c r="X2159" s="330"/>
      <c r="Y2159" s="330"/>
      <c r="Z2159" s="330"/>
    </row>
    <row r="2160" ht="33.75" customHeight="1">
      <c r="A2160" s="11" t="s">
        <v>2890</v>
      </c>
      <c r="B2160" s="22" t="s">
        <v>81</v>
      </c>
      <c r="C2160" s="11" t="s">
        <v>2862</v>
      </c>
      <c r="D2160" s="11" t="s">
        <v>2863</v>
      </c>
      <c r="E2160" s="64">
        <v>46098.0</v>
      </c>
      <c r="F2160" s="14" t="s">
        <v>1133</v>
      </c>
      <c r="G2160" s="178">
        <v>8000.0</v>
      </c>
      <c r="H2160" s="16">
        <v>4292.0</v>
      </c>
      <c r="I2160" s="17">
        <f t="shared" si="64"/>
        <v>3708</v>
      </c>
      <c r="J2160" s="25" t="s">
        <v>1</v>
      </c>
      <c r="K2160" s="330"/>
      <c r="L2160" s="330"/>
      <c r="M2160" s="330"/>
      <c r="N2160" s="330"/>
      <c r="O2160" s="330"/>
      <c r="P2160" s="330"/>
      <c r="Q2160" s="330"/>
      <c r="R2160" s="330"/>
      <c r="S2160" s="330"/>
      <c r="T2160" s="330"/>
      <c r="U2160" s="330"/>
      <c r="V2160" s="330"/>
      <c r="W2160" s="330"/>
      <c r="X2160" s="330"/>
      <c r="Y2160" s="330"/>
      <c r="Z2160" s="330"/>
    </row>
    <row r="2161" ht="33.75" customHeight="1">
      <c r="A2161" s="11" t="s">
        <v>2451</v>
      </c>
      <c r="B2161" s="22" t="s">
        <v>81</v>
      </c>
      <c r="C2161" s="11" t="s">
        <v>2862</v>
      </c>
      <c r="D2161" s="11" t="s">
        <v>2863</v>
      </c>
      <c r="E2161" s="64">
        <v>46098.0</v>
      </c>
      <c r="F2161" s="14" t="s">
        <v>1133</v>
      </c>
      <c r="G2161" s="178">
        <v>14000.0</v>
      </c>
      <c r="H2161" s="28">
        <f>6680+4363</f>
        <v>11043</v>
      </c>
      <c r="I2161" s="17">
        <f t="shared" si="64"/>
        <v>2957</v>
      </c>
      <c r="J2161" s="25" t="s">
        <v>1</v>
      </c>
      <c r="K2161" s="330"/>
      <c r="L2161" s="330"/>
      <c r="M2161" s="330"/>
      <c r="N2161" s="330"/>
      <c r="O2161" s="330"/>
      <c r="P2161" s="330"/>
      <c r="Q2161" s="330"/>
      <c r="R2161" s="330"/>
      <c r="S2161" s="330"/>
      <c r="T2161" s="330"/>
      <c r="U2161" s="330"/>
      <c r="V2161" s="330"/>
      <c r="W2161" s="330"/>
      <c r="X2161" s="330"/>
      <c r="Y2161" s="330"/>
      <c r="Z2161" s="330"/>
    </row>
    <row r="2162" ht="33.75" customHeight="1">
      <c r="A2162" s="11" t="s">
        <v>2534</v>
      </c>
      <c r="B2162" s="22" t="s">
        <v>81</v>
      </c>
      <c r="C2162" s="11" t="s">
        <v>2862</v>
      </c>
      <c r="D2162" s="11" t="s">
        <v>2863</v>
      </c>
      <c r="E2162" s="64">
        <v>46098.0</v>
      </c>
      <c r="F2162" s="14" t="s">
        <v>1133</v>
      </c>
      <c r="G2162" s="178">
        <v>6000.0</v>
      </c>
      <c r="H2162" s="16">
        <v>3714.0</v>
      </c>
      <c r="I2162" s="17">
        <f t="shared" si="64"/>
        <v>2286</v>
      </c>
      <c r="J2162" s="25" t="s">
        <v>1</v>
      </c>
      <c r="K2162" s="330"/>
      <c r="L2162" s="330"/>
      <c r="M2162" s="330"/>
      <c r="N2162" s="330"/>
      <c r="O2162" s="330"/>
      <c r="P2162" s="330"/>
      <c r="Q2162" s="330"/>
      <c r="R2162" s="330"/>
      <c r="S2162" s="330"/>
      <c r="T2162" s="330"/>
      <c r="U2162" s="330"/>
      <c r="V2162" s="330"/>
      <c r="W2162" s="330"/>
      <c r="X2162" s="330"/>
      <c r="Y2162" s="330"/>
      <c r="Z2162" s="330"/>
    </row>
    <row r="2163" ht="33.75" customHeight="1">
      <c r="A2163" s="11" t="s">
        <v>2550</v>
      </c>
      <c r="B2163" s="22" t="s">
        <v>81</v>
      </c>
      <c r="C2163" s="11" t="s">
        <v>2862</v>
      </c>
      <c r="D2163" s="11" t="s">
        <v>2863</v>
      </c>
      <c r="E2163" s="64">
        <v>46098.0</v>
      </c>
      <c r="F2163" s="14" t="s">
        <v>1133</v>
      </c>
      <c r="G2163" s="178">
        <v>6000.0</v>
      </c>
      <c r="H2163" s="16">
        <v>4057.0</v>
      </c>
      <c r="I2163" s="17">
        <f t="shared" si="64"/>
        <v>1943</v>
      </c>
      <c r="J2163" s="25" t="s">
        <v>1</v>
      </c>
      <c r="K2163" s="330"/>
      <c r="L2163" s="330"/>
      <c r="M2163" s="330"/>
      <c r="N2163" s="330"/>
      <c r="O2163" s="330"/>
      <c r="P2163" s="330"/>
      <c r="Q2163" s="330"/>
      <c r="R2163" s="330"/>
      <c r="S2163" s="330"/>
      <c r="T2163" s="330"/>
      <c r="U2163" s="330"/>
      <c r="V2163" s="330"/>
      <c r="W2163" s="330"/>
      <c r="X2163" s="330"/>
      <c r="Y2163" s="330"/>
      <c r="Z2163" s="330"/>
    </row>
    <row r="2164" ht="33.75" customHeight="1">
      <c r="A2164" s="11" t="s">
        <v>2891</v>
      </c>
      <c r="B2164" s="22" t="s">
        <v>81</v>
      </c>
      <c r="C2164" s="11" t="s">
        <v>2862</v>
      </c>
      <c r="D2164" s="11" t="s">
        <v>2863</v>
      </c>
      <c r="E2164" s="64">
        <v>46098.0</v>
      </c>
      <c r="F2164" s="14" t="s">
        <v>1133</v>
      </c>
      <c r="G2164" s="178">
        <v>6000.0</v>
      </c>
      <c r="H2164" s="16">
        <v>4450.0</v>
      </c>
      <c r="I2164" s="17">
        <f t="shared" si="64"/>
        <v>1550</v>
      </c>
      <c r="J2164" s="25" t="s">
        <v>1</v>
      </c>
      <c r="K2164" s="330"/>
      <c r="L2164" s="330"/>
      <c r="M2164" s="330"/>
      <c r="N2164" s="330"/>
      <c r="O2164" s="330"/>
      <c r="P2164" s="330"/>
      <c r="Q2164" s="330"/>
      <c r="R2164" s="330"/>
      <c r="S2164" s="330"/>
      <c r="T2164" s="330"/>
      <c r="U2164" s="330"/>
      <c r="V2164" s="330"/>
      <c r="W2164" s="330"/>
      <c r="X2164" s="330"/>
      <c r="Y2164" s="330"/>
      <c r="Z2164" s="330"/>
    </row>
    <row r="2165" ht="33.75" customHeight="1">
      <c r="A2165" s="11" t="s">
        <v>2649</v>
      </c>
      <c r="B2165" s="22" t="s">
        <v>81</v>
      </c>
      <c r="C2165" s="11" t="s">
        <v>2862</v>
      </c>
      <c r="D2165" s="11" t="s">
        <v>2863</v>
      </c>
      <c r="E2165" s="64">
        <v>46098.0</v>
      </c>
      <c r="F2165" s="14" t="s">
        <v>1133</v>
      </c>
      <c r="G2165" s="178">
        <v>5000.0</v>
      </c>
      <c r="H2165" s="16">
        <v>2708.0</v>
      </c>
      <c r="I2165" s="17">
        <f t="shared" si="64"/>
        <v>2292</v>
      </c>
      <c r="J2165" s="25" t="s">
        <v>1</v>
      </c>
      <c r="K2165" s="330"/>
      <c r="L2165" s="330"/>
      <c r="M2165" s="330"/>
      <c r="N2165" s="330"/>
      <c r="O2165" s="330"/>
      <c r="P2165" s="330"/>
      <c r="Q2165" s="330"/>
      <c r="R2165" s="330"/>
      <c r="S2165" s="330"/>
      <c r="T2165" s="330"/>
      <c r="U2165" s="330"/>
      <c r="V2165" s="330"/>
      <c r="W2165" s="330"/>
      <c r="X2165" s="330"/>
      <c r="Y2165" s="330"/>
      <c r="Z2165" s="330"/>
    </row>
    <row r="2166" ht="33.75" customHeight="1">
      <c r="A2166" s="11" t="s">
        <v>2754</v>
      </c>
      <c r="B2166" s="22" t="s">
        <v>81</v>
      </c>
      <c r="C2166" s="11" t="s">
        <v>2856</v>
      </c>
      <c r="D2166" s="11" t="s">
        <v>2857</v>
      </c>
      <c r="E2166" s="64">
        <v>46098.0</v>
      </c>
      <c r="F2166" s="14" t="s">
        <v>1133</v>
      </c>
      <c r="G2166" s="178">
        <v>20000.0</v>
      </c>
      <c r="H2166" s="28">
        <f>3599+3794+3531+3303</f>
        <v>14227</v>
      </c>
      <c r="I2166" s="17">
        <f t="shared" si="64"/>
        <v>5773</v>
      </c>
      <c r="J2166" s="25" t="s">
        <v>1</v>
      </c>
      <c r="K2166" s="330"/>
      <c r="L2166" s="330"/>
      <c r="M2166" s="330"/>
      <c r="N2166" s="330"/>
      <c r="O2166" s="330"/>
      <c r="P2166" s="330"/>
      <c r="Q2166" s="330"/>
      <c r="R2166" s="330"/>
      <c r="S2166" s="330"/>
      <c r="T2166" s="330"/>
      <c r="U2166" s="330"/>
      <c r="V2166" s="330"/>
      <c r="W2166" s="330"/>
      <c r="X2166" s="330"/>
      <c r="Y2166" s="330"/>
      <c r="Z2166" s="330"/>
    </row>
    <row r="2167" ht="33.75" customHeight="1">
      <c r="A2167" s="11" t="s">
        <v>2641</v>
      </c>
      <c r="B2167" s="22" t="s">
        <v>81</v>
      </c>
      <c r="C2167" s="11" t="s">
        <v>2856</v>
      </c>
      <c r="D2167" s="11" t="s">
        <v>2857</v>
      </c>
      <c r="E2167" s="64">
        <v>46098.0</v>
      </c>
      <c r="F2167" s="14" t="s">
        <v>1133</v>
      </c>
      <c r="G2167" s="178">
        <v>12000.0</v>
      </c>
      <c r="H2167" s="28">
        <f>4932+4715</f>
        <v>9647</v>
      </c>
      <c r="I2167" s="17">
        <f t="shared" si="64"/>
        <v>2353</v>
      </c>
      <c r="J2167" s="25" t="s">
        <v>1</v>
      </c>
      <c r="K2167" s="330"/>
      <c r="L2167" s="330"/>
      <c r="M2167" s="330"/>
      <c r="N2167" s="330"/>
      <c r="O2167" s="330"/>
      <c r="P2167" s="330"/>
      <c r="Q2167" s="330"/>
      <c r="R2167" s="330"/>
      <c r="S2167" s="330"/>
      <c r="T2167" s="330"/>
      <c r="U2167" s="330"/>
      <c r="V2167" s="330"/>
      <c r="W2167" s="330"/>
      <c r="X2167" s="330"/>
      <c r="Y2167" s="330"/>
      <c r="Z2167" s="330"/>
    </row>
    <row r="2168" ht="33.75" customHeight="1">
      <c r="A2168" s="11" t="s">
        <v>2892</v>
      </c>
      <c r="B2168" s="22" t="s">
        <v>81</v>
      </c>
      <c r="C2168" s="11" t="s">
        <v>2856</v>
      </c>
      <c r="D2168" s="11" t="s">
        <v>2857</v>
      </c>
      <c r="E2168" s="64">
        <v>46098.0</v>
      </c>
      <c r="F2168" s="14" t="s">
        <v>1133</v>
      </c>
      <c r="G2168" s="178">
        <v>6000.0</v>
      </c>
      <c r="H2168" s="16">
        <v>3766.0</v>
      </c>
      <c r="I2168" s="17">
        <f t="shared" si="64"/>
        <v>2234</v>
      </c>
      <c r="J2168" s="25" t="s">
        <v>1</v>
      </c>
      <c r="K2168" s="330"/>
      <c r="L2168" s="330"/>
      <c r="M2168" s="330"/>
      <c r="N2168" s="330"/>
      <c r="O2168" s="330"/>
      <c r="P2168" s="330"/>
      <c r="Q2168" s="330"/>
      <c r="R2168" s="330"/>
      <c r="S2168" s="330"/>
      <c r="T2168" s="330"/>
      <c r="U2168" s="330"/>
      <c r="V2168" s="330"/>
      <c r="W2168" s="330"/>
      <c r="X2168" s="330"/>
      <c r="Y2168" s="330"/>
      <c r="Z2168" s="330"/>
    </row>
    <row r="2169" ht="33.75" customHeight="1">
      <c r="A2169" s="11" t="s">
        <v>2827</v>
      </c>
      <c r="B2169" s="22" t="s">
        <v>81</v>
      </c>
      <c r="C2169" s="11" t="s">
        <v>2856</v>
      </c>
      <c r="D2169" s="11" t="s">
        <v>2857</v>
      </c>
      <c r="E2169" s="64">
        <v>46098.0</v>
      </c>
      <c r="F2169" s="14" t="s">
        <v>1133</v>
      </c>
      <c r="G2169" s="178">
        <v>6000.0</v>
      </c>
      <c r="H2169" s="16">
        <v>3468.0</v>
      </c>
      <c r="I2169" s="17">
        <f t="shared" si="64"/>
        <v>2532</v>
      </c>
      <c r="J2169" s="25" t="s">
        <v>1</v>
      </c>
      <c r="K2169" s="330"/>
      <c r="L2169" s="330"/>
      <c r="M2169" s="330"/>
      <c r="N2169" s="330"/>
      <c r="O2169" s="330"/>
      <c r="P2169" s="330"/>
      <c r="Q2169" s="330"/>
      <c r="R2169" s="330"/>
      <c r="S2169" s="330"/>
      <c r="T2169" s="330"/>
      <c r="U2169" s="330"/>
      <c r="V2169" s="330"/>
      <c r="W2169" s="330"/>
      <c r="X2169" s="330"/>
      <c r="Y2169" s="330"/>
      <c r="Z2169" s="330"/>
    </row>
    <row r="2170" ht="33.75" customHeight="1">
      <c r="A2170" s="11" t="s">
        <v>2893</v>
      </c>
      <c r="B2170" s="22" t="s">
        <v>81</v>
      </c>
      <c r="C2170" s="11" t="s">
        <v>2856</v>
      </c>
      <c r="D2170" s="11" t="s">
        <v>2857</v>
      </c>
      <c r="E2170" s="64">
        <v>46098.0</v>
      </c>
      <c r="F2170" s="14" t="s">
        <v>1133</v>
      </c>
      <c r="G2170" s="178">
        <v>6000.0</v>
      </c>
      <c r="H2170" s="16">
        <v>3432.0</v>
      </c>
      <c r="I2170" s="17">
        <f t="shared" si="64"/>
        <v>2568</v>
      </c>
      <c r="J2170" s="25" t="s">
        <v>1</v>
      </c>
      <c r="K2170" s="330"/>
      <c r="L2170" s="330"/>
      <c r="M2170" s="330"/>
      <c r="N2170" s="330"/>
      <c r="O2170" s="330"/>
      <c r="P2170" s="330"/>
      <c r="Q2170" s="330"/>
      <c r="R2170" s="330"/>
      <c r="S2170" s="330"/>
      <c r="T2170" s="330"/>
      <c r="U2170" s="330"/>
      <c r="V2170" s="330"/>
      <c r="W2170" s="330"/>
      <c r="X2170" s="330"/>
      <c r="Y2170" s="330"/>
      <c r="Z2170" s="330"/>
    </row>
    <row r="2171" ht="33.75" customHeight="1">
      <c r="A2171" s="11" t="s">
        <v>2894</v>
      </c>
      <c r="B2171" s="22" t="s">
        <v>81</v>
      </c>
      <c r="C2171" s="11" t="s">
        <v>2767</v>
      </c>
      <c r="D2171" s="11">
        <v>9.11120394631047E14</v>
      </c>
      <c r="E2171" s="64">
        <v>46098.0</v>
      </c>
      <c r="F2171" s="14" t="s">
        <v>1133</v>
      </c>
      <c r="G2171" s="178">
        <v>13000.0</v>
      </c>
      <c r="H2171" s="28">
        <f>6215+6219</f>
        <v>12434</v>
      </c>
      <c r="I2171" s="17">
        <f t="shared" si="64"/>
        <v>566</v>
      </c>
      <c r="J2171" s="25" t="s">
        <v>1</v>
      </c>
      <c r="K2171" s="330"/>
      <c r="L2171" s="330"/>
      <c r="M2171" s="330"/>
      <c r="N2171" s="330"/>
      <c r="O2171" s="330"/>
      <c r="P2171" s="330"/>
      <c r="Q2171" s="330"/>
      <c r="R2171" s="330"/>
      <c r="S2171" s="330"/>
      <c r="T2171" s="330"/>
      <c r="U2171" s="330"/>
      <c r="V2171" s="330"/>
      <c r="W2171" s="330"/>
      <c r="X2171" s="330"/>
      <c r="Y2171" s="330"/>
      <c r="Z2171" s="330"/>
    </row>
    <row r="2172" ht="33.75" customHeight="1">
      <c r="A2172" s="11" t="s">
        <v>2895</v>
      </c>
      <c r="B2172" s="22" t="s">
        <v>81</v>
      </c>
      <c r="C2172" s="11" t="s">
        <v>2767</v>
      </c>
      <c r="D2172" s="11">
        <v>9.11120394631047E14</v>
      </c>
      <c r="E2172" s="64">
        <v>46098.0</v>
      </c>
      <c r="F2172" s="14" t="s">
        <v>1133</v>
      </c>
      <c r="G2172" s="178">
        <v>3000.0</v>
      </c>
      <c r="H2172" s="16">
        <v>2842.0</v>
      </c>
      <c r="I2172" s="17">
        <f t="shared" si="64"/>
        <v>158</v>
      </c>
      <c r="J2172" s="25" t="s">
        <v>1</v>
      </c>
      <c r="K2172" s="330"/>
      <c r="L2172" s="330"/>
      <c r="M2172" s="330"/>
      <c r="N2172" s="330"/>
      <c r="O2172" s="330"/>
      <c r="P2172" s="330"/>
      <c r="Q2172" s="330"/>
      <c r="R2172" s="330"/>
      <c r="S2172" s="330"/>
      <c r="T2172" s="330"/>
      <c r="U2172" s="330"/>
      <c r="V2172" s="330"/>
      <c r="W2172" s="330"/>
      <c r="X2172" s="330"/>
      <c r="Y2172" s="330"/>
      <c r="Z2172" s="330"/>
    </row>
    <row r="2173" ht="33.75" customHeight="1">
      <c r="A2173" s="11" t="s">
        <v>2896</v>
      </c>
      <c r="B2173" s="22" t="s">
        <v>81</v>
      </c>
      <c r="C2173" s="11" t="s">
        <v>2767</v>
      </c>
      <c r="D2173" s="11">
        <v>9.11120394631047E14</v>
      </c>
      <c r="E2173" s="64">
        <v>46098.0</v>
      </c>
      <c r="F2173" s="14" t="s">
        <v>1133</v>
      </c>
      <c r="G2173" s="178">
        <v>5000.0</v>
      </c>
      <c r="H2173" s="16">
        <v>3694.0</v>
      </c>
      <c r="I2173" s="17">
        <f t="shared" si="64"/>
        <v>1306</v>
      </c>
      <c r="J2173" s="25" t="s">
        <v>1</v>
      </c>
      <c r="K2173" s="330"/>
      <c r="L2173" s="330"/>
      <c r="M2173" s="330"/>
      <c r="N2173" s="330"/>
      <c r="O2173" s="330"/>
      <c r="P2173" s="330"/>
      <c r="Q2173" s="330"/>
      <c r="R2173" s="330"/>
      <c r="S2173" s="330"/>
      <c r="T2173" s="330"/>
      <c r="U2173" s="330"/>
      <c r="V2173" s="330"/>
      <c r="W2173" s="330"/>
      <c r="X2173" s="330"/>
      <c r="Y2173" s="330"/>
      <c r="Z2173" s="330"/>
    </row>
    <row r="2174" ht="33.75" customHeight="1">
      <c r="A2174" s="11" t="s">
        <v>2897</v>
      </c>
      <c r="B2174" s="22" t="s">
        <v>81</v>
      </c>
      <c r="C2174" s="11" t="s">
        <v>2767</v>
      </c>
      <c r="D2174" s="11">
        <v>9.11120394631047E14</v>
      </c>
      <c r="E2174" s="64">
        <v>46098.0</v>
      </c>
      <c r="F2174" s="14" t="s">
        <v>1133</v>
      </c>
      <c r="G2174" s="178">
        <v>11000.0</v>
      </c>
      <c r="H2174" s="16">
        <v>5753.0</v>
      </c>
      <c r="I2174" s="17">
        <f t="shared" si="64"/>
        <v>5247</v>
      </c>
      <c r="J2174" s="25" t="s">
        <v>1</v>
      </c>
      <c r="K2174" s="330"/>
      <c r="L2174" s="330"/>
      <c r="M2174" s="330"/>
      <c r="N2174" s="330"/>
      <c r="O2174" s="330"/>
      <c r="P2174" s="330"/>
      <c r="Q2174" s="330"/>
      <c r="R2174" s="330"/>
      <c r="S2174" s="330"/>
      <c r="T2174" s="330"/>
      <c r="U2174" s="330"/>
      <c r="V2174" s="330"/>
      <c r="W2174" s="330"/>
      <c r="X2174" s="330"/>
      <c r="Y2174" s="330"/>
      <c r="Z2174" s="330"/>
    </row>
    <row r="2175" ht="33.75" customHeight="1">
      <c r="A2175" s="11" t="s">
        <v>2898</v>
      </c>
      <c r="B2175" s="22" t="s">
        <v>81</v>
      </c>
      <c r="C2175" s="11" t="s">
        <v>2866</v>
      </c>
      <c r="D2175" s="11" t="s">
        <v>2867</v>
      </c>
      <c r="E2175" s="64">
        <v>46098.0</v>
      </c>
      <c r="F2175" s="14" t="s">
        <v>1133</v>
      </c>
      <c r="G2175" s="178">
        <v>3000.0</v>
      </c>
      <c r="H2175" s="16">
        <v>176.0</v>
      </c>
      <c r="I2175" s="17">
        <f t="shared" si="64"/>
        <v>2824</v>
      </c>
      <c r="J2175" s="25" t="s">
        <v>1</v>
      </c>
      <c r="K2175" s="330"/>
      <c r="L2175" s="330"/>
      <c r="M2175" s="330"/>
      <c r="N2175" s="330"/>
      <c r="O2175" s="330"/>
      <c r="P2175" s="330"/>
      <c r="Q2175" s="330"/>
      <c r="R2175" s="330"/>
      <c r="S2175" s="330"/>
      <c r="T2175" s="330"/>
      <c r="U2175" s="330"/>
      <c r="V2175" s="330"/>
      <c r="W2175" s="330"/>
      <c r="X2175" s="330"/>
      <c r="Y2175" s="330"/>
      <c r="Z2175" s="330"/>
    </row>
    <row r="2176" ht="33.75" customHeight="1">
      <c r="A2176" s="11" t="s">
        <v>2899</v>
      </c>
      <c r="B2176" s="22" t="s">
        <v>81</v>
      </c>
      <c r="C2176" s="11" t="s">
        <v>2866</v>
      </c>
      <c r="D2176" s="11" t="s">
        <v>2867</v>
      </c>
      <c r="E2176" s="64">
        <v>46098.0</v>
      </c>
      <c r="F2176" s="14" t="s">
        <v>1133</v>
      </c>
      <c r="G2176" s="178">
        <v>15000.0</v>
      </c>
      <c r="H2176" s="28">
        <f>4298+4575</f>
        <v>8873</v>
      </c>
      <c r="I2176" s="17">
        <f t="shared" si="64"/>
        <v>6127</v>
      </c>
      <c r="J2176" s="25" t="s">
        <v>1</v>
      </c>
      <c r="K2176" s="330"/>
      <c r="L2176" s="330"/>
      <c r="M2176" s="330"/>
      <c r="N2176" s="330"/>
      <c r="O2176" s="330"/>
      <c r="P2176" s="330"/>
      <c r="Q2176" s="330"/>
      <c r="R2176" s="330"/>
      <c r="S2176" s="330"/>
      <c r="T2176" s="330"/>
      <c r="U2176" s="330"/>
      <c r="V2176" s="330"/>
      <c r="W2176" s="330"/>
      <c r="X2176" s="330"/>
      <c r="Y2176" s="330"/>
      <c r="Z2176" s="330"/>
    </row>
    <row r="2177" ht="33.75" customHeight="1">
      <c r="A2177" s="11" t="s">
        <v>2604</v>
      </c>
      <c r="B2177" s="22" t="s">
        <v>81</v>
      </c>
      <c r="C2177" s="11" t="s">
        <v>2866</v>
      </c>
      <c r="D2177" s="11" t="s">
        <v>2867</v>
      </c>
      <c r="E2177" s="64">
        <v>46098.0</v>
      </c>
      <c r="F2177" s="14" t="s">
        <v>1133</v>
      </c>
      <c r="G2177" s="178">
        <v>10000.0</v>
      </c>
      <c r="H2177" s="16">
        <v>3880.0</v>
      </c>
      <c r="I2177" s="17">
        <f t="shared" si="64"/>
        <v>6120</v>
      </c>
      <c r="J2177" s="25" t="s">
        <v>1</v>
      </c>
      <c r="K2177" s="330"/>
      <c r="L2177" s="330"/>
      <c r="M2177" s="330"/>
      <c r="N2177" s="330"/>
      <c r="O2177" s="330"/>
      <c r="P2177" s="330"/>
      <c r="Q2177" s="330"/>
      <c r="R2177" s="330"/>
      <c r="S2177" s="330"/>
      <c r="T2177" s="330"/>
      <c r="U2177" s="330"/>
      <c r="V2177" s="330"/>
      <c r="W2177" s="330"/>
      <c r="X2177" s="330"/>
      <c r="Y2177" s="330"/>
      <c r="Z2177" s="330"/>
    </row>
    <row r="2178" ht="33.75" customHeight="1">
      <c r="A2178" s="11" t="s">
        <v>2900</v>
      </c>
      <c r="B2178" s="22" t="s">
        <v>81</v>
      </c>
      <c r="C2178" s="11" t="s">
        <v>2866</v>
      </c>
      <c r="D2178" s="11" t="s">
        <v>2867</v>
      </c>
      <c r="E2178" s="64">
        <v>46098.0</v>
      </c>
      <c r="F2178" s="14" t="s">
        <v>1133</v>
      </c>
      <c r="G2178" s="178">
        <v>3500.0</v>
      </c>
      <c r="H2178" s="16">
        <v>2838.0</v>
      </c>
      <c r="I2178" s="17">
        <f t="shared" si="64"/>
        <v>662</v>
      </c>
      <c r="J2178" s="25" t="s">
        <v>1</v>
      </c>
      <c r="K2178" s="330"/>
      <c r="L2178" s="330"/>
      <c r="M2178" s="330"/>
      <c r="N2178" s="330"/>
      <c r="O2178" s="330"/>
      <c r="P2178" s="330"/>
      <c r="Q2178" s="330"/>
      <c r="R2178" s="330"/>
      <c r="S2178" s="330"/>
      <c r="T2178" s="330"/>
      <c r="U2178" s="330"/>
      <c r="V2178" s="330"/>
      <c r="W2178" s="330"/>
      <c r="X2178" s="330"/>
      <c r="Y2178" s="330"/>
      <c r="Z2178" s="330"/>
    </row>
    <row r="2179" ht="33.75" customHeight="1">
      <c r="A2179" s="11" t="s">
        <v>2901</v>
      </c>
      <c r="B2179" s="22" t="s">
        <v>81</v>
      </c>
      <c r="C2179" s="11" t="s">
        <v>2866</v>
      </c>
      <c r="D2179" s="11" t="s">
        <v>2867</v>
      </c>
      <c r="E2179" s="64">
        <v>46098.0</v>
      </c>
      <c r="F2179" s="14" t="s">
        <v>1133</v>
      </c>
      <c r="G2179" s="178">
        <v>5000.0</v>
      </c>
      <c r="H2179" s="16">
        <v>4435.0</v>
      </c>
      <c r="I2179" s="17">
        <f t="shared" si="64"/>
        <v>565</v>
      </c>
      <c r="J2179" s="25" t="s">
        <v>1</v>
      </c>
      <c r="K2179" s="330"/>
      <c r="L2179" s="330"/>
      <c r="M2179" s="330"/>
      <c r="N2179" s="330"/>
      <c r="O2179" s="330"/>
      <c r="P2179" s="330"/>
      <c r="Q2179" s="330"/>
      <c r="R2179" s="330"/>
      <c r="S2179" s="330"/>
      <c r="T2179" s="330"/>
      <c r="U2179" s="330"/>
      <c r="V2179" s="330"/>
      <c r="W2179" s="330"/>
      <c r="X2179" s="330"/>
      <c r="Y2179" s="330"/>
      <c r="Z2179" s="330"/>
    </row>
    <row r="2180" ht="33.75" customHeight="1">
      <c r="A2180" s="11" t="s">
        <v>2902</v>
      </c>
      <c r="B2180" s="22" t="s">
        <v>81</v>
      </c>
      <c r="C2180" s="11" t="s">
        <v>2866</v>
      </c>
      <c r="D2180" s="11" t="s">
        <v>2867</v>
      </c>
      <c r="E2180" s="64">
        <v>46098.0</v>
      </c>
      <c r="F2180" s="14" t="s">
        <v>1133</v>
      </c>
      <c r="G2180" s="178">
        <v>5000.0</v>
      </c>
      <c r="H2180" s="16">
        <v>3844.0</v>
      </c>
      <c r="I2180" s="17">
        <f t="shared" si="64"/>
        <v>1156</v>
      </c>
      <c r="J2180" s="25" t="s">
        <v>1</v>
      </c>
      <c r="K2180" s="330"/>
      <c r="L2180" s="330"/>
      <c r="M2180" s="330"/>
      <c r="N2180" s="330"/>
      <c r="O2180" s="330"/>
      <c r="P2180" s="330"/>
      <c r="Q2180" s="330"/>
      <c r="R2180" s="330"/>
      <c r="S2180" s="330"/>
      <c r="T2180" s="330"/>
      <c r="U2180" s="330"/>
      <c r="V2180" s="330"/>
      <c r="W2180" s="330"/>
      <c r="X2180" s="330"/>
      <c r="Y2180" s="330"/>
      <c r="Z2180" s="330"/>
    </row>
    <row r="2181" ht="33.75" customHeight="1">
      <c r="A2181" s="11" t="s">
        <v>2903</v>
      </c>
      <c r="B2181" s="22" t="s">
        <v>81</v>
      </c>
      <c r="C2181" s="11" t="s">
        <v>2866</v>
      </c>
      <c r="D2181" s="11" t="s">
        <v>2867</v>
      </c>
      <c r="E2181" s="64">
        <v>46098.0</v>
      </c>
      <c r="F2181" s="14" t="s">
        <v>1133</v>
      </c>
      <c r="G2181" s="178">
        <v>10000.0</v>
      </c>
      <c r="H2181" s="16">
        <v>8065.0</v>
      </c>
      <c r="I2181" s="17">
        <f t="shared" si="64"/>
        <v>1935</v>
      </c>
      <c r="J2181" s="25" t="s">
        <v>1</v>
      </c>
      <c r="K2181" s="330"/>
      <c r="L2181" s="330"/>
      <c r="M2181" s="330"/>
      <c r="N2181" s="330"/>
      <c r="O2181" s="330"/>
      <c r="P2181" s="330"/>
      <c r="Q2181" s="330"/>
      <c r="R2181" s="330"/>
      <c r="S2181" s="330"/>
      <c r="T2181" s="330"/>
      <c r="U2181" s="330"/>
      <c r="V2181" s="330"/>
      <c r="W2181" s="330"/>
      <c r="X2181" s="330"/>
      <c r="Y2181" s="330"/>
      <c r="Z2181" s="330"/>
    </row>
    <row r="2182" ht="33.75" customHeight="1">
      <c r="A2182" s="11" t="s">
        <v>2858</v>
      </c>
      <c r="B2182" s="22" t="s">
        <v>81</v>
      </c>
      <c r="C2182" s="11" t="s">
        <v>2824</v>
      </c>
      <c r="D2182" s="11" t="s">
        <v>2825</v>
      </c>
      <c r="E2182" s="64">
        <v>46098.0</v>
      </c>
      <c r="F2182" s="14" t="s">
        <v>1133</v>
      </c>
      <c r="G2182" s="178">
        <v>13000.0</v>
      </c>
      <c r="H2182" s="16">
        <v>6067.0</v>
      </c>
      <c r="I2182" s="17">
        <f t="shared" si="64"/>
        <v>6933</v>
      </c>
      <c r="J2182" s="25" t="s">
        <v>1</v>
      </c>
      <c r="K2182" s="330"/>
      <c r="L2182" s="330"/>
      <c r="M2182" s="330"/>
      <c r="N2182" s="330"/>
      <c r="O2182" s="330"/>
      <c r="P2182" s="330"/>
      <c r="Q2182" s="330"/>
      <c r="R2182" s="330"/>
      <c r="S2182" s="330"/>
      <c r="T2182" s="330"/>
      <c r="U2182" s="330"/>
      <c r="V2182" s="330"/>
      <c r="W2182" s="330"/>
      <c r="X2182" s="330"/>
      <c r="Y2182" s="330"/>
      <c r="Z2182" s="330"/>
    </row>
    <row r="2183" ht="33.75" customHeight="1">
      <c r="A2183" s="11" t="s">
        <v>2859</v>
      </c>
      <c r="B2183" s="22" t="s">
        <v>81</v>
      </c>
      <c r="C2183" s="11" t="s">
        <v>2824</v>
      </c>
      <c r="D2183" s="11" t="s">
        <v>2825</v>
      </c>
      <c r="E2183" s="64">
        <v>46098.0</v>
      </c>
      <c r="F2183" s="14" t="s">
        <v>1133</v>
      </c>
      <c r="G2183" s="178">
        <v>20000.0</v>
      </c>
      <c r="H2183" s="28">
        <f>6269+3725</f>
        <v>9994</v>
      </c>
      <c r="I2183" s="17">
        <f t="shared" si="64"/>
        <v>10006</v>
      </c>
      <c r="J2183" s="25" t="s">
        <v>1</v>
      </c>
      <c r="K2183" s="330"/>
      <c r="L2183" s="330"/>
      <c r="M2183" s="330"/>
      <c r="N2183" s="330"/>
      <c r="O2183" s="330"/>
      <c r="P2183" s="330"/>
      <c r="Q2183" s="330"/>
      <c r="R2183" s="330"/>
      <c r="S2183" s="330"/>
      <c r="T2183" s="330"/>
      <c r="U2183" s="330"/>
      <c r="V2183" s="330"/>
      <c r="W2183" s="330"/>
      <c r="X2183" s="330"/>
      <c r="Y2183" s="330"/>
      <c r="Z2183" s="330"/>
    </row>
    <row r="2184" ht="33.75" customHeight="1">
      <c r="A2184" s="11" t="s">
        <v>2904</v>
      </c>
      <c r="B2184" s="22" t="s">
        <v>81</v>
      </c>
      <c r="C2184" s="11" t="s">
        <v>2824</v>
      </c>
      <c r="D2184" s="11" t="s">
        <v>2825</v>
      </c>
      <c r="E2184" s="64">
        <v>46098.0</v>
      </c>
      <c r="F2184" s="14" t="s">
        <v>1133</v>
      </c>
      <c r="G2184" s="178">
        <v>6000.0</v>
      </c>
      <c r="H2184" s="16">
        <v>3512.0</v>
      </c>
      <c r="I2184" s="17">
        <f t="shared" si="64"/>
        <v>2488</v>
      </c>
      <c r="J2184" s="25" t="s">
        <v>1</v>
      </c>
      <c r="K2184" s="330"/>
      <c r="L2184" s="330"/>
      <c r="M2184" s="330"/>
      <c r="N2184" s="330"/>
      <c r="O2184" s="330"/>
      <c r="P2184" s="330"/>
      <c r="Q2184" s="330"/>
      <c r="R2184" s="330"/>
      <c r="S2184" s="330"/>
      <c r="T2184" s="330"/>
      <c r="U2184" s="330"/>
      <c r="V2184" s="330"/>
      <c r="W2184" s="330"/>
      <c r="X2184" s="330"/>
      <c r="Y2184" s="330"/>
      <c r="Z2184" s="330"/>
    </row>
    <row r="2185" ht="33.75" customHeight="1">
      <c r="A2185" s="11" t="s">
        <v>2905</v>
      </c>
      <c r="B2185" s="22" t="s">
        <v>81</v>
      </c>
      <c r="C2185" s="11" t="s">
        <v>2818</v>
      </c>
      <c r="D2185" s="11" t="s">
        <v>2819</v>
      </c>
      <c r="E2185" s="64">
        <v>46098.0</v>
      </c>
      <c r="F2185" s="14" t="s">
        <v>1133</v>
      </c>
      <c r="G2185" s="178">
        <v>5000.0</v>
      </c>
      <c r="H2185" s="16">
        <v>3746.0</v>
      </c>
      <c r="I2185" s="17">
        <f t="shared" si="64"/>
        <v>1254</v>
      </c>
      <c r="J2185" s="25" t="s">
        <v>1</v>
      </c>
      <c r="K2185" s="330"/>
      <c r="L2185" s="330"/>
      <c r="M2185" s="330"/>
      <c r="N2185" s="330"/>
      <c r="O2185" s="330"/>
      <c r="P2185" s="330"/>
      <c r="Q2185" s="330"/>
      <c r="R2185" s="330"/>
      <c r="S2185" s="330"/>
      <c r="T2185" s="330"/>
      <c r="U2185" s="330"/>
      <c r="V2185" s="330"/>
      <c r="W2185" s="330"/>
      <c r="X2185" s="330"/>
      <c r="Y2185" s="330"/>
      <c r="Z2185" s="330"/>
    </row>
    <row r="2186" ht="33.75" customHeight="1">
      <c r="A2186" s="11" t="s">
        <v>2906</v>
      </c>
      <c r="B2186" s="22" t="s">
        <v>81</v>
      </c>
      <c r="C2186" s="11" t="s">
        <v>2818</v>
      </c>
      <c r="D2186" s="11" t="s">
        <v>2819</v>
      </c>
      <c r="E2186" s="64">
        <v>46098.0</v>
      </c>
      <c r="F2186" s="14" t="s">
        <v>1133</v>
      </c>
      <c r="G2186" s="178">
        <v>5000.0</v>
      </c>
      <c r="H2186" s="16">
        <v>2218.0</v>
      </c>
      <c r="I2186" s="17">
        <f t="shared" si="64"/>
        <v>2782</v>
      </c>
      <c r="J2186" s="25" t="s">
        <v>1</v>
      </c>
      <c r="K2186" s="330"/>
      <c r="L2186" s="330"/>
      <c r="M2186" s="330"/>
      <c r="N2186" s="330"/>
      <c r="O2186" s="330"/>
      <c r="P2186" s="330"/>
      <c r="Q2186" s="330"/>
      <c r="R2186" s="330"/>
      <c r="S2186" s="330"/>
      <c r="T2186" s="330"/>
      <c r="U2186" s="330"/>
      <c r="V2186" s="330"/>
      <c r="W2186" s="330"/>
      <c r="X2186" s="330"/>
      <c r="Y2186" s="330"/>
      <c r="Z2186" s="330"/>
    </row>
    <row r="2187" ht="33.75" customHeight="1">
      <c r="A2187" s="11" t="s">
        <v>2225</v>
      </c>
      <c r="B2187" s="22" t="s">
        <v>81</v>
      </c>
      <c r="C2187" s="11" t="s">
        <v>2818</v>
      </c>
      <c r="D2187" s="11" t="s">
        <v>2819</v>
      </c>
      <c r="E2187" s="64">
        <v>46098.0</v>
      </c>
      <c r="F2187" s="14" t="s">
        <v>1133</v>
      </c>
      <c r="G2187" s="178">
        <v>5000.0</v>
      </c>
      <c r="H2187" s="16">
        <v>2781.0</v>
      </c>
      <c r="I2187" s="17">
        <f t="shared" si="64"/>
        <v>2219</v>
      </c>
      <c r="J2187" s="25" t="s">
        <v>1</v>
      </c>
      <c r="K2187" s="330"/>
      <c r="L2187" s="330"/>
      <c r="M2187" s="330"/>
      <c r="N2187" s="330"/>
      <c r="O2187" s="330"/>
      <c r="P2187" s="330"/>
      <c r="Q2187" s="330"/>
      <c r="R2187" s="330"/>
      <c r="S2187" s="330"/>
      <c r="T2187" s="330"/>
      <c r="U2187" s="330"/>
      <c r="V2187" s="330"/>
      <c r="W2187" s="330"/>
      <c r="X2187" s="330"/>
      <c r="Y2187" s="330"/>
      <c r="Z2187" s="330"/>
    </row>
    <row r="2188" ht="33.75" customHeight="1">
      <c r="A2188" s="11" t="s">
        <v>2907</v>
      </c>
      <c r="B2188" s="22" t="s">
        <v>81</v>
      </c>
      <c r="C2188" s="11" t="s">
        <v>2818</v>
      </c>
      <c r="D2188" s="11" t="s">
        <v>2819</v>
      </c>
      <c r="E2188" s="64">
        <v>46098.0</v>
      </c>
      <c r="F2188" s="14" t="s">
        <v>1133</v>
      </c>
      <c r="G2188" s="178">
        <v>5000.0</v>
      </c>
      <c r="H2188" s="16">
        <v>2629.0</v>
      </c>
      <c r="I2188" s="17">
        <f t="shared" si="64"/>
        <v>2371</v>
      </c>
      <c r="J2188" s="25" t="s">
        <v>1</v>
      </c>
      <c r="K2188" s="330"/>
      <c r="L2188" s="330"/>
      <c r="M2188" s="330"/>
      <c r="N2188" s="330"/>
      <c r="O2188" s="330"/>
      <c r="P2188" s="330"/>
      <c r="Q2188" s="330"/>
      <c r="R2188" s="330"/>
      <c r="S2188" s="330"/>
      <c r="T2188" s="330"/>
      <c r="U2188" s="330"/>
      <c r="V2188" s="330"/>
      <c r="W2188" s="330"/>
      <c r="X2188" s="330"/>
      <c r="Y2188" s="330"/>
      <c r="Z2188" s="330"/>
    </row>
    <row r="2189" ht="33.75" customHeight="1">
      <c r="A2189" s="11" t="s">
        <v>2658</v>
      </c>
      <c r="B2189" s="22" t="s">
        <v>81</v>
      </c>
      <c r="C2189" s="11" t="s">
        <v>2818</v>
      </c>
      <c r="D2189" s="11" t="s">
        <v>2819</v>
      </c>
      <c r="E2189" s="64">
        <v>46098.0</v>
      </c>
      <c r="F2189" s="14" t="s">
        <v>1133</v>
      </c>
      <c r="G2189" s="178">
        <v>5000.0</v>
      </c>
      <c r="H2189" s="16">
        <v>3824.0</v>
      </c>
      <c r="I2189" s="17">
        <f t="shared" si="64"/>
        <v>1176</v>
      </c>
      <c r="J2189" s="25" t="s">
        <v>1</v>
      </c>
      <c r="K2189" s="330"/>
      <c r="L2189" s="330"/>
      <c r="M2189" s="330"/>
      <c r="N2189" s="330"/>
      <c r="O2189" s="330"/>
      <c r="P2189" s="330"/>
      <c r="Q2189" s="330"/>
      <c r="R2189" s="330"/>
      <c r="S2189" s="330"/>
      <c r="T2189" s="330"/>
      <c r="U2189" s="330"/>
      <c r="V2189" s="330"/>
      <c r="W2189" s="330"/>
      <c r="X2189" s="330"/>
      <c r="Y2189" s="330"/>
      <c r="Z2189" s="330"/>
    </row>
    <row r="2190" ht="33.75" customHeight="1">
      <c r="A2190" s="11" t="s">
        <v>2908</v>
      </c>
      <c r="B2190" s="22" t="s">
        <v>81</v>
      </c>
      <c r="C2190" s="11" t="s">
        <v>2818</v>
      </c>
      <c r="D2190" s="11" t="s">
        <v>2819</v>
      </c>
      <c r="E2190" s="64">
        <v>46098.0</v>
      </c>
      <c r="F2190" s="14" t="s">
        <v>1133</v>
      </c>
      <c r="G2190" s="178">
        <v>8000.0</v>
      </c>
      <c r="H2190" s="16">
        <v>3295.0</v>
      </c>
      <c r="I2190" s="17">
        <f t="shared" si="64"/>
        <v>4705</v>
      </c>
      <c r="J2190" s="25" t="s">
        <v>1</v>
      </c>
      <c r="K2190" s="330"/>
      <c r="L2190" s="330"/>
      <c r="M2190" s="330"/>
      <c r="N2190" s="330"/>
      <c r="O2190" s="330"/>
      <c r="P2190" s="330"/>
      <c r="Q2190" s="330"/>
      <c r="R2190" s="330"/>
      <c r="S2190" s="330"/>
      <c r="T2190" s="330"/>
      <c r="U2190" s="330"/>
      <c r="V2190" s="330"/>
      <c r="W2190" s="330"/>
      <c r="X2190" s="330"/>
      <c r="Y2190" s="330"/>
      <c r="Z2190" s="330"/>
    </row>
    <row r="2191" ht="33.75" customHeight="1">
      <c r="A2191" s="11" t="s">
        <v>2450</v>
      </c>
      <c r="B2191" s="22" t="s">
        <v>81</v>
      </c>
      <c r="C2191" s="11" t="s">
        <v>2818</v>
      </c>
      <c r="D2191" s="11" t="s">
        <v>2819</v>
      </c>
      <c r="E2191" s="64">
        <v>46098.0</v>
      </c>
      <c r="F2191" s="14" t="s">
        <v>1133</v>
      </c>
      <c r="G2191" s="178">
        <v>10000.0</v>
      </c>
      <c r="H2191" s="16">
        <v>5519.0</v>
      </c>
      <c r="I2191" s="17">
        <f t="shared" si="64"/>
        <v>4481</v>
      </c>
      <c r="J2191" s="25" t="s">
        <v>1</v>
      </c>
      <c r="K2191" s="330"/>
      <c r="L2191" s="330"/>
      <c r="M2191" s="330"/>
      <c r="N2191" s="330"/>
      <c r="O2191" s="330"/>
      <c r="P2191" s="330"/>
      <c r="Q2191" s="330"/>
      <c r="R2191" s="330"/>
      <c r="S2191" s="330"/>
      <c r="T2191" s="330"/>
      <c r="U2191" s="330"/>
      <c r="V2191" s="330"/>
      <c r="W2191" s="330"/>
      <c r="X2191" s="330"/>
      <c r="Y2191" s="330"/>
      <c r="Z2191" s="330"/>
    </row>
    <row r="2192" ht="33.75" customHeight="1">
      <c r="A2192" s="11" t="s">
        <v>2769</v>
      </c>
      <c r="B2192" s="22" t="s">
        <v>81</v>
      </c>
      <c r="C2192" s="11" t="s">
        <v>2771</v>
      </c>
      <c r="D2192" s="11">
        <v>9.55927666933973E14</v>
      </c>
      <c r="E2192" s="64">
        <v>46098.0</v>
      </c>
      <c r="F2192" s="14" t="s">
        <v>1133</v>
      </c>
      <c r="G2192" s="178">
        <v>6000.0</v>
      </c>
      <c r="H2192" s="16">
        <v>4051.0</v>
      </c>
      <c r="I2192" s="17">
        <f t="shared" si="64"/>
        <v>1949</v>
      </c>
      <c r="J2192" s="25" t="s">
        <v>1</v>
      </c>
      <c r="K2192" s="330"/>
      <c r="L2192" s="330"/>
      <c r="M2192" s="330"/>
      <c r="N2192" s="330"/>
      <c r="O2192" s="330"/>
      <c r="P2192" s="330"/>
      <c r="Q2192" s="330"/>
      <c r="R2192" s="330"/>
      <c r="S2192" s="330"/>
      <c r="T2192" s="330"/>
      <c r="U2192" s="330"/>
      <c r="V2192" s="330"/>
      <c r="W2192" s="330"/>
      <c r="X2192" s="330"/>
      <c r="Y2192" s="330"/>
      <c r="Z2192" s="330"/>
    </row>
    <row r="2193" ht="33.75" customHeight="1">
      <c r="A2193" s="11" t="s">
        <v>2823</v>
      </c>
      <c r="B2193" s="22" t="s">
        <v>81</v>
      </c>
      <c r="C2193" s="11" t="s">
        <v>2771</v>
      </c>
      <c r="D2193" s="11">
        <v>9.55927666933973E14</v>
      </c>
      <c r="E2193" s="64">
        <v>46098.0</v>
      </c>
      <c r="F2193" s="14" t="s">
        <v>1133</v>
      </c>
      <c r="G2193" s="178">
        <v>5000.0</v>
      </c>
      <c r="H2193" s="16">
        <v>4194.0</v>
      </c>
      <c r="I2193" s="17">
        <f t="shared" si="64"/>
        <v>806</v>
      </c>
      <c r="J2193" s="25" t="s">
        <v>1</v>
      </c>
      <c r="K2193" s="330"/>
      <c r="L2193" s="330"/>
      <c r="M2193" s="330"/>
      <c r="N2193" s="330"/>
      <c r="O2193" s="330"/>
      <c r="P2193" s="330"/>
      <c r="Q2193" s="330"/>
      <c r="R2193" s="330"/>
      <c r="S2193" s="330"/>
      <c r="T2193" s="330"/>
      <c r="U2193" s="330"/>
      <c r="V2193" s="330"/>
      <c r="W2193" s="330"/>
      <c r="X2193" s="330"/>
      <c r="Y2193" s="330"/>
      <c r="Z2193" s="330"/>
    </row>
    <row r="2194" ht="33.75" customHeight="1">
      <c r="A2194" s="11" t="s">
        <v>2909</v>
      </c>
      <c r="B2194" s="22" t="s">
        <v>81</v>
      </c>
      <c r="C2194" s="11" t="s">
        <v>2771</v>
      </c>
      <c r="D2194" s="11">
        <v>9.55927666933973E14</v>
      </c>
      <c r="E2194" s="64">
        <v>46098.0</v>
      </c>
      <c r="F2194" s="14" t="s">
        <v>1133</v>
      </c>
      <c r="G2194" s="178">
        <v>20000.0</v>
      </c>
      <c r="H2194" s="28">
        <f>4029
+3984+4106+4186</f>
        <v>16305</v>
      </c>
      <c r="I2194" s="17">
        <f t="shared" si="64"/>
        <v>3695</v>
      </c>
      <c r="J2194" s="25" t="s">
        <v>1</v>
      </c>
      <c r="K2194" s="330"/>
      <c r="L2194" s="330"/>
      <c r="M2194" s="330"/>
      <c r="N2194" s="330"/>
      <c r="O2194" s="330"/>
      <c r="P2194" s="330"/>
      <c r="Q2194" s="330"/>
      <c r="R2194" s="330"/>
      <c r="S2194" s="330"/>
      <c r="T2194" s="330"/>
      <c r="U2194" s="330"/>
      <c r="V2194" s="330"/>
      <c r="W2194" s="330"/>
      <c r="X2194" s="330"/>
      <c r="Y2194" s="330"/>
      <c r="Z2194" s="330"/>
    </row>
    <row r="2195" ht="33.75" customHeight="1">
      <c r="A2195" s="11" t="s">
        <v>2884</v>
      </c>
      <c r="B2195" s="22" t="s">
        <v>81</v>
      </c>
      <c r="C2195" s="11" t="s">
        <v>2866</v>
      </c>
      <c r="D2195" s="11" t="s">
        <v>2867</v>
      </c>
      <c r="E2195" s="64">
        <v>46098.0</v>
      </c>
      <c r="F2195" s="14" t="s">
        <v>1133</v>
      </c>
      <c r="G2195" s="178">
        <v>1000.0</v>
      </c>
      <c r="H2195" s="16">
        <v>823.0</v>
      </c>
      <c r="I2195" s="17">
        <f t="shared" si="64"/>
        <v>177</v>
      </c>
      <c r="J2195" s="25" t="s">
        <v>1</v>
      </c>
      <c r="K2195" s="330"/>
      <c r="L2195" s="330"/>
      <c r="M2195" s="330"/>
      <c r="N2195" s="330"/>
      <c r="O2195" s="330"/>
      <c r="P2195" s="330"/>
      <c r="Q2195" s="330"/>
      <c r="R2195" s="330"/>
      <c r="S2195" s="330"/>
      <c r="T2195" s="330"/>
      <c r="U2195" s="330"/>
      <c r="V2195" s="330"/>
      <c r="W2195" s="330"/>
      <c r="X2195" s="330"/>
      <c r="Y2195" s="330"/>
      <c r="Z2195" s="330"/>
    </row>
    <row r="2196" ht="33.75" customHeight="1">
      <c r="A2196" s="11" t="s">
        <v>135</v>
      </c>
      <c r="B2196" s="22" t="s">
        <v>81</v>
      </c>
      <c r="C2196" s="11" t="s">
        <v>2910</v>
      </c>
      <c r="D2196" s="11" t="s">
        <v>2837</v>
      </c>
      <c r="E2196" s="64">
        <v>46098.0</v>
      </c>
      <c r="F2196" s="14" t="s">
        <v>26</v>
      </c>
      <c r="G2196" s="178">
        <v>32126.0</v>
      </c>
      <c r="H2196" s="28"/>
      <c r="I2196" s="17">
        <f t="shared" si="64"/>
        <v>32126</v>
      </c>
      <c r="J2196" s="91" t="s">
        <v>700</v>
      </c>
      <c r="K2196" s="330"/>
      <c r="L2196" s="330"/>
      <c r="M2196" s="330"/>
      <c r="N2196" s="330"/>
      <c r="O2196" s="330"/>
      <c r="P2196" s="330"/>
      <c r="Q2196" s="330"/>
      <c r="R2196" s="330"/>
      <c r="S2196" s="330"/>
      <c r="T2196" s="330"/>
      <c r="U2196" s="330"/>
      <c r="V2196" s="330"/>
      <c r="W2196" s="330"/>
      <c r="X2196" s="330"/>
      <c r="Y2196" s="330"/>
      <c r="Z2196" s="330"/>
    </row>
    <row r="2197" ht="33.75" customHeight="1">
      <c r="A2197" s="11" t="s">
        <v>2038</v>
      </c>
      <c r="B2197" s="22" t="s">
        <v>2911</v>
      </c>
      <c r="C2197" s="11" t="s">
        <v>2417</v>
      </c>
      <c r="D2197" s="24">
        <v>7.48555344785532E14</v>
      </c>
      <c r="E2197" s="64">
        <v>46098.0</v>
      </c>
      <c r="F2197" s="14" t="s">
        <v>17</v>
      </c>
      <c r="G2197" s="178">
        <v>11000.0</v>
      </c>
      <c r="H2197" s="28"/>
      <c r="I2197" s="17">
        <f t="shared" si="64"/>
        <v>11000</v>
      </c>
      <c r="J2197" s="25" t="s">
        <v>1</v>
      </c>
      <c r="K2197" s="330"/>
      <c r="L2197" s="330"/>
      <c r="M2197" s="330"/>
      <c r="N2197" s="330"/>
      <c r="O2197" s="330"/>
      <c r="P2197" s="330"/>
      <c r="Q2197" s="330"/>
      <c r="R2197" s="330"/>
      <c r="S2197" s="330"/>
      <c r="T2197" s="330"/>
      <c r="U2197" s="330"/>
      <c r="V2197" s="330"/>
      <c r="W2197" s="330"/>
      <c r="X2197" s="330"/>
      <c r="Y2197" s="330"/>
      <c r="Z2197" s="330"/>
    </row>
    <row r="2198" ht="33.75" customHeight="1">
      <c r="A2198" s="11" t="s">
        <v>2038</v>
      </c>
      <c r="B2198" s="22" t="s">
        <v>2131</v>
      </c>
      <c r="C2198" s="11" t="s">
        <v>2731</v>
      </c>
      <c r="D2198" s="11">
        <v>9.29952600211321E14</v>
      </c>
      <c r="E2198" s="64">
        <v>46098.0</v>
      </c>
      <c r="F2198" s="14" t="s">
        <v>17</v>
      </c>
      <c r="G2198" s="178">
        <v>8454.0</v>
      </c>
      <c r="H2198" s="28"/>
      <c r="I2198" s="17">
        <f t="shared" si="64"/>
        <v>8454</v>
      </c>
      <c r="J2198" s="25" t="s">
        <v>1</v>
      </c>
      <c r="K2198" s="330"/>
      <c r="L2198" s="330"/>
      <c r="M2198" s="330"/>
      <c r="N2198" s="330"/>
      <c r="O2198" s="330"/>
      <c r="P2198" s="330"/>
      <c r="Q2198" s="330"/>
      <c r="R2198" s="330"/>
      <c r="S2198" s="330"/>
      <c r="T2198" s="330"/>
      <c r="U2198" s="330"/>
      <c r="V2198" s="330"/>
      <c r="W2198" s="330"/>
      <c r="X2198" s="330"/>
      <c r="Y2198" s="330"/>
      <c r="Z2198" s="330"/>
    </row>
    <row r="2199" ht="33.75" customHeight="1">
      <c r="A2199" s="11" t="s">
        <v>210</v>
      </c>
      <c r="B2199" s="22" t="s">
        <v>2912</v>
      </c>
      <c r="C2199" s="11" t="s">
        <v>2913</v>
      </c>
      <c r="D2199" s="11" t="s">
        <v>2914</v>
      </c>
      <c r="E2199" s="64">
        <v>46098.0</v>
      </c>
      <c r="F2199" s="14" t="s">
        <v>17</v>
      </c>
      <c r="G2199" s="178">
        <v>9475.0</v>
      </c>
      <c r="H2199" s="28"/>
      <c r="I2199" s="17">
        <f t="shared" si="64"/>
        <v>9475</v>
      </c>
      <c r="J2199" s="25" t="s">
        <v>1</v>
      </c>
      <c r="K2199" s="330"/>
      <c r="L2199" s="330"/>
      <c r="M2199" s="330"/>
      <c r="N2199" s="330"/>
      <c r="O2199" s="330"/>
      <c r="P2199" s="330"/>
      <c r="Q2199" s="330"/>
      <c r="R2199" s="330"/>
      <c r="S2199" s="330"/>
      <c r="T2199" s="330"/>
      <c r="U2199" s="330"/>
      <c r="V2199" s="330"/>
      <c r="W2199" s="330"/>
      <c r="X2199" s="330"/>
      <c r="Y2199" s="330"/>
      <c r="Z2199" s="330"/>
    </row>
    <row r="2200" ht="33.75" customHeight="1">
      <c r="A2200" s="11" t="s">
        <v>1533</v>
      </c>
      <c r="B2200" s="22" t="s">
        <v>85</v>
      </c>
      <c r="C2200" s="11" t="s">
        <v>2005</v>
      </c>
      <c r="D2200" s="36"/>
      <c r="E2200" s="64">
        <v>46098.0</v>
      </c>
      <c r="F2200" s="14" t="s">
        <v>1191</v>
      </c>
      <c r="G2200" s="178">
        <v>2554.0</v>
      </c>
      <c r="H2200" s="16">
        <v>2092.0</v>
      </c>
      <c r="I2200" s="17">
        <f t="shared" si="64"/>
        <v>462</v>
      </c>
      <c r="J2200" s="25" t="s">
        <v>1</v>
      </c>
      <c r="K2200" s="252"/>
      <c r="L2200" s="252"/>
      <c r="M2200" s="252"/>
      <c r="N2200" s="252"/>
      <c r="O2200" s="252"/>
      <c r="P2200" s="252"/>
      <c r="Q2200" s="252"/>
      <c r="R2200" s="252"/>
      <c r="S2200" s="252"/>
      <c r="T2200" s="252"/>
      <c r="U2200" s="252"/>
      <c r="V2200" s="252"/>
      <c r="W2200" s="252"/>
      <c r="X2200" s="252"/>
      <c r="Y2200" s="252"/>
      <c r="Z2200" s="252"/>
    </row>
    <row r="2201" ht="33.75" customHeight="1">
      <c r="A2201" s="11" t="s">
        <v>1587</v>
      </c>
      <c r="B2201" s="22" t="s">
        <v>85</v>
      </c>
      <c r="C2201" s="11" t="s">
        <v>2614</v>
      </c>
      <c r="D2201" s="74">
        <v>9.14989381030668E14</v>
      </c>
      <c r="E2201" s="64">
        <v>46098.0</v>
      </c>
      <c r="F2201" s="14" t="s">
        <v>287</v>
      </c>
      <c r="G2201" s="178">
        <v>50002.0</v>
      </c>
      <c r="H2201" s="28"/>
      <c r="I2201" s="17">
        <f t="shared" si="64"/>
        <v>50002</v>
      </c>
      <c r="J2201" s="25" t="s">
        <v>1</v>
      </c>
      <c r="K2201" s="330"/>
      <c r="L2201" s="330"/>
      <c r="M2201" s="330"/>
      <c r="N2201" s="330"/>
      <c r="O2201" s="330"/>
      <c r="P2201" s="330"/>
      <c r="Q2201" s="330"/>
      <c r="R2201" s="330"/>
      <c r="S2201" s="330"/>
      <c r="T2201" s="330"/>
      <c r="U2201" s="330"/>
      <c r="V2201" s="330"/>
      <c r="W2201" s="330"/>
      <c r="X2201" s="330"/>
      <c r="Y2201" s="330"/>
      <c r="Z2201" s="330"/>
    </row>
    <row r="2202" ht="33.75" customHeight="1">
      <c r="A2202" s="11" t="s">
        <v>1587</v>
      </c>
      <c r="B2202" s="22" t="s">
        <v>88</v>
      </c>
      <c r="C2202" s="11" t="s">
        <v>2915</v>
      </c>
      <c r="D2202" s="11" t="s">
        <v>2616</v>
      </c>
      <c r="E2202" s="64">
        <v>46098.0</v>
      </c>
      <c r="F2202" s="14" t="s">
        <v>287</v>
      </c>
      <c r="G2202" s="178">
        <v>50002.0</v>
      </c>
      <c r="H2202" s="28"/>
      <c r="I2202" s="17">
        <f t="shared" si="64"/>
        <v>50002</v>
      </c>
      <c r="J2202" s="25" t="s">
        <v>1</v>
      </c>
      <c r="K2202" s="330"/>
      <c r="L2202" s="330"/>
      <c r="M2202" s="330"/>
      <c r="N2202" s="330"/>
      <c r="O2202" s="330"/>
      <c r="P2202" s="330"/>
      <c r="Q2202" s="330"/>
      <c r="R2202" s="330"/>
      <c r="S2202" s="330"/>
      <c r="T2202" s="330"/>
      <c r="U2202" s="330"/>
      <c r="V2202" s="330"/>
      <c r="W2202" s="330"/>
      <c r="X2202" s="330"/>
      <c r="Y2202" s="330"/>
      <c r="Z2202" s="330"/>
    </row>
    <row r="2203" ht="33.75" customHeight="1">
      <c r="A2203" s="11" t="s">
        <v>2916</v>
      </c>
      <c r="B2203" s="22" t="s">
        <v>88</v>
      </c>
      <c r="C2203" s="11" t="s">
        <v>2917</v>
      </c>
      <c r="D2203" s="11" t="s">
        <v>2446</v>
      </c>
      <c r="E2203" s="64">
        <v>46098.0</v>
      </c>
      <c r="F2203" s="14" t="s">
        <v>1191</v>
      </c>
      <c r="G2203" s="178">
        <v>1330.0</v>
      </c>
      <c r="H2203" s="16">
        <v>1055.0</v>
      </c>
      <c r="I2203" s="17">
        <f t="shared" si="64"/>
        <v>275</v>
      </c>
      <c r="J2203" s="25" t="s">
        <v>1</v>
      </c>
      <c r="K2203" s="252"/>
      <c r="L2203" s="252"/>
      <c r="M2203" s="252"/>
      <c r="N2203" s="252"/>
      <c r="O2203" s="252"/>
      <c r="P2203" s="252"/>
      <c r="Q2203" s="252"/>
      <c r="R2203" s="252"/>
      <c r="S2203" s="252"/>
      <c r="T2203" s="252"/>
      <c r="U2203" s="252"/>
      <c r="V2203" s="252"/>
      <c r="W2203" s="252"/>
      <c r="X2203" s="252"/>
      <c r="Y2203" s="252"/>
      <c r="Z2203" s="252"/>
    </row>
    <row r="2204" ht="33.75" customHeight="1">
      <c r="A2204" s="11" t="s">
        <v>1587</v>
      </c>
      <c r="B2204" s="22" t="s">
        <v>31</v>
      </c>
      <c r="C2204" s="11" t="s">
        <v>2618</v>
      </c>
      <c r="D2204" s="11" t="s">
        <v>2619</v>
      </c>
      <c r="E2204" s="64">
        <v>46098.0</v>
      </c>
      <c r="F2204" s="14" t="s">
        <v>287</v>
      </c>
      <c r="G2204" s="178">
        <v>50002.0</v>
      </c>
      <c r="H2204" s="28"/>
      <c r="I2204" s="17">
        <f t="shared" si="64"/>
        <v>50002</v>
      </c>
      <c r="J2204" s="25" t="s">
        <v>1</v>
      </c>
      <c r="K2204" s="330"/>
      <c r="L2204" s="330"/>
      <c r="M2204" s="330"/>
      <c r="N2204" s="330"/>
      <c r="O2204" s="330"/>
      <c r="P2204" s="330"/>
      <c r="Q2204" s="330"/>
      <c r="R2204" s="330"/>
      <c r="S2204" s="330"/>
      <c r="T2204" s="330"/>
      <c r="U2204" s="330"/>
      <c r="V2204" s="330"/>
      <c r="W2204" s="330"/>
      <c r="X2204" s="330"/>
      <c r="Y2204" s="330"/>
      <c r="Z2204" s="330"/>
    </row>
    <row r="2205" ht="33.75" customHeight="1">
      <c r="A2205" s="11" t="s">
        <v>2018</v>
      </c>
      <c r="B2205" s="22" t="s">
        <v>81</v>
      </c>
      <c r="C2205" s="11" t="s">
        <v>2443</v>
      </c>
      <c r="D2205" s="11"/>
      <c r="E2205" s="64">
        <v>46098.0</v>
      </c>
      <c r="F2205" s="14" t="s">
        <v>1141</v>
      </c>
      <c r="G2205" s="178">
        <v>3636.0</v>
      </c>
      <c r="H2205" s="28"/>
      <c r="I2205" s="17">
        <f t="shared" si="64"/>
        <v>3636</v>
      </c>
      <c r="J2205" s="25" t="s">
        <v>1</v>
      </c>
      <c r="K2205" s="252"/>
      <c r="L2205" s="252"/>
      <c r="M2205" s="252"/>
      <c r="N2205" s="252"/>
      <c r="O2205" s="252"/>
      <c r="P2205" s="252"/>
      <c r="Q2205" s="252"/>
      <c r="R2205" s="252"/>
      <c r="S2205" s="252"/>
      <c r="T2205" s="252"/>
      <c r="U2205" s="252"/>
      <c r="V2205" s="252"/>
      <c r="W2205" s="252"/>
      <c r="X2205" s="252"/>
      <c r="Y2205" s="252"/>
      <c r="Z2205" s="252"/>
    </row>
    <row r="2206" ht="33.75" customHeight="1">
      <c r="A2206" s="11" t="s">
        <v>2128</v>
      </c>
      <c r="B2206" s="22" t="s">
        <v>91</v>
      </c>
      <c r="C2206" s="11" t="s">
        <v>2918</v>
      </c>
      <c r="D2206" s="24"/>
      <c r="E2206" s="64">
        <v>46098.0</v>
      </c>
      <c r="F2206" s="14" t="s">
        <v>1191</v>
      </c>
      <c r="G2206" s="178">
        <v>1077.0</v>
      </c>
      <c r="H2206" s="16">
        <v>446.0</v>
      </c>
      <c r="I2206" s="17">
        <f t="shared" si="64"/>
        <v>631</v>
      </c>
      <c r="J2206" s="25" t="s">
        <v>1</v>
      </c>
      <c r="K2206" s="330"/>
      <c r="L2206" s="330"/>
      <c r="M2206" s="330"/>
      <c r="N2206" s="330"/>
      <c r="O2206" s="330"/>
      <c r="P2206" s="330"/>
      <c r="Q2206" s="330"/>
      <c r="R2206" s="330"/>
      <c r="S2206" s="330"/>
      <c r="T2206" s="330"/>
      <c r="U2206" s="330"/>
      <c r="V2206" s="330"/>
      <c r="W2206" s="330"/>
      <c r="X2206" s="330"/>
      <c r="Y2206" s="330"/>
      <c r="Z2206" s="330"/>
    </row>
    <row r="2207" ht="33.75" customHeight="1">
      <c r="A2207" s="11" t="s">
        <v>2478</v>
      </c>
      <c r="B2207" s="22" t="s">
        <v>2919</v>
      </c>
      <c r="C2207" s="11" t="s">
        <v>2920</v>
      </c>
      <c r="D2207" s="11">
        <v>9.32164549750699E14</v>
      </c>
      <c r="E2207" s="78">
        <v>46098.0</v>
      </c>
      <c r="F2207" s="14" t="s">
        <v>17</v>
      </c>
      <c r="G2207" s="178">
        <v>10832.0</v>
      </c>
      <c r="H2207" s="28"/>
      <c r="I2207" s="17">
        <f t="shared" si="64"/>
        <v>10832</v>
      </c>
      <c r="J2207" s="25" t="s">
        <v>1</v>
      </c>
      <c r="K2207" s="330"/>
      <c r="L2207" s="330"/>
      <c r="M2207" s="330"/>
      <c r="N2207" s="330"/>
      <c r="O2207" s="330"/>
      <c r="P2207" s="330"/>
      <c r="Q2207" s="330"/>
      <c r="R2207" s="330"/>
      <c r="S2207" s="330"/>
      <c r="T2207" s="330"/>
      <c r="U2207" s="330"/>
      <c r="V2207" s="330"/>
      <c r="W2207" s="330"/>
      <c r="X2207" s="330"/>
      <c r="Y2207" s="330"/>
      <c r="Z2207" s="330"/>
    </row>
    <row r="2208" ht="33.75" customHeight="1">
      <c r="A2208" s="11" t="s">
        <v>2478</v>
      </c>
      <c r="B2208" s="22" t="s">
        <v>2919</v>
      </c>
      <c r="C2208" s="11" t="s">
        <v>2920</v>
      </c>
      <c r="D2208" s="11">
        <v>9.32164549750699E14</v>
      </c>
      <c r="E2208" s="78">
        <v>46098.0</v>
      </c>
      <c r="F2208" s="14" t="s">
        <v>17</v>
      </c>
      <c r="G2208" s="178">
        <v>10833.0</v>
      </c>
      <c r="H2208" s="28"/>
      <c r="I2208" s="17">
        <f t="shared" si="64"/>
        <v>10833</v>
      </c>
      <c r="J2208" s="25" t="s">
        <v>1</v>
      </c>
      <c r="K2208" s="330"/>
      <c r="L2208" s="330"/>
      <c r="M2208" s="330"/>
      <c r="N2208" s="330"/>
      <c r="O2208" s="330"/>
      <c r="P2208" s="330"/>
      <c r="Q2208" s="330"/>
      <c r="R2208" s="330"/>
      <c r="S2208" s="330"/>
      <c r="T2208" s="330"/>
      <c r="U2208" s="330"/>
      <c r="V2208" s="330"/>
      <c r="W2208" s="330"/>
      <c r="X2208" s="330"/>
      <c r="Y2208" s="330"/>
      <c r="Z2208" s="330"/>
    </row>
    <row r="2209" ht="33.75" customHeight="1">
      <c r="A2209" s="11" t="s">
        <v>1587</v>
      </c>
      <c r="B2209" s="22" t="s">
        <v>91</v>
      </c>
      <c r="C2209" s="11" t="s">
        <v>2621</v>
      </c>
      <c r="D2209" s="11" t="s">
        <v>2622</v>
      </c>
      <c r="E2209" s="64">
        <v>46098.0</v>
      </c>
      <c r="F2209" s="14" t="s">
        <v>287</v>
      </c>
      <c r="G2209" s="178">
        <v>50002.0</v>
      </c>
      <c r="H2209" s="28"/>
      <c r="I2209" s="17">
        <f t="shared" si="64"/>
        <v>50002</v>
      </c>
      <c r="J2209" s="25" t="s">
        <v>1</v>
      </c>
      <c r="K2209" s="330"/>
      <c r="L2209" s="330"/>
      <c r="M2209" s="330"/>
      <c r="N2209" s="330"/>
      <c r="O2209" s="330"/>
      <c r="P2209" s="330"/>
      <c r="Q2209" s="330"/>
      <c r="R2209" s="330"/>
      <c r="S2209" s="330"/>
      <c r="T2209" s="330"/>
      <c r="U2209" s="330"/>
      <c r="V2209" s="330"/>
      <c r="W2209" s="330"/>
      <c r="X2209" s="330"/>
      <c r="Y2209" s="330"/>
      <c r="Z2209" s="330"/>
    </row>
    <row r="2210" ht="33.75" customHeight="1">
      <c r="A2210" s="11" t="s">
        <v>1587</v>
      </c>
      <c r="B2210" s="65" t="s">
        <v>125</v>
      </c>
      <c r="C2210" s="33" t="s">
        <v>2623</v>
      </c>
      <c r="D2210" s="355">
        <v>1.7786419263893E15</v>
      </c>
      <c r="E2210" s="145">
        <v>46098.0</v>
      </c>
      <c r="F2210" s="146" t="s">
        <v>287</v>
      </c>
      <c r="G2210" s="178">
        <v>50002.0</v>
      </c>
      <c r="H2210" s="28"/>
      <c r="I2210" s="17">
        <f t="shared" si="64"/>
        <v>50002</v>
      </c>
      <c r="J2210" s="25" t="s">
        <v>1</v>
      </c>
      <c r="K2210" s="330"/>
      <c r="L2210" s="330"/>
      <c r="M2210" s="330"/>
      <c r="N2210" s="330"/>
      <c r="O2210" s="330"/>
      <c r="P2210" s="330"/>
      <c r="Q2210" s="330"/>
      <c r="R2210" s="330"/>
      <c r="S2210" s="330"/>
      <c r="T2210" s="330"/>
      <c r="U2210" s="330"/>
      <c r="V2210" s="330"/>
      <c r="W2210" s="330"/>
      <c r="X2210" s="330"/>
      <c r="Y2210" s="330"/>
      <c r="Z2210" s="330"/>
    </row>
    <row r="2211" ht="33.75" customHeight="1">
      <c r="A2211" s="66" t="s">
        <v>77</v>
      </c>
      <c r="B2211" s="356" t="s">
        <v>2921</v>
      </c>
      <c r="C2211" s="357" t="s">
        <v>2709</v>
      </c>
      <c r="D2211" s="357"/>
      <c r="E2211" s="358">
        <v>46098.0</v>
      </c>
      <c r="F2211" s="34" t="s">
        <v>17</v>
      </c>
      <c r="G2211" s="286">
        <v>5000.0</v>
      </c>
      <c r="H2211" s="28"/>
      <c r="I2211" s="17">
        <f t="shared" si="64"/>
        <v>5000</v>
      </c>
      <c r="J2211" s="25" t="s">
        <v>1</v>
      </c>
      <c r="K2211" s="330"/>
      <c r="L2211" s="330"/>
      <c r="M2211" s="330"/>
      <c r="N2211" s="330"/>
      <c r="O2211" s="330"/>
      <c r="P2211" s="330"/>
      <c r="Q2211" s="330"/>
      <c r="R2211" s="330"/>
      <c r="S2211" s="330"/>
      <c r="T2211" s="330"/>
      <c r="U2211" s="330"/>
      <c r="V2211" s="330"/>
      <c r="W2211" s="330"/>
      <c r="X2211" s="330"/>
      <c r="Y2211" s="330"/>
      <c r="Z2211" s="330"/>
    </row>
    <row r="2212" ht="33.75" customHeight="1">
      <c r="A2212" s="66" t="s">
        <v>210</v>
      </c>
      <c r="B2212" s="356" t="s">
        <v>125</v>
      </c>
      <c r="C2212" s="359" t="s">
        <v>2913</v>
      </c>
      <c r="D2212" s="357" t="s">
        <v>2914</v>
      </c>
      <c r="E2212" s="176">
        <v>46098.0</v>
      </c>
      <c r="F2212" s="156" t="s">
        <v>17</v>
      </c>
      <c r="G2212" s="178">
        <v>9495.0</v>
      </c>
      <c r="H2212" s="28"/>
      <c r="I2212" s="17">
        <f t="shared" si="64"/>
        <v>9495</v>
      </c>
      <c r="J2212" s="25" t="s">
        <v>1</v>
      </c>
      <c r="K2212" s="330"/>
      <c r="L2212" s="330"/>
      <c r="M2212" s="330"/>
      <c r="N2212" s="330"/>
      <c r="O2212" s="330"/>
      <c r="P2212" s="330"/>
      <c r="Q2212" s="330"/>
      <c r="R2212" s="330"/>
      <c r="S2212" s="330"/>
      <c r="T2212" s="330"/>
      <c r="U2212" s="330"/>
      <c r="V2212" s="330"/>
      <c r="W2212" s="330"/>
      <c r="X2212" s="330"/>
      <c r="Y2212" s="330"/>
      <c r="Z2212" s="330"/>
    </row>
    <row r="2213" ht="33.75" customHeight="1">
      <c r="A2213" s="11" t="s">
        <v>1587</v>
      </c>
      <c r="B2213" s="154" t="s">
        <v>161</v>
      </c>
      <c r="C2213" s="77" t="s">
        <v>2357</v>
      </c>
      <c r="D2213" s="77" t="s">
        <v>2358</v>
      </c>
      <c r="E2213" s="64">
        <v>46098.0</v>
      </c>
      <c r="F2213" s="14" t="s">
        <v>287</v>
      </c>
      <c r="G2213" s="178">
        <v>50008.0</v>
      </c>
      <c r="H2213" s="28"/>
      <c r="I2213" s="17">
        <f t="shared" si="64"/>
        <v>50008</v>
      </c>
      <c r="J2213" s="25" t="s">
        <v>1</v>
      </c>
      <c r="K2213" s="330"/>
      <c r="L2213" s="330"/>
      <c r="M2213" s="330"/>
      <c r="N2213" s="330"/>
      <c r="O2213" s="330"/>
      <c r="P2213" s="330"/>
      <c r="Q2213" s="330"/>
      <c r="R2213" s="330"/>
      <c r="S2213" s="330"/>
      <c r="T2213" s="330"/>
      <c r="U2213" s="330"/>
      <c r="V2213" s="330"/>
      <c r="W2213" s="330"/>
      <c r="X2213" s="330"/>
      <c r="Y2213" s="330"/>
      <c r="Z2213" s="330"/>
    </row>
    <row r="2214" ht="33.75" customHeight="1">
      <c r="A2214" s="11" t="s">
        <v>2797</v>
      </c>
      <c r="B2214" s="22" t="s">
        <v>2922</v>
      </c>
      <c r="C2214" s="11" t="s">
        <v>2799</v>
      </c>
      <c r="D2214" s="11">
        <v>8.9796067950713E14</v>
      </c>
      <c r="E2214" s="64">
        <v>46098.0</v>
      </c>
      <c r="F2214" s="14" t="s">
        <v>17</v>
      </c>
      <c r="G2214" s="178">
        <v>5000.0</v>
      </c>
      <c r="H2214" s="28"/>
      <c r="I2214" s="17">
        <f t="shared" si="64"/>
        <v>5000</v>
      </c>
      <c r="J2214" s="25" t="s">
        <v>1</v>
      </c>
      <c r="K2214" s="330"/>
      <c r="L2214" s="330"/>
      <c r="M2214" s="330"/>
      <c r="N2214" s="330"/>
      <c r="O2214" s="330"/>
      <c r="P2214" s="330"/>
      <c r="Q2214" s="330"/>
      <c r="R2214" s="330"/>
      <c r="S2214" s="330"/>
      <c r="T2214" s="330"/>
      <c r="U2214" s="330"/>
      <c r="V2214" s="330"/>
      <c r="W2214" s="330"/>
      <c r="X2214" s="330"/>
      <c r="Y2214" s="330"/>
      <c r="Z2214" s="330"/>
    </row>
    <row r="2215" ht="33.75" customHeight="1">
      <c r="A2215" s="11" t="s">
        <v>2923</v>
      </c>
      <c r="B2215" s="22" t="s">
        <v>2924</v>
      </c>
      <c r="C2215" s="11" t="s">
        <v>2925</v>
      </c>
      <c r="D2215" s="74" t="s">
        <v>2926</v>
      </c>
      <c r="E2215" s="64">
        <v>46098.0</v>
      </c>
      <c r="F2215" s="14" t="s">
        <v>1141</v>
      </c>
      <c r="G2215" s="178">
        <v>496.0</v>
      </c>
      <c r="H2215" s="28"/>
      <c r="I2215" s="17">
        <f t="shared" si="64"/>
        <v>496</v>
      </c>
      <c r="J2215" s="91" t="s">
        <v>700</v>
      </c>
      <c r="K2215" s="330"/>
      <c r="L2215" s="330"/>
      <c r="M2215" s="330"/>
      <c r="N2215" s="330"/>
      <c r="O2215" s="330"/>
      <c r="P2215" s="330"/>
      <c r="Q2215" s="330"/>
      <c r="R2215" s="330"/>
      <c r="S2215" s="330"/>
      <c r="T2215" s="330"/>
      <c r="U2215" s="330"/>
      <c r="V2215" s="330"/>
      <c r="W2215" s="330"/>
      <c r="X2215" s="330"/>
      <c r="Y2215" s="330"/>
      <c r="Z2215" s="330"/>
    </row>
    <row r="2216" ht="33.75" customHeight="1">
      <c r="A2216" s="11" t="s">
        <v>2018</v>
      </c>
      <c r="B2216" s="360">
        <v>0.6680555555555555</v>
      </c>
      <c r="C2216" s="172" t="s">
        <v>2443</v>
      </c>
      <c r="D2216" s="34" t="s">
        <v>2393</v>
      </c>
      <c r="E2216" s="78">
        <v>46098.0</v>
      </c>
      <c r="F2216" s="14" t="s">
        <v>17</v>
      </c>
      <c r="G2216" s="178">
        <v>3659.0</v>
      </c>
      <c r="H2216" s="28"/>
      <c r="I2216" s="17">
        <f t="shared" si="64"/>
        <v>3659</v>
      </c>
      <c r="J2216" s="25" t="s">
        <v>1</v>
      </c>
      <c r="K2216" s="330"/>
      <c r="L2216" s="330"/>
      <c r="M2216" s="330"/>
      <c r="N2216" s="330"/>
      <c r="O2216" s="330"/>
      <c r="P2216" s="330"/>
      <c r="Q2216" s="330"/>
      <c r="R2216" s="330"/>
      <c r="S2216" s="330"/>
      <c r="T2216" s="330"/>
      <c r="U2216" s="330"/>
      <c r="V2216" s="330"/>
      <c r="W2216" s="330"/>
      <c r="X2216" s="330"/>
      <c r="Y2216" s="330"/>
      <c r="Z2216" s="330"/>
    </row>
    <row r="2217" ht="33.75" customHeight="1">
      <c r="A2217" s="66" t="s">
        <v>2018</v>
      </c>
      <c r="B2217" s="360">
        <v>0.6680555555555555</v>
      </c>
      <c r="C2217" s="172" t="s">
        <v>2443</v>
      </c>
      <c r="D2217" s="34" t="s">
        <v>2393</v>
      </c>
      <c r="E2217" s="174">
        <v>46098.0</v>
      </c>
      <c r="F2217" s="14" t="s">
        <v>17</v>
      </c>
      <c r="G2217" s="178">
        <v>689.0</v>
      </c>
      <c r="H2217" s="28"/>
      <c r="I2217" s="17">
        <f t="shared" si="64"/>
        <v>689</v>
      </c>
      <c r="J2217" s="25" t="s">
        <v>1</v>
      </c>
      <c r="K2217" s="330"/>
      <c r="L2217" s="330"/>
      <c r="M2217" s="330"/>
      <c r="N2217" s="330"/>
      <c r="O2217" s="330"/>
      <c r="P2217" s="330"/>
      <c r="Q2217" s="330"/>
      <c r="R2217" s="330"/>
      <c r="S2217" s="330"/>
      <c r="T2217" s="330"/>
      <c r="U2217" s="330"/>
      <c r="V2217" s="330"/>
      <c r="W2217" s="330"/>
      <c r="X2217" s="330"/>
      <c r="Y2217" s="330"/>
      <c r="Z2217" s="330"/>
    </row>
    <row r="2218" ht="33.75" customHeight="1">
      <c r="A2218" s="66" t="s">
        <v>2478</v>
      </c>
      <c r="B2218" s="360">
        <v>0.6770833333333334</v>
      </c>
      <c r="C2218" s="11" t="s">
        <v>2920</v>
      </c>
      <c r="D2218" s="11">
        <v>9.32164549750699E14</v>
      </c>
      <c r="E2218" s="64">
        <v>46098.0</v>
      </c>
      <c r="F2218" s="11" t="s">
        <v>17</v>
      </c>
      <c r="G2218" s="178">
        <v>562.0</v>
      </c>
      <c r="H2218" s="28"/>
      <c r="I2218" s="17">
        <f t="shared" si="64"/>
        <v>562</v>
      </c>
      <c r="J2218" s="25" t="s">
        <v>1</v>
      </c>
      <c r="K2218" s="330"/>
      <c r="L2218" s="330"/>
      <c r="M2218" s="330"/>
      <c r="N2218" s="330"/>
      <c r="O2218" s="330"/>
      <c r="P2218" s="330"/>
      <c r="Q2218" s="330"/>
      <c r="R2218" s="330"/>
      <c r="S2218" s="330"/>
      <c r="T2218" s="330"/>
      <c r="U2218" s="330"/>
      <c r="V2218" s="330"/>
      <c r="W2218" s="330"/>
      <c r="X2218" s="330"/>
      <c r="Y2218" s="330"/>
      <c r="Z2218" s="330"/>
    </row>
    <row r="2219" ht="33.75" customHeight="1">
      <c r="A2219" s="11" t="s">
        <v>2927</v>
      </c>
      <c r="B2219" s="361">
        <v>0.7083333333333334</v>
      </c>
      <c r="C2219" s="362" t="s">
        <v>2928</v>
      </c>
      <c r="D2219" s="362" t="s">
        <v>2929</v>
      </c>
      <c r="E2219" s="155">
        <v>46098.0</v>
      </c>
      <c r="F2219" s="14" t="s">
        <v>1191</v>
      </c>
      <c r="G2219" s="178">
        <v>50000.0</v>
      </c>
      <c r="H2219" s="16">
        <v>30204.0</v>
      </c>
      <c r="I2219" s="17">
        <f t="shared" si="64"/>
        <v>19796</v>
      </c>
      <c r="J2219" s="25" t="s">
        <v>1</v>
      </c>
      <c r="K2219" s="330"/>
      <c r="L2219" s="330"/>
      <c r="M2219" s="330"/>
      <c r="N2219" s="330"/>
      <c r="O2219" s="330"/>
      <c r="P2219" s="330"/>
      <c r="Q2219" s="330"/>
      <c r="R2219" s="330"/>
      <c r="S2219" s="330"/>
      <c r="T2219" s="330"/>
      <c r="U2219" s="330"/>
      <c r="V2219" s="330"/>
      <c r="W2219" s="330"/>
      <c r="X2219" s="330"/>
      <c r="Y2219" s="330"/>
      <c r="Z2219" s="330"/>
    </row>
    <row r="2220" ht="33.75" customHeight="1">
      <c r="A2220" s="11" t="s">
        <v>1987</v>
      </c>
      <c r="B2220" s="22" t="s">
        <v>34</v>
      </c>
      <c r="C2220" s="11" t="s">
        <v>2481</v>
      </c>
      <c r="D2220" s="342">
        <v>1.64198899360608E15</v>
      </c>
      <c r="E2220" s="64">
        <v>46098.0</v>
      </c>
      <c r="F2220" s="14" t="s">
        <v>17</v>
      </c>
      <c r="G2220" s="178">
        <v>10000.0</v>
      </c>
      <c r="H2220" s="28"/>
      <c r="I2220" s="17">
        <f t="shared" si="64"/>
        <v>10000</v>
      </c>
      <c r="J2220" s="91" t="s">
        <v>700</v>
      </c>
      <c r="K2220" s="330"/>
      <c r="L2220" s="330"/>
      <c r="M2220" s="330"/>
      <c r="N2220" s="330"/>
      <c r="O2220" s="330"/>
      <c r="P2220" s="330"/>
      <c r="Q2220" s="330"/>
      <c r="R2220" s="330"/>
      <c r="S2220" s="330"/>
      <c r="T2220" s="330"/>
      <c r="U2220" s="330"/>
      <c r="V2220" s="330"/>
      <c r="W2220" s="330"/>
      <c r="X2220" s="330"/>
      <c r="Y2220" s="330"/>
      <c r="Z2220" s="330"/>
    </row>
    <row r="2221" ht="33.75" customHeight="1">
      <c r="A2221" s="11" t="s">
        <v>2927</v>
      </c>
      <c r="B2221" s="285">
        <v>0.75</v>
      </c>
      <c r="C2221" s="24" t="s">
        <v>2930</v>
      </c>
      <c r="D2221" s="342">
        <v>4.19713607728385E15</v>
      </c>
      <c r="E2221" s="64">
        <v>46098.0</v>
      </c>
      <c r="F2221" s="14" t="s">
        <v>1191</v>
      </c>
      <c r="G2221" s="178">
        <v>50000.0</v>
      </c>
      <c r="H2221" s="16">
        <v>28612.0</v>
      </c>
      <c r="I2221" s="17">
        <f t="shared" si="64"/>
        <v>21388</v>
      </c>
      <c r="J2221" s="25" t="s">
        <v>1</v>
      </c>
      <c r="K2221" s="330"/>
      <c r="L2221" s="330"/>
      <c r="M2221" s="330"/>
      <c r="N2221" s="330"/>
      <c r="O2221" s="330"/>
      <c r="P2221" s="330"/>
      <c r="Q2221" s="330"/>
      <c r="R2221" s="330"/>
      <c r="S2221" s="330"/>
      <c r="T2221" s="330"/>
      <c r="U2221" s="330"/>
      <c r="V2221" s="330"/>
      <c r="W2221" s="330"/>
      <c r="X2221" s="330"/>
      <c r="Y2221" s="330"/>
      <c r="Z2221" s="330"/>
    </row>
    <row r="2222" ht="33.75" customHeight="1">
      <c r="A2222" s="11" t="s">
        <v>2556</v>
      </c>
      <c r="B2222" s="22" t="s">
        <v>15</v>
      </c>
      <c r="C2222" s="33" t="s">
        <v>2557</v>
      </c>
      <c r="D2222" s="24">
        <v>8.3233312593272E14</v>
      </c>
      <c r="E2222" s="64">
        <v>46098.0</v>
      </c>
      <c r="F2222" s="14" t="s">
        <v>1133</v>
      </c>
      <c r="G2222" s="178">
        <v>35478.0</v>
      </c>
      <c r="H2222" s="28"/>
      <c r="I2222" s="17">
        <f t="shared" si="64"/>
        <v>35478</v>
      </c>
      <c r="J2222" s="25" t="s">
        <v>1</v>
      </c>
      <c r="K2222" s="330"/>
      <c r="L2222" s="330"/>
      <c r="M2222" s="330"/>
      <c r="N2222" s="330"/>
      <c r="O2222" s="330"/>
      <c r="P2222" s="330"/>
      <c r="Q2222" s="330"/>
      <c r="R2222" s="330"/>
      <c r="S2222" s="330"/>
      <c r="T2222" s="330"/>
      <c r="U2222" s="330"/>
      <c r="V2222" s="330"/>
      <c r="W2222" s="330"/>
      <c r="X2222" s="330"/>
      <c r="Y2222" s="330"/>
      <c r="Z2222" s="330"/>
    </row>
    <row r="2223" ht="33.75" customHeight="1">
      <c r="A2223" s="11" t="s">
        <v>2485</v>
      </c>
      <c r="B2223" s="22" t="s">
        <v>15</v>
      </c>
      <c r="C2223" s="33" t="s">
        <v>2486</v>
      </c>
      <c r="D2223" s="342" t="s">
        <v>2487</v>
      </c>
      <c r="E2223" s="64">
        <v>46098.0</v>
      </c>
      <c r="F2223" s="14" t="s">
        <v>1141</v>
      </c>
      <c r="G2223" s="178">
        <v>46768.0</v>
      </c>
      <c r="H2223" s="28"/>
      <c r="I2223" s="17">
        <f t="shared" si="64"/>
        <v>46768</v>
      </c>
      <c r="J2223" s="91" t="s">
        <v>700</v>
      </c>
      <c r="K2223" s="330"/>
      <c r="L2223" s="330"/>
      <c r="M2223" s="330"/>
      <c r="N2223" s="330"/>
      <c r="O2223" s="330"/>
      <c r="P2223" s="330"/>
      <c r="Q2223" s="330"/>
      <c r="R2223" s="330"/>
      <c r="S2223" s="330"/>
      <c r="T2223" s="330"/>
      <c r="U2223" s="330"/>
      <c r="V2223" s="330"/>
      <c r="W2223" s="330"/>
      <c r="X2223" s="330"/>
      <c r="Y2223" s="330"/>
      <c r="Z2223" s="330"/>
    </row>
    <row r="2224" ht="33.75" customHeight="1">
      <c r="A2224" s="11" t="s">
        <v>2927</v>
      </c>
      <c r="B2224" s="22" t="s">
        <v>15</v>
      </c>
      <c r="C2224" s="11" t="s">
        <v>2931</v>
      </c>
      <c r="D2224" s="11">
        <v>9.38634068540643E14</v>
      </c>
      <c r="E2224" s="64">
        <v>46098.0</v>
      </c>
      <c r="F2224" s="14" t="s">
        <v>1191</v>
      </c>
      <c r="G2224" s="178">
        <v>50000.0</v>
      </c>
      <c r="H2224" s="16">
        <v>28822.0</v>
      </c>
      <c r="I2224" s="17">
        <f t="shared" si="64"/>
        <v>21178</v>
      </c>
      <c r="J2224" s="25" t="s">
        <v>1</v>
      </c>
      <c r="K2224" s="330"/>
      <c r="L2224" s="330"/>
      <c r="M2224" s="330"/>
      <c r="N2224" s="330"/>
      <c r="O2224" s="330"/>
      <c r="P2224" s="330"/>
      <c r="Q2224" s="330"/>
      <c r="R2224" s="330"/>
      <c r="S2224" s="330"/>
      <c r="T2224" s="330"/>
      <c r="U2224" s="330"/>
      <c r="V2224" s="330"/>
      <c r="W2224" s="330"/>
      <c r="X2224" s="330"/>
      <c r="Y2224" s="330"/>
      <c r="Z2224" s="330"/>
    </row>
    <row r="2225" ht="33.75" customHeight="1">
      <c r="A2225" s="11" t="s">
        <v>2927</v>
      </c>
      <c r="B2225" s="22" t="s">
        <v>19</v>
      </c>
      <c r="C2225" s="11" t="s">
        <v>2932</v>
      </c>
      <c r="D2225" s="11" t="s">
        <v>2933</v>
      </c>
      <c r="E2225" s="64">
        <v>46098.0</v>
      </c>
      <c r="F2225" s="14" t="s">
        <v>1191</v>
      </c>
      <c r="G2225" s="178">
        <v>50000.0</v>
      </c>
      <c r="H2225" s="16">
        <v>23657.0</v>
      </c>
      <c r="I2225" s="17">
        <f t="shared" si="64"/>
        <v>26343</v>
      </c>
      <c r="J2225" s="25" t="s">
        <v>1</v>
      </c>
      <c r="K2225" s="330"/>
      <c r="L2225" s="330"/>
      <c r="M2225" s="330"/>
      <c r="N2225" s="330"/>
      <c r="O2225" s="330"/>
      <c r="P2225" s="330"/>
      <c r="Q2225" s="330"/>
      <c r="R2225" s="330"/>
      <c r="S2225" s="330"/>
      <c r="T2225" s="330"/>
      <c r="U2225" s="330"/>
      <c r="V2225" s="330"/>
      <c r="W2225" s="330"/>
      <c r="X2225" s="330"/>
      <c r="Y2225" s="330"/>
      <c r="Z2225" s="330"/>
    </row>
    <row r="2226" ht="33.75" customHeight="1">
      <c r="A2226" s="11" t="s">
        <v>2927</v>
      </c>
      <c r="B2226" s="285">
        <v>0.875</v>
      </c>
      <c r="C2226" s="11" t="s">
        <v>2934</v>
      </c>
      <c r="D2226" s="74" t="s">
        <v>2935</v>
      </c>
      <c r="E2226" s="64">
        <v>46098.0</v>
      </c>
      <c r="F2226" s="14" t="s">
        <v>1191</v>
      </c>
      <c r="G2226" s="178">
        <v>50000.0</v>
      </c>
      <c r="H2226" s="16">
        <v>22041.0</v>
      </c>
      <c r="I2226" s="17">
        <f t="shared" si="64"/>
        <v>27959</v>
      </c>
      <c r="J2226" s="25" t="s">
        <v>1</v>
      </c>
      <c r="K2226" s="330"/>
      <c r="L2226" s="330"/>
      <c r="M2226" s="330"/>
      <c r="N2226" s="330"/>
      <c r="O2226" s="330"/>
      <c r="P2226" s="330"/>
      <c r="Q2226" s="330"/>
      <c r="R2226" s="330"/>
      <c r="S2226" s="330"/>
      <c r="T2226" s="330"/>
      <c r="U2226" s="330"/>
      <c r="V2226" s="330"/>
      <c r="W2226" s="330"/>
      <c r="X2226" s="330"/>
      <c r="Y2226" s="330"/>
      <c r="Z2226" s="330"/>
    </row>
    <row r="2227" ht="33.75" customHeight="1">
      <c r="A2227" s="44"/>
      <c r="B2227" s="351"/>
      <c r="C2227" s="352"/>
      <c r="D2227" s="352"/>
      <c r="E2227" s="323"/>
      <c r="F2227" s="46"/>
      <c r="G2227" s="327"/>
      <c r="H2227" s="309"/>
      <c r="I2227" s="48"/>
      <c r="J2227" s="325"/>
      <c r="K2227" s="330"/>
      <c r="L2227" s="330"/>
      <c r="M2227" s="330"/>
      <c r="N2227" s="330"/>
      <c r="O2227" s="330"/>
      <c r="P2227" s="330"/>
      <c r="Q2227" s="330"/>
      <c r="R2227" s="330"/>
      <c r="S2227" s="330"/>
      <c r="T2227" s="330"/>
      <c r="U2227" s="330"/>
      <c r="V2227" s="330"/>
      <c r="W2227" s="330"/>
      <c r="X2227" s="330"/>
      <c r="Y2227" s="330"/>
      <c r="Z2227" s="330"/>
    </row>
    <row r="2228" ht="33.75" customHeight="1">
      <c r="A2228" s="44"/>
      <c r="B2228" s="351"/>
      <c r="C2228" s="44"/>
      <c r="D2228" s="352"/>
      <c r="E2228" s="323"/>
      <c r="F2228" s="46"/>
      <c r="G2228" s="327"/>
      <c r="H2228" s="309"/>
      <c r="I2228" s="48"/>
      <c r="J2228" s="325"/>
      <c r="K2228" s="330"/>
      <c r="L2228" s="330"/>
      <c r="M2228" s="330"/>
      <c r="N2228" s="330"/>
      <c r="O2228" s="330"/>
      <c r="P2228" s="330"/>
      <c r="Q2228" s="330"/>
      <c r="R2228" s="330"/>
      <c r="S2228" s="330"/>
      <c r="T2228" s="330"/>
      <c r="U2228" s="330"/>
      <c r="V2228" s="330"/>
      <c r="W2228" s="330"/>
      <c r="X2228" s="330"/>
      <c r="Y2228" s="330"/>
      <c r="Z2228" s="330"/>
    </row>
    <row r="2229" ht="33.75" customHeight="1">
      <c r="A2229" s="11" t="s">
        <v>2797</v>
      </c>
      <c r="B2229" s="285">
        <v>0.3125</v>
      </c>
      <c r="C2229" s="11" t="s">
        <v>2799</v>
      </c>
      <c r="D2229" s="24">
        <v>8.9796067950713E14</v>
      </c>
      <c r="E2229" s="64">
        <v>46099.0</v>
      </c>
      <c r="F2229" s="14" t="s">
        <v>26</v>
      </c>
      <c r="G2229" s="178">
        <v>1079.0</v>
      </c>
      <c r="H2229" s="28"/>
      <c r="I2229" s="17">
        <f t="shared" ref="I2229:I2252" si="65">G2229-H2229</f>
        <v>1079</v>
      </c>
      <c r="J2229" s="222" t="s">
        <v>700</v>
      </c>
      <c r="K2229" s="330"/>
      <c r="L2229" s="330"/>
      <c r="M2229" s="330"/>
      <c r="N2229" s="330"/>
      <c r="O2229" s="330"/>
      <c r="P2229" s="330"/>
      <c r="Q2229" s="330"/>
      <c r="R2229" s="330"/>
      <c r="S2229" s="330"/>
      <c r="T2229" s="330"/>
      <c r="U2229" s="330"/>
      <c r="V2229" s="330"/>
      <c r="W2229" s="330"/>
      <c r="X2229" s="330"/>
      <c r="Y2229" s="330"/>
      <c r="Z2229" s="330"/>
    </row>
    <row r="2230" ht="33.75" customHeight="1">
      <c r="A2230" s="11" t="s">
        <v>2872</v>
      </c>
      <c r="B2230" s="285">
        <v>0.3333333333333333</v>
      </c>
      <c r="C2230" s="11" t="s">
        <v>2873</v>
      </c>
      <c r="D2230" s="24">
        <v>9.25378123221216E14</v>
      </c>
      <c r="E2230" s="64">
        <v>46099.0</v>
      </c>
      <c r="F2230" s="14" t="s">
        <v>1141</v>
      </c>
      <c r="G2230" s="178">
        <v>10007.0</v>
      </c>
      <c r="H2230" s="16">
        <v>6162.0</v>
      </c>
      <c r="I2230" s="17">
        <f t="shared" si="65"/>
        <v>3845</v>
      </c>
      <c r="J2230" s="17" t="s">
        <v>1</v>
      </c>
      <c r="K2230" s="330"/>
      <c r="L2230" s="330"/>
      <c r="M2230" s="330"/>
      <c r="N2230" s="330"/>
      <c r="O2230" s="330"/>
      <c r="P2230" s="330"/>
      <c r="Q2230" s="330"/>
      <c r="R2230" s="330"/>
      <c r="S2230" s="330"/>
      <c r="T2230" s="330"/>
      <c r="U2230" s="330"/>
      <c r="V2230" s="330"/>
      <c r="W2230" s="330"/>
      <c r="X2230" s="330"/>
      <c r="Y2230" s="330"/>
      <c r="Z2230" s="330"/>
    </row>
    <row r="2231" ht="33.75" customHeight="1">
      <c r="A2231" s="11" t="s">
        <v>1314</v>
      </c>
      <c r="B2231" s="285">
        <v>0.3333333333333333</v>
      </c>
      <c r="C2231" s="24" t="s">
        <v>2322</v>
      </c>
      <c r="D2231" s="24" t="s">
        <v>2323</v>
      </c>
      <c r="E2231" s="64">
        <v>46099.0</v>
      </c>
      <c r="F2231" s="14" t="s">
        <v>1191</v>
      </c>
      <c r="G2231" s="178">
        <v>2000.0</v>
      </c>
      <c r="H2231" s="16">
        <v>1658.0</v>
      </c>
      <c r="I2231" s="17">
        <f t="shared" si="65"/>
        <v>342</v>
      </c>
      <c r="J2231" s="17" t="s">
        <v>1</v>
      </c>
      <c r="K2231" s="252"/>
      <c r="L2231" s="252"/>
      <c r="M2231" s="252"/>
      <c r="N2231" s="252"/>
      <c r="O2231" s="252"/>
      <c r="P2231" s="252"/>
      <c r="Q2231" s="252"/>
      <c r="R2231" s="252"/>
      <c r="S2231" s="252"/>
      <c r="T2231" s="252"/>
      <c r="U2231" s="252"/>
      <c r="V2231" s="252"/>
      <c r="W2231" s="252"/>
      <c r="X2231" s="252"/>
      <c r="Y2231" s="252"/>
      <c r="Z2231" s="252"/>
    </row>
    <row r="2232" ht="33.75" customHeight="1">
      <c r="A2232" s="11" t="s">
        <v>726</v>
      </c>
      <c r="B2232" s="285">
        <v>0.375</v>
      </c>
      <c r="C2232" s="11" t="s">
        <v>2936</v>
      </c>
      <c r="D2232" s="11">
        <v>8.82864524361266E14</v>
      </c>
      <c r="E2232" s="64">
        <v>46099.0</v>
      </c>
      <c r="F2232" s="14" t="s">
        <v>26</v>
      </c>
      <c r="G2232" s="178">
        <v>43700.0</v>
      </c>
      <c r="H2232" s="28"/>
      <c r="I2232" s="17">
        <f t="shared" si="65"/>
        <v>43700</v>
      </c>
      <c r="J2232" s="222" t="s">
        <v>700</v>
      </c>
      <c r="K2232" s="330"/>
      <c r="L2232" s="330"/>
      <c r="M2232" s="330"/>
      <c r="N2232" s="330"/>
      <c r="O2232" s="330"/>
      <c r="P2232" s="330"/>
      <c r="Q2232" s="330"/>
      <c r="R2232" s="330"/>
      <c r="S2232" s="330"/>
      <c r="T2232" s="330"/>
      <c r="U2232" s="330"/>
      <c r="V2232" s="330"/>
      <c r="W2232" s="330"/>
      <c r="X2232" s="330"/>
      <c r="Y2232" s="330"/>
      <c r="Z2232" s="330"/>
    </row>
    <row r="2233" ht="33.75" customHeight="1">
      <c r="A2233" s="11" t="s">
        <v>2368</v>
      </c>
      <c r="B2233" s="285">
        <v>0.375</v>
      </c>
      <c r="C2233" s="11" t="s">
        <v>2495</v>
      </c>
      <c r="D2233" s="74">
        <v>1.92009271220504E15</v>
      </c>
      <c r="E2233" s="64">
        <v>46099.0</v>
      </c>
      <c r="F2233" s="14" t="s">
        <v>26</v>
      </c>
      <c r="G2233" s="178">
        <v>10415.0</v>
      </c>
      <c r="H2233" s="28"/>
      <c r="I2233" s="17">
        <f t="shared" si="65"/>
        <v>10415</v>
      </c>
      <c r="J2233" s="222" t="s">
        <v>700</v>
      </c>
      <c r="K2233" s="330"/>
      <c r="L2233" s="330"/>
      <c r="M2233" s="330"/>
      <c r="N2233" s="330"/>
      <c r="O2233" s="330"/>
      <c r="P2233" s="330"/>
      <c r="Q2233" s="330"/>
      <c r="R2233" s="330"/>
      <c r="S2233" s="330"/>
      <c r="T2233" s="330"/>
      <c r="U2233" s="330"/>
      <c r="V2233" s="330"/>
      <c r="W2233" s="330"/>
      <c r="X2233" s="330"/>
      <c r="Y2233" s="330"/>
      <c r="Z2233" s="330"/>
    </row>
    <row r="2234" ht="33.75" customHeight="1">
      <c r="A2234" s="11" t="s">
        <v>2496</v>
      </c>
      <c r="B2234" s="285">
        <v>0.3854166666666667</v>
      </c>
      <c r="C2234" s="11" t="s">
        <v>2709</v>
      </c>
      <c r="D2234" s="11" t="s">
        <v>2498</v>
      </c>
      <c r="E2234" s="64">
        <v>46099.0</v>
      </c>
      <c r="F2234" s="14" t="s">
        <v>17</v>
      </c>
      <c r="G2234" s="178">
        <v>35003.0</v>
      </c>
      <c r="H2234" s="28"/>
      <c r="I2234" s="17">
        <f t="shared" si="65"/>
        <v>35003</v>
      </c>
      <c r="J2234" s="91" t="s">
        <v>3</v>
      </c>
      <c r="K2234" s="330"/>
      <c r="L2234" s="330"/>
      <c r="M2234" s="330"/>
      <c r="N2234" s="330"/>
      <c r="O2234" s="330"/>
      <c r="P2234" s="330"/>
      <c r="Q2234" s="330"/>
      <c r="R2234" s="330"/>
      <c r="S2234" s="330"/>
      <c r="T2234" s="330"/>
      <c r="U2234" s="330"/>
      <c r="V2234" s="330"/>
      <c r="W2234" s="330"/>
      <c r="X2234" s="330"/>
      <c r="Y2234" s="330"/>
      <c r="Z2234" s="330"/>
    </row>
    <row r="2235" ht="33.75" customHeight="1">
      <c r="A2235" s="11" t="s">
        <v>2937</v>
      </c>
      <c r="B2235" s="285">
        <v>0.3888888888888889</v>
      </c>
      <c r="C2235" s="11" t="s">
        <v>2938</v>
      </c>
      <c r="D2235" s="11" t="s">
        <v>2939</v>
      </c>
      <c r="E2235" s="64">
        <v>46099.0</v>
      </c>
      <c r="F2235" s="14" t="s">
        <v>1141</v>
      </c>
      <c r="G2235" s="178">
        <v>2500.0</v>
      </c>
      <c r="H2235" s="28"/>
      <c r="I2235" s="17">
        <f t="shared" si="65"/>
        <v>2500</v>
      </c>
      <c r="J2235" s="91" t="s">
        <v>3</v>
      </c>
      <c r="K2235" s="330"/>
      <c r="L2235" s="330"/>
      <c r="M2235" s="330"/>
      <c r="N2235" s="330"/>
      <c r="O2235" s="330"/>
      <c r="P2235" s="330"/>
      <c r="Q2235" s="330"/>
      <c r="R2235" s="330"/>
      <c r="S2235" s="330"/>
      <c r="T2235" s="330"/>
      <c r="U2235" s="330"/>
      <c r="V2235" s="330"/>
      <c r="W2235" s="330"/>
      <c r="X2235" s="330"/>
      <c r="Y2235" s="330"/>
      <c r="Z2235" s="330"/>
    </row>
    <row r="2236" ht="33.75" customHeight="1">
      <c r="A2236" s="11" t="s">
        <v>1381</v>
      </c>
      <c r="B2236" s="285">
        <v>0.3958333333333333</v>
      </c>
      <c r="C2236" s="11" t="s">
        <v>2636</v>
      </c>
      <c r="D2236" s="24">
        <v>9.62764609773528E14</v>
      </c>
      <c r="E2236" s="64">
        <v>46099.0</v>
      </c>
      <c r="F2236" s="14" t="s">
        <v>1191</v>
      </c>
      <c r="G2236" s="178">
        <v>2000.0</v>
      </c>
      <c r="H2236" s="28"/>
      <c r="I2236" s="17">
        <f t="shared" si="65"/>
        <v>2000</v>
      </c>
      <c r="J2236" s="91" t="s">
        <v>1623</v>
      </c>
      <c r="K2236" s="252"/>
      <c r="L2236" s="252"/>
      <c r="M2236" s="252"/>
      <c r="N2236" s="252"/>
      <c r="O2236" s="252"/>
      <c r="P2236" s="252"/>
      <c r="Q2236" s="252"/>
      <c r="R2236" s="252"/>
      <c r="S2236" s="252"/>
      <c r="T2236" s="252"/>
      <c r="U2236" s="252"/>
      <c r="V2236" s="252"/>
      <c r="W2236" s="252"/>
      <c r="X2236" s="252"/>
      <c r="Y2236" s="252"/>
      <c r="Z2236" s="252"/>
    </row>
    <row r="2237" ht="33.75" customHeight="1">
      <c r="A2237" s="11" t="s">
        <v>28</v>
      </c>
      <c r="B2237" s="285">
        <v>0.3958333333333333</v>
      </c>
      <c r="C2237" s="24" t="s">
        <v>2811</v>
      </c>
      <c r="D2237" s="24" t="s">
        <v>2871</v>
      </c>
      <c r="E2237" s="64">
        <v>46099.0</v>
      </c>
      <c r="F2237" s="14" t="s">
        <v>17</v>
      </c>
      <c r="G2237" s="178">
        <v>12000.0</v>
      </c>
      <c r="H2237" s="28"/>
      <c r="I2237" s="17">
        <f t="shared" si="65"/>
        <v>12000</v>
      </c>
      <c r="J2237" s="91" t="s">
        <v>3</v>
      </c>
      <c r="K2237" s="330"/>
      <c r="L2237" s="330"/>
      <c r="M2237" s="330"/>
      <c r="N2237" s="330"/>
      <c r="O2237" s="330"/>
      <c r="P2237" s="330"/>
      <c r="Q2237" s="330"/>
      <c r="R2237" s="330"/>
      <c r="S2237" s="330"/>
      <c r="T2237" s="330"/>
      <c r="U2237" s="330"/>
      <c r="V2237" s="330"/>
      <c r="W2237" s="330"/>
      <c r="X2237" s="330"/>
      <c r="Y2237" s="330"/>
      <c r="Z2237" s="330"/>
    </row>
    <row r="2238" ht="33.75" customHeight="1">
      <c r="A2238" s="11" t="s">
        <v>2018</v>
      </c>
      <c r="B2238" s="285">
        <v>0.3958333333333333</v>
      </c>
      <c r="C2238" s="11" t="s">
        <v>2443</v>
      </c>
      <c r="D2238" s="24" t="s">
        <v>2393</v>
      </c>
      <c r="E2238" s="64">
        <v>46099.0</v>
      </c>
      <c r="F2238" s="14" t="s">
        <v>1141</v>
      </c>
      <c r="G2238" s="178">
        <v>3901.0</v>
      </c>
      <c r="H2238" s="28"/>
      <c r="I2238" s="17">
        <f t="shared" si="65"/>
        <v>3901</v>
      </c>
      <c r="J2238" s="91" t="s">
        <v>3</v>
      </c>
      <c r="K2238" s="252"/>
      <c r="L2238" s="252"/>
      <c r="M2238" s="252"/>
      <c r="N2238" s="252"/>
      <c r="O2238" s="252"/>
      <c r="P2238" s="252"/>
      <c r="Q2238" s="252"/>
      <c r="R2238" s="252"/>
      <c r="S2238" s="252"/>
      <c r="T2238" s="252"/>
      <c r="U2238" s="252"/>
      <c r="V2238" s="252"/>
      <c r="W2238" s="252"/>
      <c r="X2238" s="252"/>
      <c r="Y2238" s="252"/>
      <c r="Z2238" s="252"/>
    </row>
    <row r="2239" ht="33.75" customHeight="1">
      <c r="A2239" s="44" t="s">
        <v>2038</v>
      </c>
      <c r="B2239" s="351">
        <v>0.4166666666666667</v>
      </c>
      <c r="C2239" s="352" t="s">
        <v>2417</v>
      </c>
      <c r="D2239" s="352">
        <v>7.48555344785532E14</v>
      </c>
      <c r="E2239" s="323">
        <v>46099.0</v>
      </c>
      <c r="F2239" s="46" t="s">
        <v>17</v>
      </c>
      <c r="G2239" s="327">
        <v>9407.0</v>
      </c>
      <c r="H2239" s="309"/>
      <c r="I2239" s="48">
        <f t="shared" si="65"/>
        <v>9407</v>
      </c>
      <c r="J2239" s="91" t="s">
        <v>3</v>
      </c>
      <c r="K2239" s="330"/>
      <c r="L2239" s="330"/>
      <c r="M2239" s="330"/>
      <c r="N2239" s="330"/>
      <c r="O2239" s="330"/>
      <c r="P2239" s="330"/>
      <c r="Q2239" s="330"/>
      <c r="R2239" s="330"/>
      <c r="S2239" s="330"/>
      <c r="T2239" s="330"/>
      <c r="U2239" s="330"/>
      <c r="V2239" s="330"/>
      <c r="W2239" s="330"/>
      <c r="X2239" s="330"/>
      <c r="Y2239" s="330"/>
      <c r="Z2239" s="330"/>
    </row>
    <row r="2240" ht="33.75" customHeight="1">
      <c r="A2240" s="44" t="s">
        <v>2038</v>
      </c>
      <c r="B2240" s="351">
        <v>0.4166666666666667</v>
      </c>
      <c r="C2240" s="352" t="s">
        <v>2731</v>
      </c>
      <c r="D2240" s="352">
        <v>9.29952600211321E14</v>
      </c>
      <c r="E2240" s="323">
        <v>46099.0</v>
      </c>
      <c r="F2240" s="46" t="s">
        <v>17</v>
      </c>
      <c r="G2240" s="327"/>
      <c r="H2240" s="309"/>
      <c r="I2240" s="48">
        <f t="shared" si="65"/>
        <v>0</v>
      </c>
      <c r="J2240" s="91" t="s">
        <v>3</v>
      </c>
      <c r="K2240" s="330"/>
      <c r="L2240" s="330"/>
      <c r="M2240" s="330"/>
      <c r="N2240" s="330"/>
      <c r="O2240" s="330"/>
      <c r="P2240" s="330"/>
      <c r="Q2240" s="330"/>
      <c r="R2240" s="330"/>
      <c r="S2240" s="330"/>
      <c r="T2240" s="330"/>
      <c r="U2240" s="330"/>
      <c r="V2240" s="330"/>
      <c r="W2240" s="330"/>
      <c r="X2240" s="330"/>
      <c r="Y2240" s="330"/>
      <c r="Z2240" s="330"/>
    </row>
    <row r="2241" ht="33.75" customHeight="1">
      <c r="A2241" s="117" t="s">
        <v>1587</v>
      </c>
      <c r="B2241" s="363">
        <v>0.4166666666666667</v>
      </c>
      <c r="C2241" s="117" t="s">
        <v>2792</v>
      </c>
      <c r="D2241" s="117" t="s">
        <v>2793</v>
      </c>
      <c r="E2241" s="119">
        <v>46099.0</v>
      </c>
      <c r="F2241" s="120" t="s">
        <v>287</v>
      </c>
      <c r="G2241" s="264">
        <v>50000.0</v>
      </c>
      <c r="H2241" s="122"/>
      <c r="I2241" s="123">
        <f t="shared" si="65"/>
        <v>50000</v>
      </c>
      <c r="J2241" s="91" t="s">
        <v>3</v>
      </c>
      <c r="K2241" s="330"/>
      <c r="L2241" s="330"/>
      <c r="M2241" s="330"/>
      <c r="N2241" s="330"/>
      <c r="O2241" s="330"/>
      <c r="P2241" s="330"/>
      <c r="Q2241" s="330"/>
      <c r="R2241" s="330"/>
      <c r="S2241" s="330"/>
      <c r="T2241" s="330"/>
      <c r="U2241" s="330"/>
      <c r="V2241" s="330"/>
      <c r="W2241" s="330"/>
      <c r="X2241" s="330"/>
      <c r="Y2241" s="330"/>
      <c r="Z2241" s="330"/>
    </row>
    <row r="2242" ht="33.75" customHeight="1">
      <c r="A2242" s="11" t="s">
        <v>1676</v>
      </c>
      <c r="B2242" s="285">
        <v>0.4166666666666667</v>
      </c>
      <c r="C2242" s="11" t="s">
        <v>2337</v>
      </c>
      <c r="D2242" s="11">
        <v>8.58951407179486E14</v>
      </c>
      <c r="E2242" s="64">
        <v>46099.0</v>
      </c>
      <c r="F2242" s="14" t="s">
        <v>1191</v>
      </c>
      <c r="G2242" s="178">
        <v>2517.0</v>
      </c>
      <c r="H2242" s="28"/>
      <c r="I2242" s="17">
        <f t="shared" si="65"/>
        <v>2517</v>
      </c>
      <c r="J2242" s="91" t="s">
        <v>1623</v>
      </c>
      <c r="K2242" s="252"/>
      <c r="L2242" s="252"/>
      <c r="M2242" s="252"/>
      <c r="N2242" s="252"/>
      <c r="O2242" s="252"/>
      <c r="P2242" s="252"/>
      <c r="Q2242" s="252"/>
      <c r="R2242" s="252"/>
      <c r="S2242" s="252"/>
      <c r="T2242" s="252"/>
      <c r="U2242" s="252"/>
      <c r="V2242" s="252"/>
      <c r="W2242" s="252"/>
      <c r="X2242" s="252"/>
      <c r="Y2242" s="252"/>
      <c r="Z2242" s="252"/>
    </row>
    <row r="2243" ht="33.75" customHeight="1">
      <c r="A2243" s="44" t="s">
        <v>210</v>
      </c>
      <c r="B2243" s="351">
        <v>0.4583333333333333</v>
      </c>
      <c r="C2243" s="44" t="s">
        <v>2913</v>
      </c>
      <c r="D2243" s="44" t="s">
        <v>2914</v>
      </c>
      <c r="E2243" s="323">
        <v>46099.0</v>
      </c>
      <c r="F2243" s="46" t="s">
        <v>17</v>
      </c>
      <c r="G2243" s="327">
        <v>9500.0</v>
      </c>
      <c r="H2243" s="309"/>
      <c r="I2243" s="48">
        <f t="shared" si="65"/>
        <v>9500</v>
      </c>
      <c r="J2243" s="91" t="s">
        <v>3</v>
      </c>
      <c r="K2243" s="330"/>
      <c r="L2243" s="330"/>
      <c r="M2243" s="330"/>
      <c r="N2243" s="330"/>
      <c r="O2243" s="330"/>
      <c r="P2243" s="330"/>
      <c r="Q2243" s="330"/>
      <c r="R2243" s="330"/>
      <c r="S2243" s="330"/>
      <c r="T2243" s="330"/>
      <c r="U2243" s="330"/>
      <c r="V2243" s="330"/>
      <c r="W2243" s="330"/>
      <c r="X2243" s="330"/>
      <c r="Y2243" s="330"/>
      <c r="Z2243" s="330"/>
    </row>
    <row r="2244" ht="33.75" customHeight="1">
      <c r="A2244" s="44" t="s">
        <v>2940</v>
      </c>
      <c r="B2244" s="351">
        <v>0.4583333333333333</v>
      </c>
      <c r="C2244" s="44" t="s">
        <v>2941</v>
      </c>
      <c r="D2244" s="44" t="s">
        <v>2942</v>
      </c>
      <c r="E2244" s="323">
        <v>46099.0</v>
      </c>
      <c r="F2244" s="46" t="s">
        <v>1191</v>
      </c>
      <c r="G2244" s="327">
        <v>1010.0</v>
      </c>
      <c r="H2244" s="309"/>
      <c r="I2244" s="48">
        <f t="shared" si="65"/>
        <v>1010</v>
      </c>
      <c r="J2244" s="91" t="s">
        <v>3</v>
      </c>
      <c r="K2244" s="330"/>
      <c r="L2244" s="330"/>
      <c r="M2244" s="330"/>
      <c r="N2244" s="330"/>
      <c r="O2244" s="330"/>
      <c r="P2244" s="330"/>
      <c r="Q2244" s="330"/>
      <c r="R2244" s="330"/>
      <c r="S2244" s="330"/>
      <c r="T2244" s="330"/>
      <c r="U2244" s="330"/>
      <c r="V2244" s="330"/>
      <c r="W2244" s="330"/>
      <c r="X2244" s="330"/>
      <c r="Y2244" s="330"/>
      <c r="Z2244" s="330"/>
    </row>
    <row r="2245" ht="33.75" customHeight="1">
      <c r="A2245" s="117" t="s">
        <v>1587</v>
      </c>
      <c r="B2245" s="363">
        <v>0.4583333333333333</v>
      </c>
      <c r="C2245" s="117" t="s">
        <v>2787</v>
      </c>
      <c r="D2245" s="117" t="s">
        <v>2788</v>
      </c>
      <c r="E2245" s="119">
        <v>46099.0</v>
      </c>
      <c r="F2245" s="120" t="s">
        <v>287</v>
      </c>
      <c r="G2245" s="264">
        <v>50000.0</v>
      </c>
      <c r="H2245" s="122"/>
      <c r="I2245" s="123">
        <f t="shared" si="65"/>
        <v>50000</v>
      </c>
      <c r="J2245" s="91" t="s">
        <v>3</v>
      </c>
      <c r="K2245" s="330"/>
      <c r="L2245" s="330"/>
      <c r="M2245" s="330"/>
      <c r="N2245" s="330"/>
      <c r="O2245" s="330"/>
      <c r="P2245" s="330"/>
      <c r="Q2245" s="330"/>
      <c r="R2245" s="330"/>
      <c r="S2245" s="330"/>
      <c r="T2245" s="330"/>
      <c r="U2245" s="330"/>
      <c r="V2245" s="330"/>
      <c r="W2245" s="330"/>
      <c r="X2245" s="330"/>
      <c r="Y2245" s="330"/>
      <c r="Z2245" s="330"/>
    </row>
    <row r="2246" ht="33.75" customHeight="1">
      <c r="A2246" s="44" t="s">
        <v>2943</v>
      </c>
      <c r="B2246" s="351">
        <v>0.4583333333333333</v>
      </c>
      <c r="C2246" s="44" t="s">
        <v>2944</v>
      </c>
      <c r="D2246" s="44" t="s">
        <v>2945</v>
      </c>
      <c r="E2246" s="323"/>
      <c r="F2246" s="46"/>
      <c r="G2246" s="327"/>
      <c r="H2246" s="309"/>
      <c r="I2246" s="48">
        <f t="shared" si="65"/>
        <v>0</v>
      </c>
      <c r="J2246" s="91" t="s">
        <v>2946</v>
      </c>
      <c r="K2246" s="330"/>
      <c r="L2246" s="330"/>
      <c r="M2246" s="330"/>
      <c r="N2246" s="330"/>
      <c r="O2246" s="330"/>
      <c r="P2246" s="330"/>
      <c r="Q2246" s="330"/>
      <c r="R2246" s="330"/>
      <c r="S2246" s="330"/>
      <c r="T2246" s="330"/>
      <c r="U2246" s="330"/>
      <c r="V2246" s="330"/>
      <c r="W2246" s="330"/>
      <c r="X2246" s="330"/>
      <c r="Y2246" s="330"/>
      <c r="Z2246" s="330"/>
    </row>
    <row r="2247" ht="33.75" customHeight="1">
      <c r="A2247" s="44" t="s">
        <v>2585</v>
      </c>
      <c r="B2247" s="351">
        <v>0.5</v>
      </c>
      <c r="C2247" s="44" t="s">
        <v>2727</v>
      </c>
      <c r="D2247" s="44" t="s">
        <v>2587</v>
      </c>
      <c r="E2247" s="323">
        <v>46099.0</v>
      </c>
      <c r="F2247" s="46"/>
      <c r="G2247" s="327"/>
      <c r="H2247" s="309"/>
      <c r="I2247" s="48">
        <f t="shared" si="65"/>
        <v>0</v>
      </c>
      <c r="J2247" s="91" t="s">
        <v>2946</v>
      </c>
      <c r="K2247" s="330"/>
      <c r="L2247" s="330"/>
      <c r="M2247" s="330"/>
      <c r="N2247" s="330"/>
      <c r="O2247" s="330"/>
      <c r="P2247" s="330"/>
      <c r="Q2247" s="330"/>
      <c r="R2247" s="330"/>
      <c r="S2247" s="330"/>
      <c r="T2247" s="330"/>
      <c r="U2247" s="330"/>
      <c r="V2247" s="330"/>
      <c r="W2247" s="330"/>
      <c r="X2247" s="330"/>
      <c r="Y2247" s="330"/>
      <c r="Z2247" s="330"/>
    </row>
    <row r="2248" ht="33.75" customHeight="1">
      <c r="A2248" s="44" t="s">
        <v>1516</v>
      </c>
      <c r="B2248" s="351">
        <v>0.5</v>
      </c>
      <c r="C2248" s="352" t="s">
        <v>2876</v>
      </c>
      <c r="D2248" s="44" t="s">
        <v>2834</v>
      </c>
      <c r="E2248" s="323">
        <v>46099.0</v>
      </c>
      <c r="F2248" s="46" t="s">
        <v>1141</v>
      </c>
      <c r="G2248" s="327">
        <v>3987.0</v>
      </c>
      <c r="H2248" s="309"/>
      <c r="I2248" s="48">
        <f t="shared" si="65"/>
        <v>3987</v>
      </c>
      <c r="J2248" s="91" t="s">
        <v>3</v>
      </c>
      <c r="K2248" s="330"/>
      <c r="L2248" s="330"/>
      <c r="M2248" s="330"/>
      <c r="N2248" s="330"/>
      <c r="O2248" s="330"/>
      <c r="P2248" s="330"/>
      <c r="Q2248" s="330"/>
      <c r="R2248" s="330"/>
      <c r="S2248" s="330"/>
      <c r="T2248" s="330"/>
      <c r="U2248" s="330"/>
      <c r="V2248" s="330"/>
      <c r="W2248" s="330"/>
      <c r="X2248" s="330"/>
      <c r="Y2248" s="330"/>
      <c r="Z2248" s="330"/>
    </row>
    <row r="2249" ht="33.75" customHeight="1">
      <c r="A2249" s="117" t="s">
        <v>1587</v>
      </c>
      <c r="B2249" s="363">
        <v>0.5</v>
      </c>
      <c r="C2249" s="117" t="s">
        <v>2789</v>
      </c>
      <c r="D2249" s="117" t="s">
        <v>2790</v>
      </c>
      <c r="E2249" s="119">
        <v>46099.0</v>
      </c>
      <c r="F2249" s="120" t="s">
        <v>287</v>
      </c>
      <c r="G2249" s="264">
        <v>50000.0</v>
      </c>
      <c r="H2249" s="122"/>
      <c r="I2249" s="123">
        <f t="shared" si="65"/>
        <v>50000</v>
      </c>
      <c r="J2249" s="91" t="s">
        <v>3</v>
      </c>
      <c r="K2249" s="330"/>
      <c r="L2249" s="330"/>
      <c r="M2249" s="330"/>
      <c r="N2249" s="330"/>
      <c r="O2249" s="330"/>
      <c r="P2249" s="330"/>
      <c r="Q2249" s="330"/>
      <c r="R2249" s="330"/>
      <c r="S2249" s="330"/>
      <c r="T2249" s="330"/>
      <c r="U2249" s="330"/>
      <c r="V2249" s="330"/>
      <c r="W2249" s="330"/>
      <c r="X2249" s="330"/>
      <c r="Y2249" s="330"/>
      <c r="Z2249" s="330"/>
    </row>
    <row r="2250" ht="33.75" customHeight="1">
      <c r="A2250" s="44" t="s">
        <v>28</v>
      </c>
      <c r="B2250" s="351">
        <v>0.5208333333333334</v>
      </c>
      <c r="C2250" s="44"/>
      <c r="D2250" s="44"/>
      <c r="E2250" s="323">
        <v>46099.0</v>
      </c>
      <c r="F2250" s="46" t="s">
        <v>17</v>
      </c>
      <c r="G2250" s="327"/>
      <c r="H2250" s="309"/>
      <c r="I2250" s="48">
        <f t="shared" si="65"/>
        <v>0</v>
      </c>
      <c r="J2250" s="91" t="s">
        <v>3</v>
      </c>
      <c r="K2250" s="330"/>
      <c r="L2250" s="330"/>
      <c r="M2250" s="330"/>
      <c r="N2250" s="330"/>
      <c r="O2250" s="330"/>
      <c r="P2250" s="330"/>
      <c r="Q2250" s="330"/>
      <c r="R2250" s="330"/>
      <c r="S2250" s="330"/>
      <c r="T2250" s="330"/>
      <c r="U2250" s="330"/>
      <c r="V2250" s="330"/>
      <c r="W2250" s="330"/>
      <c r="X2250" s="330"/>
      <c r="Y2250" s="330"/>
      <c r="Z2250" s="330"/>
    </row>
    <row r="2251" ht="33.75" customHeight="1">
      <c r="A2251" s="117" t="s">
        <v>1587</v>
      </c>
      <c r="B2251" s="363">
        <v>0.5416666666666666</v>
      </c>
      <c r="C2251" s="117" t="s">
        <v>2785</v>
      </c>
      <c r="D2251" s="117"/>
      <c r="E2251" s="119">
        <v>46099.0</v>
      </c>
      <c r="F2251" s="120" t="s">
        <v>287</v>
      </c>
      <c r="G2251" s="264">
        <v>50000.0</v>
      </c>
      <c r="H2251" s="122"/>
      <c r="I2251" s="123">
        <f t="shared" si="65"/>
        <v>50000</v>
      </c>
      <c r="J2251" s="91" t="s">
        <v>3</v>
      </c>
      <c r="K2251" s="330"/>
      <c r="L2251" s="330"/>
      <c r="M2251" s="330"/>
      <c r="N2251" s="330"/>
      <c r="O2251" s="330"/>
      <c r="P2251" s="330"/>
      <c r="Q2251" s="330"/>
      <c r="R2251" s="330"/>
      <c r="S2251" s="330"/>
      <c r="T2251" s="330"/>
      <c r="U2251" s="330"/>
      <c r="V2251" s="330"/>
      <c r="W2251" s="330"/>
      <c r="X2251" s="330"/>
      <c r="Y2251" s="330"/>
      <c r="Z2251" s="330"/>
    </row>
    <row r="2252" ht="33.75" customHeight="1">
      <c r="A2252" s="117" t="s">
        <v>1587</v>
      </c>
      <c r="B2252" s="363">
        <v>0.5833333333333334</v>
      </c>
      <c r="C2252" s="117" t="s">
        <v>2724</v>
      </c>
      <c r="D2252" s="117"/>
      <c r="E2252" s="119">
        <v>46099.0</v>
      </c>
      <c r="F2252" s="120" t="s">
        <v>287</v>
      </c>
      <c r="G2252" s="264">
        <v>50000.0</v>
      </c>
      <c r="H2252" s="122"/>
      <c r="I2252" s="123">
        <f t="shared" si="65"/>
        <v>50000</v>
      </c>
      <c r="J2252" s="91" t="s">
        <v>3</v>
      </c>
      <c r="K2252" s="330"/>
      <c r="L2252" s="330"/>
      <c r="M2252" s="330"/>
      <c r="N2252" s="330"/>
      <c r="O2252" s="330"/>
      <c r="P2252" s="330"/>
      <c r="Q2252" s="330"/>
      <c r="R2252" s="330"/>
      <c r="S2252" s="330"/>
      <c r="T2252" s="330"/>
      <c r="U2252" s="330"/>
      <c r="V2252" s="330"/>
      <c r="W2252" s="330"/>
      <c r="X2252" s="330"/>
      <c r="Y2252" s="330"/>
      <c r="Z2252" s="330"/>
    </row>
    <row r="2253" ht="33.75" customHeight="1">
      <c r="A2253" s="44" t="s">
        <v>210</v>
      </c>
      <c r="B2253" s="351">
        <v>0.5833333333333334</v>
      </c>
      <c r="C2253" s="44" t="s">
        <v>2913</v>
      </c>
      <c r="D2253" s="44" t="s">
        <v>2914</v>
      </c>
      <c r="E2253" s="323">
        <v>46099.0</v>
      </c>
      <c r="F2253" s="46" t="s">
        <v>17</v>
      </c>
      <c r="G2253" s="327">
        <v>9500.0</v>
      </c>
      <c r="H2253" s="309"/>
      <c r="I2253" s="48"/>
      <c r="J2253" s="91"/>
      <c r="K2253" s="330"/>
      <c r="L2253" s="330"/>
      <c r="M2253" s="330"/>
      <c r="N2253" s="330"/>
      <c r="O2253" s="330"/>
      <c r="P2253" s="330"/>
      <c r="Q2253" s="330"/>
      <c r="R2253" s="330"/>
      <c r="S2253" s="330"/>
      <c r="T2253" s="330"/>
      <c r="U2253" s="330"/>
      <c r="V2253" s="330"/>
      <c r="W2253" s="330"/>
      <c r="X2253" s="330"/>
      <c r="Y2253" s="330"/>
      <c r="Z2253" s="330"/>
    </row>
    <row r="2254" ht="33.75" customHeight="1">
      <c r="A2254" s="44" t="s">
        <v>1587</v>
      </c>
      <c r="B2254" s="351">
        <v>0.625</v>
      </c>
      <c r="C2254" s="44" t="s">
        <v>2338</v>
      </c>
      <c r="D2254" s="352"/>
      <c r="E2254" s="323">
        <v>46099.0</v>
      </c>
      <c r="F2254" s="46" t="s">
        <v>287</v>
      </c>
      <c r="G2254" s="327" t="s">
        <v>862</v>
      </c>
      <c r="H2254" s="309"/>
      <c r="I2254" s="48"/>
      <c r="J2254" s="91"/>
      <c r="K2254" s="330"/>
      <c r="L2254" s="330"/>
      <c r="M2254" s="330"/>
      <c r="N2254" s="330"/>
      <c r="O2254" s="330"/>
      <c r="P2254" s="330"/>
      <c r="Q2254" s="330"/>
      <c r="R2254" s="330"/>
      <c r="S2254" s="330"/>
      <c r="T2254" s="330"/>
      <c r="U2254" s="330"/>
      <c r="V2254" s="330"/>
      <c r="W2254" s="330"/>
      <c r="X2254" s="330"/>
      <c r="Y2254" s="330"/>
      <c r="Z2254" s="330"/>
    </row>
    <row r="2255" ht="33.75" customHeight="1">
      <c r="A2255" s="44"/>
      <c r="B2255" s="351"/>
      <c r="C2255" s="352"/>
      <c r="D2255" s="352"/>
      <c r="E2255" s="323"/>
      <c r="F2255" s="46"/>
      <c r="G2255" s="327"/>
      <c r="H2255" s="309"/>
      <c r="I2255" s="48"/>
      <c r="J2255" s="91"/>
      <c r="K2255" s="330"/>
      <c r="L2255" s="330"/>
      <c r="M2255" s="330"/>
      <c r="N2255" s="330"/>
      <c r="O2255" s="330"/>
      <c r="P2255" s="330"/>
      <c r="Q2255" s="330"/>
      <c r="R2255" s="330"/>
      <c r="S2255" s="330"/>
      <c r="T2255" s="330"/>
      <c r="U2255" s="330"/>
      <c r="V2255" s="330"/>
      <c r="W2255" s="330"/>
      <c r="X2255" s="330"/>
      <c r="Y2255" s="330"/>
      <c r="Z2255" s="330"/>
    </row>
    <row r="2256" ht="33.75" customHeight="1">
      <c r="A2256" s="364" t="s">
        <v>1116</v>
      </c>
      <c r="B2256" s="365">
        <v>0.375</v>
      </c>
      <c r="C2256" s="364" t="s">
        <v>2530</v>
      </c>
      <c r="D2256" s="366" t="s">
        <v>2531</v>
      </c>
      <c r="E2256" s="367">
        <v>46099.0</v>
      </c>
      <c r="F2256" s="368" t="s">
        <v>1133</v>
      </c>
      <c r="G2256" s="369">
        <v>15000.0</v>
      </c>
      <c r="H2256" s="370"/>
      <c r="I2256" s="371">
        <f t="shared" ref="I2256:I2283" si="66">G2256-H2256</f>
        <v>15000</v>
      </c>
      <c r="J2256" s="222" t="s">
        <v>2947</v>
      </c>
      <c r="K2256" s="330"/>
      <c r="L2256" s="330"/>
      <c r="M2256" s="330"/>
      <c r="N2256" s="330"/>
      <c r="O2256" s="330"/>
      <c r="P2256" s="330"/>
      <c r="Q2256" s="330"/>
      <c r="R2256" s="330"/>
      <c r="S2256" s="330"/>
      <c r="T2256" s="330"/>
      <c r="U2256" s="330"/>
      <c r="V2256" s="330"/>
      <c r="W2256" s="330"/>
      <c r="X2256" s="330"/>
      <c r="Y2256" s="330"/>
      <c r="Z2256" s="330"/>
    </row>
    <row r="2257" ht="33.75" customHeight="1">
      <c r="A2257" s="364" t="s">
        <v>2948</v>
      </c>
      <c r="B2257" s="365">
        <v>0.375</v>
      </c>
      <c r="C2257" s="372" t="s">
        <v>2530</v>
      </c>
      <c r="D2257" s="373" t="s">
        <v>2531</v>
      </c>
      <c r="E2257" s="367">
        <v>46099.0</v>
      </c>
      <c r="F2257" s="368" t="s">
        <v>1133</v>
      </c>
      <c r="G2257" s="369">
        <v>14000.0</v>
      </c>
      <c r="H2257" s="370"/>
      <c r="I2257" s="371">
        <f t="shared" si="66"/>
        <v>14000</v>
      </c>
      <c r="J2257" s="222" t="s">
        <v>2947</v>
      </c>
      <c r="K2257" s="330"/>
      <c r="L2257" s="330"/>
      <c r="M2257" s="330"/>
      <c r="N2257" s="330"/>
      <c r="O2257" s="330"/>
      <c r="P2257" s="330"/>
      <c r="Q2257" s="330"/>
      <c r="R2257" s="330"/>
      <c r="S2257" s="330"/>
      <c r="T2257" s="330"/>
      <c r="U2257" s="330"/>
      <c r="V2257" s="330"/>
      <c r="W2257" s="330"/>
      <c r="X2257" s="330"/>
      <c r="Y2257" s="330"/>
      <c r="Z2257" s="330"/>
    </row>
    <row r="2258" ht="33.75" customHeight="1">
      <c r="A2258" s="364" t="s">
        <v>1904</v>
      </c>
      <c r="B2258" s="365">
        <v>0.375</v>
      </c>
      <c r="C2258" s="372" t="s">
        <v>2530</v>
      </c>
      <c r="D2258" s="373" t="s">
        <v>2531</v>
      </c>
      <c r="E2258" s="367">
        <v>46099.0</v>
      </c>
      <c r="F2258" s="368" t="s">
        <v>1133</v>
      </c>
      <c r="G2258" s="369">
        <v>5000.0</v>
      </c>
      <c r="H2258" s="370"/>
      <c r="I2258" s="371">
        <f t="shared" si="66"/>
        <v>5000</v>
      </c>
      <c r="J2258" s="222" t="s">
        <v>2947</v>
      </c>
      <c r="K2258" s="330"/>
      <c r="L2258" s="330"/>
      <c r="M2258" s="330"/>
      <c r="N2258" s="330"/>
      <c r="O2258" s="330"/>
      <c r="P2258" s="330"/>
      <c r="Q2258" s="330"/>
      <c r="R2258" s="330"/>
      <c r="S2258" s="330"/>
      <c r="T2258" s="330"/>
      <c r="U2258" s="330"/>
      <c r="V2258" s="330"/>
      <c r="W2258" s="330"/>
      <c r="X2258" s="330"/>
      <c r="Y2258" s="330"/>
      <c r="Z2258" s="330"/>
    </row>
    <row r="2259" ht="33.75" customHeight="1">
      <c r="A2259" s="364" t="s">
        <v>1808</v>
      </c>
      <c r="B2259" s="365">
        <v>0.375</v>
      </c>
      <c r="C2259" s="364" t="s">
        <v>2530</v>
      </c>
      <c r="D2259" s="373" t="s">
        <v>2531</v>
      </c>
      <c r="E2259" s="367">
        <v>46099.0</v>
      </c>
      <c r="F2259" s="368" t="s">
        <v>1133</v>
      </c>
      <c r="G2259" s="369">
        <v>12000.0</v>
      </c>
      <c r="H2259" s="370"/>
      <c r="I2259" s="371">
        <f t="shared" si="66"/>
        <v>12000</v>
      </c>
      <c r="J2259" s="222" t="s">
        <v>2947</v>
      </c>
      <c r="K2259" s="330"/>
      <c r="L2259" s="330"/>
      <c r="M2259" s="330"/>
      <c r="N2259" s="330"/>
      <c r="O2259" s="330"/>
      <c r="P2259" s="330"/>
      <c r="Q2259" s="330"/>
      <c r="R2259" s="330"/>
      <c r="S2259" s="330"/>
      <c r="T2259" s="330"/>
      <c r="U2259" s="330"/>
      <c r="V2259" s="330"/>
      <c r="W2259" s="330"/>
      <c r="X2259" s="330"/>
      <c r="Y2259" s="330"/>
      <c r="Z2259" s="330"/>
    </row>
    <row r="2260" ht="33.75" customHeight="1">
      <c r="A2260" s="364" t="s">
        <v>2949</v>
      </c>
      <c r="B2260" s="365">
        <v>0.375</v>
      </c>
      <c r="C2260" s="372" t="s">
        <v>2530</v>
      </c>
      <c r="D2260" s="373" t="s">
        <v>2531</v>
      </c>
      <c r="E2260" s="367">
        <v>46099.0</v>
      </c>
      <c r="F2260" s="368" t="s">
        <v>1133</v>
      </c>
      <c r="G2260" s="369">
        <v>8000.0</v>
      </c>
      <c r="H2260" s="370"/>
      <c r="I2260" s="371">
        <f t="shared" si="66"/>
        <v>8000</v>
      </c>
      <c r="J2260" s="222" t="s">
        <v>2947</v>
      </c>
      <c r="K2260" s="330"/>
      <c r="L2260" s="330"/>
      <c r="M2260" s="330"/>
      <c r="N2260" s="330"/>
      <c r="O2260" s="330"/>
      <c r="P2260" s="330"/>
      <c r="Q2260" s="330"/>
      <c r="R2260" s="330"/>
      <c r="S2260" s="330"/>
      <c r="T2260" s="330"/>
      <c r="U2260" s="330"/>
      <c r="V2260" s="330"/>
      <c r="W2260" s="330"/>
      <c r="X2260" s="330"/>
      <c r="Y2260" s="330"/>
      <c r="Z2260" s="330"/>
    </row>
    <row r="2261" ht="33.75" customHeight="1">
      <c r="A2261" s="374" t="s">
        <v>2950</v>
      </c>
      <c r="B2261" s="375">
        <v>0.375</v>
      </c>
      <c r="C2261" s="376" t="s">
        <v>2813</v>
      </c>
      <c r="D2261" s="377">
        <v>1.53960187113418E15</v>
      </c>
      <c r="E2261" s="378">
        <v>46099.0</v>
      </c>
      <c r="F2261" s="379" t="s">
        <v>1133</v>
      </c>
      <c r="G2261" s="380">
        <v>20000.0</v>
      </c>
      <c r="H2261" s="381"/>
      <c r="I2261" s="382">
        <f t="shared" si="66"/>
        <v>20000</v>
      </c>
      <c r="J2261" s="222" t="s">
        <v>2947</v>
      </c>
      <c r="K2261" s="330"/>
      <c r="L2261" s="330"/>
      <c r="M2261" s="330"/>
      <c r="N2261" s="330"/>
      <c r="O2261" s="330"/>
      <c r="P2261" s="330"/>
      <c r="Q2261" s="330"/>
      <c r="R2261" s="330"/>
      <c r="S2261" s="330"/>
      <c r="T2261" s="330"/>
      <c r="U2261" s="330"/>
      <c r="V2261" s="330"/>
      <c r="W2261" s="330"/>
      <c r="X2261" s="330"/>
      <c r="Y2261" s="330"/>
      <c r="Z2261" s="330"/>
    </row>
    <row r="2262" ht="33.75" customHeight="1">
      <c r="A2262" s="374" t="s">
        <v>2951</v>
      </c>
      <c r="B2262" s="375">
        <v>0.375</v>
      </c>
      <c r="C2262" s="376" t="s">
        <v>2813</v>
      </c>
      <c r="D2262" s="383">
        <v>1.53960187113418E15</v>
      </c>
      <c r="E2262" s="378">
        <v>46099.0</v>
      </c>
      <c r="F2262" s="379" t="s">
        <v>1133</v>
      </c>
      <c r="G2262" s="380">
        <v>15000.0</v>
      </c>
      <c r="H2262" s="381"/>
      <c r="I2262" s="382">
        <f t="shared" si="66"/>
        <v>15000</v>
      </c>
      <c r="J2262" s="222" t="s">
        <v>2947</v>
      </c>
      <c r="K2262" s="330"/>
      <c r="L2262" s="330"/>
      <c r="M2262" s="330"/>
      <c r="N2262" s="330"/>
      <c r="O2262" s="330"/>
      <c r="P2262" s="330"/>
      <c r="Q2262" s="330"/>
      <c r="R2262" s="330"/>
      <c r="S2262" s="330"/>
      <c r="T2262" s="330"/>
      <c r="U2262" s="330"/>
      <c r="V2262" s="330"/>
      <c r="W2262" s="330"/>
      <c r="X2262" s="330"/>
      <c r="Y2262" s="330"/>
      <c r="Z2262" s="330"/>
    </row>
    <row r="2263" ht="33.75" customHeight="1">
      <c r="A2263" s="374" t="s">
        <v>2952</v>
      </c>
      <c r="B2263" s="375">
        <v>0.375</v>
      </c>
      <c r="C2263" s="376" t="s">
        <v>2813</v>
      </c>
      <c r="D2263" s="383">
        <v>1.53960187113418E15</v>
      </c>
      <c r="E2263" s="378">
        <v>46099.0</v>
      </c>
      <c r="F2263" s="379" t="s">
        <v>1133</v>
      </c>
      <c r="G2263" s="380">
        <v>6000.0</v>
      </c>
      <c r="H2263" s="381"/>
      <c r="I2263" s="382">
        <f t="shared" si="66"/>
        <v>6000</v>
      </c>
      <c r="J2263" s="222" t="s">
        <v>2947</v>
      </c>
      <c r="K2263" s="330"/>
      <c r="L2263" s="330"/>
      <c r="M2263" s="330"/>
      <c r="N2263" s="330"/>
      <c r="O2263" s="330"/>
      <c r="P2263" s="330"/>
      <c r="Q2263" s="330"/>
      <c r="R2263" s="330"/>
      <c r="S2263" s="330"/>
      <c r="T2263" s="330"/>
      <c r="U2263" s="330"/>
      <c r="V2263" s="330"/>
      <c r="W2263" s="330"/>
      <c r="X2263" s="330"/>
      <c r="Y2263" s="330"/>
      <c r="Z2263" s="330"/>
    </row>
    <row r="2264" ht="33.75" customHeight="1">
      <c r="A2264" s="374" t="s">
        <v>2953</v>
      </c>
      <c r="B2264" s="375">
        <v>0.375</v>
      </c>
      <c r="C2264" s="376" t="s">
        <v>2813</v>
      </c>
      <c r="D2264" s="383">
        <v>1.53960187113418E15</v>
      </c>
      <c r="E2264" s="378">
        <v>46099.0</v>
      </c>
      <c r="F2264" s="379" t="s">
        <v>1133</v>
      </c>
      <c r="G2264" s="380">
        <v>9000.0</v>
      </c>
      <c r="H2264" s="381"/>
      <c r="I2264" s="382">
        <f t="shared" si="66"/>
        <v>9000</v>
      </c>
      <c r="J2264" s="222" t="s">
        <v>2947</v>
      </c>
      <c r="K2264" s="330"/>
      <c r="L2264" s="330"/>
      <c r="M2264" s="330"/>
      <c r="N2264" s="330"/>
      <c r="O2264" s="330"/>
      <c r="P2264" s="330"/>
      <c r="Q2264" s="330"/>
      <c r="R2264" s="330"/>
      <c r="S2264" s="330"/>
      <c r="T2264" s="330"/>
      <c r="U2264" s="330"/>
      <c r="V2264" s="330"/>
      <c r="W2264" s="330"/>
      <c r="X2264" s="330"/>
      <c r="Y2264" s="330"/>
      <c r="Z2264" s="330"/>
    </row>
    <row r="2265" ht="33.75" customHeight="1">
      <c r="A2265" s="384" t="s">
        <v>2649</v>
      </c>
      <c r="B2265" s="385">
        <v>0.375</v>
      </c>
      <c r="C2265" s="384" t="s">
        <v>2765</v>
      </c>
      <c r="D2265" s="384">
        <v>9.11120394631047E14</v>
      </c>
      <c r="E2265" s="386">
        <v>46099.0</v>
      </c>
      <c r="F2265" s="387" t="s">
        <v>1133</v>
      </c>
      <c r="G2265" s="388">
        <v>5000.0</v>
      </c>
      <c r="H2265" s="389"/>
      <c r="I2265" s="390">
        <f t="shared" si="66"/>
        <v>5000</v>
      </c>
      <c r="J2265" s="222" t="s">
        <v>2947</v>
      </c>
      <c r="K2265" s="330"/>
      <c r="L2265" s="330"/>
      <c r="M2265" s="330"/>
      <c r="N2265" s="330"/>
      <c r="O2265" s="330"/>
      <c r="P2265" s="330"/>
      <c r="Q2265" s="330"/>
      <c r="R2265" s="330"/>
      <c r="S2265" s="330"/>
      <c r="T2265" s="330"/>
      <c r="U2265" s="330"/>
      <c r="V2265" s="330"/>
      <c r="W2265" s="330"/>
      <c r="X2265" s="330"/>
      <c r="Y2265" s="330"/>
      <c r="Z2265" s="330"/>
    </row>
    <row r="2266" ht="33.75" customHeight="1">
      <c r="A2266" s="384" t="s">
        <v>2954</v>
      </c>
      <c r="B2266" s="385">
        <v>0.375</v>
      </c>
      <c r="C2266" s="391" t="s">
        <v>2765</v>
      </c>
      <c r="D2266" s="391">
        <v>9.11120394631047E14</v>
      </c>
      <c r="E2266" s="386">
        <v>46099.0</v>
      </c>
      <c r="F2266" s="387" t="s">
        <v>1133</v>
      </c>
      <c r="G2266" s="388">
        <v>9000.0</v>
      </c>
      <c r="H2266" s="389"/>
      <c r="I2266" s="390">
        <f t="shared" si="66"/>
        <v>9000</v>
      </c>
      <c r="J2266" s="222" t="s">
        <v>2947</v>
      </c>
      <c r="K2266" s="330"/>
      <c r="L2266" s="330"/>
      <c r="M2266" s="330"/>
      <c r="N2266" s="330"/>
      <c r="O2266" s="330"/>
      <c r="P2266" s="330"/>
      <c r="Q2266" s="330"/>
      <c r="R2266" s="330"/>
      <c r="S2266" s="330"/>
      <c r="T2266" s="330"/>
      <c r="U2266" s="330"/>
      <c r="V2266" s="330"/>
      <c r="W2266" s="330"/>
      <c r="X2266" s="330"/>
      <c r="Y2266" s="330"/>
      <c r="Z2266" s="330"/>
    </row>
    <row r="2267" ht="33.75" customHeight="1">
      <c r="A2267" s="384" t="s">
        <v>2955</v>
      </c>
      <c r="B2267" s="385">
        <v>0.375</v>
      </c>
      <c r="C2267" s="391" t="s">
        <v>2765</v>
      </c>
      <c r="D2267" s="391">
        <v>9.11120394631047E14</v>
      </c>
      <c r="E2267" s="386">
        <v>46099.0</v>
      </c>
      <c r="F2267" s="387" t="s">
        <v>1133</v>
      </c>
      <c r="G2267" s="388">
        <v>9000.0</v>
      </c>
      <c r="H2267" s="389"/>
      <c r="I2267" s="390">
        <f t="shared" si="66"/>
        <v>9000</v>
      </c>
      <c r="J2267" s="222" t="s">
        <v>2947</v>
      </c>
      <c r="K2267" s="330"/>
      <c r="L2267" s="330"/>
      <c r="M2267" s="330"/>
      <c r="N2267" s="330"/>
      <c r="O2267" s="330"/>
      <c r="P2267" s="330"/>
      <c r="Q2267" s="330"/>
      <c r="R2267" s="330"/>
      <c r="S2267" s="330"/>
      <c r="T2267" s="330"/>
      <c r="U2267" s="330"/>
      <c r="V2267" s="330"/>
      <c r="W2267" s="330"/>
      <c r="X2267" s="330"/>
      <c r="Y2267" s="330"/>
      <c r="Z2267" s="330"/>
    </row>
    <row r="2268" ht="33.75" customHeight="1">
      <c r="A2268" s="384" t="s">
        <v>2769</v>
      </c>
      <c r="B2268" s="385">
        <v>0.375</v>
      </c>
      <c r="C2268" s="391" t="s">
        <v>2765</v>
      </c>
      <c r="D2268" s="391">
        <v>9.11120394631047E14</v>
      </c>
      <c r="E2268" s="386">
        <v>46099.0</v>
      </c>
      <c r="F2268" s="387" t="s">
        <v>1133</v>
      </c>
      <c r="G2268" s="388">
        <v>5000.0</v>
      </c>
      <c r="H2268" s="389"/>
      <c r="I2268" s="390">
        <f t="shared" si="66"/>
        <v>5000</v>
      </c>
      <c r="J2268" s="222" t="s">
        <v>2947</v>
      </c>
      <c r="K2268" s="330"/>
      <c r="L2268" s="330"/>
      <c r="M2268" s="330"/>
      <c r="N2268" s="330"/>
      <c r="O2268" s="330"/>
      <c r="P2268" s="330"/>
      <c r="Q2268" s="330"/>
      <c r="R2268" s="330"/>
      <c r="S2268" s="330"/>
      <c r="T2268" s="330"/>
      <c r="U2268" s="330"/>
      <c r="V2268" s="330"/>
      <c r="W2268" s="330"/>
      <c r="X2268" s="330"/>
      <c r="Y2268" s="330"/>
      <c r="Z2268" s="330"/>
    </row>
    <row r="2269" ht="33.75" customHeight="1">
      <c r="A2269" s="384" t="s">
        <v>2823</v>
      </c>
      <c r="B2269" s="385">
        <v>0.375</v>
      </c>
      <c r="C2269" s="391" t="s">
        <v>2765</v>
      </c>
      <c r="D2269" s="391">
        <v>9.11120394631047E14</v>
      </c>
      <c r="E2269" s="386">
        <v>46099.0</v>
      </c>
      <c r="F2269" s="387" t="s">
        <v>1133</v>
      </c>
      <c r="G2269" s="388">
        <v>5000.0</v>
      </c>
      <c r="H2269" s="389"/>
      <c r="I2269" s="390">
        <f t="shared" si="66"/>
        <v>5000</v>
      </c>
      <c r="J2269" s="222" t="s">
        <v>2947</v>
      </c>
      <c r="K2269" s="330"/>
      <c r="L2269" s="330"/>
      <c r="M2269" s="330"/>
      <c r="N2269" s="330"/>
      <c r="O2269" s="330"/>
      <c r="P2269" s="330"/>
      <c r="Q2269" s="330"/>
      <c r="R2269" s="330"/>
      <c r="S2269" s="330"/>
      <c r="T2269" s="330"/>
      <c r="U2269" s="330"/>
      <c r="V2269" s="330"/>
      <c r="W2269" s="330"/>
      <c r="X2269" s="330"/>
      <c r="Y2269" s="330"/>
      <c r="Z2269" s="330"/>
    </row>
    <row r="2270" ht="33.75" customHeight="1">
      <c r="A2270" s="384" t="s">
        <v>2455</v>
      </c>
      <c r="B2270" s="385">
        <v>0.375</v>
      </c>
      <c r="C2270" s="391" t="s">
        <v>2765</v>
      </c>
      <c r="D2270" s="391">
        <v>9.11120394631047E14</v>
      </c>
      <c r="E2270" s="386">
        <v>46099.0</v>
      </c>
      <c r="F2270" s="387" t="s">
        <v>1133</v>
      </c>
      <c r="G2270" s="388">
        <v>8000.0</v>
      </c>
      <c r="H2270" s="389"/>
      <c r="I2270" s="390">
        <f t="shared" si="66"/>
        <v>8000</v>
      </c>
      <c r="J2270" s="222" t="s">
        <v>2947</v>
      </c>
      <c r="K2270" s="330"/>
      <c r="L2270" s="330"/>
      <c r="M2270" s="330"/>
      <c r="N2270" s="330"/>
      <c r="O2270" s="330"/>
      <c r="P2270" s="330"/>
      <c r="Q2270" s="330"/>
      <c r="R2270" s="330"/>
      <c r="S2270" s="330"/>
      <c r="T2270" s="330"/>
      <c r="U2270" s="330"/>
      <c r="V2270" s="330"/>
      <c r="W2270" s="330"/>
      <c r="X2270" s="330"/>
      <c r="Y2270" s="330"/>
      <c r="Z2270" s="330"/>
    </row>
    <row r="2271" ht="33.75" customHeight="1">
      <c r="A2271" s="384" t="s">
        <v>2956</v>
      </c>
      <c r="B2271" s="385">
        <v>0.375</v>
      </c>
      <c r="C2271" s="391" t="s">
        <v>2765</v>
      </c>
      <c r="D2271" s="391">
        <v>9.11120394631047E14</v>
      </c>
      <c r="E2271" s="386">
        <v>46099.0</v>
      </c>
      <c r="F2271" s="387" t="s">
        <v>1133</v>
      </c>
      <c r="G2271" s="388">
        <v>12000.0</v>
      </c>
      <c r="H2271" s="389"/>
      <c r="I2271" s="390">
        <f t="shared" si="66"/>
        <v>12000</v>
      </c>
      <c r="J2271" s="222" t="s">
        <v>2947</v>
      </c>
      <c r="K2271" s="330"/>
      <c r="L2271" s="330"/>
      <c r="M2271" s="330"/>
      <c r="N2271" s="330"/>
      <c r="O2271" s="330"/>
      <c r="P2271" s="330"/>
      <c r="Q2271" s="330"/>
      <c r="R2271" s="330"/>
      <c r="S2271" s="330"/>
      <c r="T2271" s="330"/>
      <c r="U2271" s="330"/>
      <c r="V2271" s="330"/>
      <c r="W2271" s="330"/>
      <c r="X2271" s="330"/>
      <c r="Y2271" s="330"/>
      <c r="Z2271" s="330"/>
    </row>
    <row r="2272" ht="33.75" customHeight="1">
      <c r="A2272" s="392" t="s">
        <v>2957</v>
      </c>
      <c r="B2272" s="393">
        <v>0.375</v>
      </c>
      <c r="C2272" s="392" t="s">
        <v>2774</v>
      </c>
      <c r="D2272" s="392">
        <v>9.55927666933973E14</v>
      </c>
      <c r="E2272" s="394">
        <v>46099.0</v>
      </c>
      <c r="F2272" s="395" t="s">
        <v>1133</v>
      </c>
      <c r="G2272" s="396">
        <v>7000.0</v>
      </c>
      <c r="H2272" s="397"/>
      <c r="I2272" s="398">
        <f t="shared" si="66"/>
        <v>7000</v>
      </c>
      <c r="J2272" s="222" t="s">
        <v>2947</v>
      </c>
      <c r="K2272" s="330"/>
      <c r="L2272" s="330"/>
      <c r="M2272" s="330"/>
      <c r="N2272" s="330"/>
      <c r="O2272" s="330"/>
      <c r="P2272" s="330"/>
      <c r="Q2272" s="330"/>
      <c r="R2272" s="330"/>
      <c r="S2272" s="330"/>
      <c r="T2272" s="330"/>
      <c r="U2272" s="330"/>
      <c r="V2272" s="330"/>
      <c r="W2272" s="330"/>
      <c r="X2272" s="330"/>
      <c r="Y2272" s="330"/>
      <c r="Z2272" s="330"/>
    </row>
    <row r="2273" ht="33.75" customHeight="1">
      <c r="A2273" s="392" t="s">
        <v>2958</v>
      </c>
      <c r="B2273" s="393">
        <v>0.375</v>
      </c>
      <c r="C2273" s="399" t="s">
        <v>2774</v>
      </c>
      <c r="D2273" s="399">
        <v>9.55927666933973E14</v>
      </c>
      <c r="E2273" s="394">
        <v>46099.0</v>
      </c>
      <c r="F2273" s="395" t="s">
        <v>1133</v>
      </c>
      <c r="G2273" s="396">
        <v>20000.0</v>
      </c>
      <c r="H2273" s="397"/>
      <c r="I2273" s="398">
        <f t="shared" si="66"/>
        <v>20000</v>
      </c>
      <c r="J2273" s="222" t="s">
        <v>2947</v>
      </c>
      <c r="K2273" s="330"/>
      <c r="L2273" s="330"/>
      <c r="M2273" s="330"/>
      <c r="N2273" s="330"/>
      <c r="O2273" s="330"/>
      <c r="P2273" s="330"/>
      <c r="Q2273" s="330"/>
      <c r="R2273" s="330"/>
      <c r="S2273" s="330"/>
      <c r="T2273" s="330"/>
      <c r="U2273" s="330"/>
      <c r="V2273" s="330"/>
      <c r="W2273" s="330"/>
      <c r="X2273" s="330"/>
      <c r="Y2273" s="330"/>
      <c r="Z2273" s="330"/>
    </row>
    <row r="2274" ht="33.75" customHeight="1">
      <c r="A2274" s="392" t="s">
        <v>2959</v>
      </c>
      <c r="B2274" s="393">
        <v>0.375</v>
      </c>
      <c r="C2274" s="399" t="s">
        <v>2774</v>
      </c>
      <c r="D2274" s="399">
        <v>9.55927666933973E14</v>
      </c>
      <c r="E2274" s="394">
        <v>46099.0</v>
      </c>
      <c r="F2274" s="395" t="s">
        <v>1133</v>
      </c>
      <c r="G2274" s="396">
        <v>8000.0</v>
      </c>
      <c r="H2274" s="397"/>
      <c r="I2274" s="398">
        <f t="shared" si="66"/>
        <v>8000</v>
      </c>
      <c r="J2274" s="222" t="s">
        <v>2947</v>
      </c>
      <c r="K2274" s="330"/>
      <c r="L2274" s="330"/>
      <c r="M2274" s="330"/>
      <c r="N2274" s="330"/>
      <c r="O2274" s="330"/>
      <c r="P2274" s="330"/>
      <c r="Q2274" s="330"/>
      <c r="R2274" s="330"/>
      <c r="S2274" s="330"/>
      <c r="T2274" s="330"/>
      <c r="U2274" s="330"/>
      <c r="V2274" s="330"/>
      <c r="W2274" s="330"/>
      <c r="X2274" s="330"/>
      <c r="Y2274" s="330"/>
      <c r="Z2274" s="330"/>
    </row>
    <row r="2275" ht="33.75" customHeight="1">
      <c r="A2275" s="392" t="s">
        <v>2367</v>
      </c>
      <c r="B2275" s="393">
        <v>0.375</v>
      </c>
      <c r="C2275" s="399" t="s">
        <v>2774</v>
      </c>
      <c r="D2275" s="399">
        <v>9.55927666933973E14</v>
      </c>
      <c r="E2275" s="394">
        <v>46099.0</v>
      </c>
      <c r="F2275" s="395" t="s">
        <v>1133</v>
      </c>
      <c r="G2275" s="396">
        <v>12000.0</v>
      </c>
      <c r="H2275" s="397"/>
      <c r="I2275" s="398">
        <f t="shared" si="66"/>
        <v>12000</v>
      </c>
      <c r="J2275" s="222" t="s">
        <v>2947</v>
      </c>
      <c r="K2275" s="330"/>
      <c r="L2275" s="330"/>
      <c r="M2275" s="330"/>
      <c r="N2275" s="330"/>
      <c r="O2275" s="330"/>
      <c r="P2275" s="330"/>
      <c r="Q2275" s="330"/>
      <c r="R2275" s="330"/>
      <c r="S2275" s="330"/>
      <c r="T2275" s="330"/>
      <c r="U2275" s="330"/>
      <c r="V2275" s="330"/>
      <c r="W2275" s="330"/>
      <c r="X2275" s="330"/>
      <c r="Y2275" s="330"/>
      <c r="Z2275" s="330"/>
    </row>
    <row r="2276" ht="33.75" customHeight="1">
      <c r="A2276" s="400" t="s">
        <v>2960</v>
      </c>
      <c r="B2276" s="401">
        <v>0.375</v>
      </c>
      <c r="C2276" s="402" t="s">
        <v>2668</v>
      </c>
      <c r="D2276" s="400" t="s">
        <v>2669</v>
      </c>
      <c r="E2276" s="403">
        <v>46099.0</v>
      </c>
      <c r="F2276" s="404" t="s">
        <v>1133</v>
      </c>
      <c r="G2276" s="405">
        <v>9000.0</v>
      </c>
      <c r="H2276" s="406"/>
      <c r="I2276" s="407">
        <f t="shared" si="66"/>
        <v>9000</v>
      </c>
      <c r="J2276" s="222" t="s">
        <v>2947</v>
      </c>
      <c r="K2276" s="330"/>
      <c r="L2276" s="330"/>
      <c r="M2276" s="330"/>
      <c r="N2276" s="330"/>
      <c r="O2276" s="330"/>
      <c r="P2276" s="330"/>
      <c r="Q2276" s="330"/>
      <c r="R2276" s="330"/>
      <c r="S2276" s="330"/>
      <c r="T2276" s="330"/>
      <c r="U2276" s="330"/>
      <c r="V2276" s="330"/>
      <c r="W2276" s="330"/>
      <c r="X2276" s="330"/>
      <c r="Y2276" s="330"/>
      <c r="Z2276" s="330"/>
    </row>
    <row r="2277" ht="33.75" customHeight="1">
      <c r="A2277" s="400" t="s">
        <v>2961</v>
      </c>
      <c r="B2277" s="401">
        <v>0.375</v>
      </c>
      <c r="C2277" s="402" t="s">
        <v>2668</v>
      </c>
      <c r="D2277" s="402" t="s">
        <v>2669</v>
      </c>
      <c r="E2277" s="403">
        <v>46099.0</v>
      </c>
      <c r="F2277" s="404" t="s">
        <v>1133</v>
      </c>
      <c r="G2277" s="405">
        <v>5000.0</v>
      </c>
      <c r="H2277" s="406"/>
      <c r="I2277" s="407">
        <f t="shared" si="66"/>
        <v>5000</v>
      </c>
      <c r="J2277" s="222" t="s">
        <v>2947</v>
      </c>
      <c r="K2277" s="330"/>
      <c r="L2277" s="330"/>
      <c r="M2277" s="330"/>
      <c r="N2277" s="330"/>
      <c r="O2277" s="330"/>
      <c r="P2277" s="330"/>
      <c r="Q2277" s="330"/>
      <c r="R2277" s="330"/>
      <c r="S2277" s="330"/>
      <c r="T2277" s="330"/>
      <c r="U2277" s="330"/>
      <c r="V2277" s="330"/>
      <c r="W2277" s="330"/>
      <c r="X2277" s="330"/>
      <c r="Y2277" s="330"/>
      <c r="Z2277" s="330"/>
    </row>
    <row r="2278" ht="33.75" customHeight="1">
      <c r="A2278" s="400" t="s">
        <v>2962</v>
      </c>
      <c r="B2278" s="401">
        <v>0.375</v>
      </c>
      <c r="C2278" s="402" t="s">
        <v>2668</v>
      </c>
      <c r="D2278" s="402" t="s">
        <v>2669</v>
      </c>
      <c r="E2278" s="403">
        <v>46099.0</v>
      </c>
      <c r="F2278" s="404" t="s">
        <v>1133</v>
      </c>
      <c r="G2278" s="405">
        <v>9000.0</v>
      </c>
      <c r="H2278" s="406"/>
      <c r="I2278" s="407">
        <f t="shared" si="66"/>
        <v>9000</v>
      </c>
      <c r="J2278" s="222" t="s">
        <v>2947</v>
      </c>
      <c r="K2278" s="330"/>
      <c r="L2278" s="330"/>
      <c r="M2278" s="330"/>
      <c r="N2278" s="330"/>
      <c r="O2278" s="330"/>
      <c r="P2278" s="330"/>
      <c r="Q2278" s="330"/>
      <c r="R2278" s="330"/>
      <c r="S2278" s="330"/>
      <c r="T2278" s="330"/>
      <c r="U2278" s="330"/>
      <c r="V2278" s="330"/>
      <c r="W2278" s="330"/>
      <c r="X2278" s="330"/>
      <c r="Y2278" s="330"/>
      <c r="Z2278" s="330"/>
    </row>
    <row r="2279" ht="33.75" customHeight="1">
      <c r="A2279" s="400" t="s">
        <v>2552</v>
      </c>
      <c r="B2279" s="401">
        <v>0.375</v>
      </c>
      <c r="C2279" s="402" t="s">
        <v>2668</v>
      </c>
      <c r="D2279" s="402" t="s">
        <v>2669</v>
      </c>
      <c r="E2279" s="403">
        <v>46099.0</v>
      </c>
      <c r="F2279" s="404" t="s">
        <v>1133</v>
      </c>
      <c r="G2279" s="405">
        <v>5000.0</v>
      </c>
      <c r="H2279" s="406"/>
      <c r="I2279" s="407">
        <f t="shared" si="66"/>
        <v>5000</v>
      </c>
      <c r="J2279" s="222" t="s">
        <v>2947</v>
      </c>
      <c r="K2279" s="330"/>
      <c r="L2279" s="330"/>
      <c r="M2279" s="330"/>
      <c r="N2279" s="330"/>
      <c r="O2279" s="330"/>
      <c r="P2279" s="330"/>
      <c r="Q2279" s="330"/>
      <c r="R2279" s="330"/>
      <c r="S2279" s="330"/>
      <c r="T2279" s="330"/>
      <c r="U2279" s="330"/>
      <c r="V2279" s="330"/>
      <c r="W2279" s="330"/>
      <c r="X2279" s="330"/>
      <c r="Y2279" s="330"/>
      <c r="Z2279" s="330"/>
    </row>
    <row r="2280" ht="33.75" customHeight="1">
      <c r="A2280" s="400" t="s">
        <v>2963</v>
      </c>
      <c r="B2280" s="401">
        <v>0.375</v>
      </c>
      <c r="C2280" s="402" t="s">
        <v>2668</v>
      </c>
      <c r="D2280" s="402" t="s">
        <v>2669</v>
      </c>
      <c r="E2280" s="403">
        <v>46099.0</v>
      </c>
      <c r="F2280" s="404" t="s">
        <v>1133</v>
      </c>
      <c r="G2280" s="405">
        <v>5000.0</v>
      </c>
      <c r="H2280" s="406"/>
      <c r="I2280" s="407">
        <f t="shared" si="66"/>
        <v>5000</v>
      </c>
      <c r="J2280" s="222" t="s">
        <v>2947</v>
      </c>
      <c r="K2280" s="330"/>
      <c r="L2280" s="330"/>
      <c r="M2280" s="330"/>
      <c r="N2280" s="330"/>
      <c r="O2280" s="330"/>
      <c r="P2280" s="330"/>
      <c r="Q2280" s="330"/>
      <c r="R2280" s="330"/>
      <c r="S2280" s="330"/>
      <c r="T2280" s="330"/>
      <c r="U2280" s="330"/>
      <c r="V2280" s="330"/>
      <c r="W2280" s="330"/>
      <c r="X2280" s="330"/>
      <c r="Y2280" s="330"/>
      <c r="Z2280" s="330"/>
    </row>
    <row r="2281" ht="33.75" customHeight="1">
      <c r="A2281" s="400" t="s">
        <v>2964</v>
      </c>
      <c r="B2281" s="401">
        <v>0.375</v>
      </c>
      <c r="C2281" s="402" t="s">
        <v>2668</v>
      </c>
      <c r="D2281" s="402" t="s">
        <v>2669</v>
      </c>
      <c r="E2281" s="403">
        <v>46099.0</v>
      </c>
      <c r="F2281" s="404" t="s">
        <v>1133</v>
      </c>
      <c r="G2281" s="405">
        <v>9000.0</v>
      </c>
      <c r="H2281" s="406"/>
      <c r="I2281" s="407">
        <f t="shared" si="66"/>
        <v>9000</v>
      </c>
      <c r="J2281" s="222" t="s">
        <v>2947</v>
      </c>
      <c r="K2281" s="330"/>
      <c r="L2281" s="330"/>
      <c r="M2281" s="330"/>
      <c r="N2281" s="330"/>
      <c r="O2281" s="330"/>
      <c r="P2281" s="330"/>
      <c r="Q2281" s="330"/>
      <c r="R2281" s="330"/>
      <c r="S2281" s="330"/>
      <c r="T2281" s="330"/>
      <c r="U2281" s="330"/>
      <c r="V2281" s="330"/>
      <c r="W2281" s="330"/>
      <c r="X2281" s="330"/>
      <c r="Y2281" s="330"/>
      <c r="Z2281" s="330"/>
    </row>
    <row r="2282" ht="33.75" customHeight="1">
      <c r="A2282" s="408" t="s">
        <v>2411</v>
      </c>
      <c r="B2282" s="409">
        <v>0.375</v>
      </c>
      <c r="C2282" s="408" t="s">
        <v>2870</v>
      </c>
      <c r="D2282" s="410">
        <v>9.38897118640851E14</v>
      </c>
      <c r="E2282" s="411">
        <v>46099.0</v>
      </c>
      <c r="F2282" s="412" t="s">
        <v>1133</v>
      </c>
      <c r="G2282" s="413">
        <v>10000.0</v>
      </c>
      <c r="H2282" s="414"/>
      <c r="I2282" s="415">
        <f t="shared" si="66"/>
        <v>10000</v>
      </c>
      <c r="J2282" s="222" t="s">
        <v>2947</v>
      </c>
      <c r="K2282" s="330"/>
      <c r="L2282" s="330"/>
      <c r="M2282" s="330"/>
      <c r="N2282" s="330"/>
      <c r="O2282" s="330"/>
      <c r="P2282" s="330"/>
      <c r="Q2282" s="330"/>
      <c r="R2282" s="330"/>
      <c r="S2282" s="330"/>
      <c r="T2282" s="330"/>
      <c r="U2282" s="330"/>
      <c r="V2282" s="330"/>
      <c r="W2282" s="330"/>
      <c r="X2282" s="330"/>
      <c r="Y2282" s="330"/>
      <c r="Z2282" s="330"/>
    </row>
    <row r="2283" ht="33.75" customHeight="1">
      <c r="A2283" s="408" t="s">
        <v>583</v>
      </c>
      <c r="B2283" s="409">
        <v>0.375</v>
      </c>
      <c r="C2283" s="410" t="s">
        <v>2870</v>
      </c>
      <c r="D2283" s="410">
        <v>9.38897118640851E14</v>
      </c>
      <c r="E2283" s="411">
        <v>46099.0</v>
      </c>
      <c r="F2283" s="412" t="s">
        <v>1133</v>
      </c>
      <c r="G2283" s="413">
        <v>5809.0</v>
      </c>
      <c r="H2283" s="414"/>
      <c r="I2283" s="415">
        <f t="shared" si="66"/>
        <v>5809</v>
      </c>
      <c r="J2283" s="222" t="s">
        <v>2947</v>
      </c>
      <c r="K2283" s="330"/>
      <c r="L2283" s="330"/>
      <c r="M2283" s="330"/>
      <c r="N2283" s="330"/>
      <c r="O2283" s="330"/>
      <c r="P2283" s="330"/>
      <c r="Q2283" s="330"/>
      <c r="R2283" s="330"/>
      <c r="S2283" s="330"/>
      <c r="T2283" s="330"/>
      <c r="U2283" s="330"/>
      <c r="V2283" s="330"/>
      <c r="W2283" s="330"/>
      <c r="X2283" s="330"/>
      <c r="Y2283" s="330"/>
      <c r="Z2283" s="330"/>
    </row>
    <row r="2284" ht="33.75" customHeight="1">
      <c r="A2284" s="44"/>
      <c r="B2284" s="351"/>
      <c r="C2284" s="352"/>
      <c r="D2284" s="352"/>
      <c r="E2284" s="323"/>
      <c r="F2284" s="46"/>
      <c r="G2284" s="327"/>
      <c r="H2284" s="309"/>
      <c r="I2284" s="48"/>
      <c r="J2284" s="222"/>
      <c r="K2284" s="330"/>
      <c r="L2284" s="330"/>
      <c r="M2284" s="330"/>
      <c r="N2284" s="330"/>
      <c r="O2284" s="330"/>
      <c r="P2284" s="330"/>
      <c r="Q2284" s="330"/>
      <c r="R2284" s="330"/>
      <c r="S2284" s="330"/>
      <c r="T2284" s="330"/>
      <c r="U2284" s="330"/>
      <c r="V2284" s="330"/>
      <c r="W2284" s="330"/>
      <c r="X2284" s="330"/>
      <c r="Y2284" s="330"/>
      <c r="Z2284" s="330"/>
    </row>
    <row r="2285" ht="33.75" customHeight="1">
      <c r="A2285" s="44" t="s">
        <v>1864</v>
      </c>
      <c r="B2285" s="351">
        <v>0.375</v>
      </c>
      <c r="C2285" s="352"/>
      <c r="D2285" s="352"/>
      <c r="E2285" s="323">
        <v>46099.0</v>
      </c>
      <c r="F2285" s="46" t="s">
        <v>1133</v>
      </c>
      <c r="G2285" s="327"/>
      <c r="H2285" s="309"/>
      <c r="I2285" s="48"/>
      <c r="J2285" s="222" t="s">
        <v>2965</v>
      </c>
      <c r="K2285" s="330"/>
      <c r="L2285" s="330"/>
      <c r="M2285" s="330"/>
      <c r="N2285" s="330"/>
      <c r="O2285" s="330"/>
      <c r="P2285" s="330"/>
      <c r="Q2285" s="330"/>
      <c r="R2285" s="330"/>
      <c r="S2285" s="330"/>
      <c r="T2285" s="330"/>
      <c r="U2285" s="330"/>
      <c r="V2285" s="330"/>
      <c r="W2285" s="330"/>
      <c r="X2285" s="330"/>
      <c r="Y2285" s="330"/>
      <c r="Z2285" s="330"/>
    </row>
    <row r="2286" ht="33.75" customHeight="1">
      <c r="A2286" s="44" t="s">
        <v>2846</v>
      </c>
      <c r="B2286" s="351"/>
      <c r="C2286" s="44" t="s">
        <v>2847</v>
      </c>
      <c r="D2286" s="352"/>
      <c r="E2286" s="323">
        <v>46096.0</v>
      </c>
      <c r="F2286" s="46" t="s">
        <v>99</v>
      </c>
      <c r="G2286" s="327">
        <v>10000.0</v>
      </c>
      <c r="H2286" s="416">
        <v>9170.0</v>
      </c>
      <c r="I2286" s="417">
        <v>830.0</v>
      </c>
      <c r="J2286" s="91"/>
      <c r="K2286" s="330"/>
      <c r="L2286" s="330"/>
      <c r="M2286" s="330"/>
      <c r="N2286" s="330"/>
      <c r="O2286" s="330"/>
      <c r="P2286" s="330"/>
      <c r="Q2286" s="330"/>
      <c r="R2286" s="330"/>
      <c r="S2286" s="330"/>
      <c r="T2286" s="330"/>
      <c r="U2286" s="330"/>
      <c r="V2286" s="330"/>
      <c r="W2286" s="330"/>
      <c r="X2286" s="330"/>
      <c r="Y2286" s="330"/>
      <c r="Z2286" s="330"/>
    </row>
    <row r="2287" ht="33.75" customHeight="1">
      <c r="A2287" s="44" t="s">
        <v>2846</v>
      </c>
      <c r="B2287" s="351"/>
      <c r="C2287" s="44" t="s">
        <v>2847</v>
      </c>
      <c r="D2287" s="352"/>
      <c r="E2287" s="323">
        <v>46097.0</v>
      </c>
      <c r="F2287" s="46" t="s">
        <v>99</v>
      </c>
      <c r="G2287" s="327">
        <v>20000.0</v>
      </c>
      <c r="H2287" s="416">
        <v>19250.0</v>
      </c>
      <c r="I2287" s="417">
        <v>750.0</v>
      </c>
      <c r="J2287" s="91"/>
      <c r="K2287" s="330"/>
      <c r="L2287" s="330"/>
      <c r="M2287" s="330"/>
      <c r="N2287" s="330"/>
      <c r="O2287" s="330"/>
      <c r="P2287" s="330"/>
      <c r="Q2287" s="330"/>
      <c r="R2287" s="330"/>
      <c r="S2287" s="330"/>
      <c r="T2287" s="330"/>
      <c r="U2287" s="330"/>
      <c r="V2287" s="330"/>
      <c r="W2287" s="330"/>
      <c r="X2287" s="330"/>
      <c r="Y2287" s="330"/>
      <c r="Z2287" s="330"/>
    </row>
    <row r="2288" ht="33.75" customHeight="1">
      <c r="A2288" s="44" t="s">
        <v>2846</v>
      </c>
      <c r="B2288" s="351"/>
      <c r="C2288" s="44" t="s">
        <v>2847</v>
      </c>
      <c r="D2288" s="352"/>
      <c r="E2288" s="323">
        <v>46098.0</v>
      </c>
      <c r="F2288" s="46" t="s">
        <v>99</v>
      </c>
      <c r="G2288" s="327">
        <v>20000.0</v>
      </c>
      <c r="H2288" s="416">
        <v>16311.0</v>
      </c>
      <c r="I2288" s="417">
        <v>3689.0</v>
      </c>
      <c r="J2288" s="91"/>
      <c r="K2288" s="330"/>
      <c r="L2288" s="330"/>
      <c r="M2288" s="330"/>
      <c r="N2288" s="330"/>
      <c r="O2288" s="330"/>
      <c r="P2288" s="330"/>
      <c r="Q2288" s="330"/>
      <c r="R2288" s="330"/>
      <c r="S2288" s="330"/>
      <c r="T2288" s="330"/>
      <c r="U2288" s="330"/>
      <c r="V2288" s="330"/>
      <c r="W2288" s="330"/>
      <c r="X2288" s="330"/>
      <c r="Y2288" s="330"/>
      <c r="Z2288" s="330"/>
    </row>
    <row r="2289" ht="33.75" customHeight="1">
      <c r="A2289" s="44" t="s">
        <v>2846</v>
      </c>
      <c r="B2289" s="351"/>
      <c r="C2289" s="44" t="s">
        <v>2847</v>
      </c>
      <c r="D2289" s="352"/>
      <c r="E2289" s="323">
        <v>46098.0</v>
      </c>
      <c r="F2289" s="46" t="s">
        <v>99</v>
      </c>
      <c r="G2289" s="327">
        <v>26000.0</v>
      </c>
      <c r="H2289" s="416">
        <v>21295.0</v>
      </c>
      <c r="I2289" s="417">
        <v>3974.0</v>
      </c>
      <c r="J2289" s="91"/>
      <c r="K2289" s="330"/>
      <c r="L2289" s="330"/>
      <c r="M2289" s="330"/>
      <c r="N2289" s="330"/>
      <c r="O2289" s="330"/>
      <c r="P2289" s="330"/>
      <c r="Q2289" s="330"/>
      <c r="R2289" s="330"/>
      <c r="S2289" s="330"/>
      <c r="T2289" s="330"/>
      <c r="U2289" s="330"/>
      <c r="V2289" s="330"/>
      <c r="W2289" s="330"/>
      <c r="X2289" s="330"/>
      <c r="Y2289" s="330"/>
      <c r="Z2289" s="330"/>
    </row>
    <row r="2290" ht="33.75" customHeight="1">
      <c r="A2290" s="44"/>
      <c r="B2290" s="351"/>
      <c r="C2290" s="352"/>
      <c r="D2290" s="352"/>
      <c r="E2290" s="323"/>
      <c r="F2290" s="46"/>
      <c r="G2290" s="327"/>
      <c r="H2290" s="309"/>
      <c r="I2290" s="48"/>
      <c r="J2290" s="91"/>
      <c r="K2290" s="330"/>
      <c r="L2290" s="330"/>
      <c r="M2290" s="330"/>
      <c r="N2290" s="330"/>
      <c r="O2290" s="330"/>
      <c r="P2290" s="330"/>
      <c r="Q2290" s="330"/>
      <c r="R2290" s="330"/>
      <c r="S2290" s="330"/>
      <c r="T2290" s="330"/>
      <c r="U2290" s="330"/>
      <c r="V2290" s="330"/>
      <c r="W2290" s="330"/>
      <c r="X2290" s="330"/>
      <c r="Y2290" s="330"/>
      <c r="Z2290" s="330"/>
    </row>
    <row r="2291" ht="33.75" customHeight="1">
      <c r="A2291" s="44"/>
      <c r="B2291" s="351"/>
      <c r="C2291" s="352"/>
      <c r="D2291" s="352"/>
      <c r="E2291" s="323"/>
      <c r="F2291" s="46"/>
      <c r="G2291" s="327"/>
      <c r="H2291" s="309"/>
      <c r="I2291" s="48"/>
      <c r="J2291" s="91"/>
      <c r="K2291" s="330"/>
      <c r="L2291" s="330"/>
      <c r="M2291" s="330"/>
      <c r="N2291" s="330"/>
      <c r="O2291" s="330"/>
      <c r="P2291" s="330"/>
      <c r="Q2291" s="330"/>
      <c r="R2291" s="330"/>
      <c r="S2291" s="330"/>
      <c r="T2291" s="330"/>
      <c r="U2291" s="330"/>
      <c r="V2291" s="330"/>
      <c r="W2291" s="330"/>
      <c r="X2291" s="330"/>
      <c r="Y2291" s="330"/>
      <c r="Z2291" s="330"/>
    </row>
    <row r="2292" ht="33.75" customHeight="1">
      <c r="A2292" s="44"/>
      <c r="B2292" s="351"/>
      <c r="C2292" s="352"/>
      <c r="D2292" s="352"/>
      <c r="E2292" s="323"/>
      <c r="F2292" s="46"/>
      <c r="G2292" s="327"/>
      <c r="H2292" s="309"/>
      <c r="I2292" s="48"/>
      <c r="J2292" s="91"/>
      <c r="K2292" s="330"/>
      <c r="L2292" s="330"/>
      <c r="M2292" s="330"/>
      <c r="N2292" s="330"/>
      <c r="O2292" s="330"/>
      <c r="P2292" s="330"/>
      <c r="Q2292" s="330"/>
      <c r="R2292" s="330"/>
      <c r="S2292" s="330"/>
      <c r="T2292" s="330"/>
      <c r="U2292" s="330"/>
      <c r="V2292" s="330"/>
      <c r="W2292" s="330"/>
      <c r="X2292" s="330"/>
      <c r="Y2292" s="330"/>
      <c r="Z2292" s="330"/>
    </row>
    <row r="2293" ht="33.75" customHeight="1">
      <c r="A2293" s="44"/>
      <c r="B2293" s="351"/>
      <c r="C2293" s="352"/>
      <c r="D2293" s="352"/>
      <c r="E2293" s="323"/>
      <c r="F2293" s="46"/>
      <c r="G2293" s="327"/>
      <c r="H2293" s="309"/>
      <c r="I2293" s="48"/>
      <c r="J2293" s="91"/>
      <c r="K2293" s="330"/>
      <c r="L2293" s="330"/>
      <c r="M2293" s="330"/>
      <c r="N2293" s="330"/>
      <c r="O2293" s="330"/>
      <c r="P2293" s="330"/>
      <c r="Q2293" s="330"/>
      <c r="R2293" s="330"/>
      <c r="S2293" s="330"/>
      <c r="T2293" s="330"/>
      <c r="U2293" s="330"/>
      <c r="V2293" s="330"/>
      <c r="W2293" s="330"/>
      <c r="X2293" s="330"/>
      <c r="Y2293" s="330"/>
      <c r="Z2293" s="330"/>
    </row>
    <row r="2294" ht="33.75" customHeight="1">
      <c r="A2294" s="44"/>
      <c r="B2294" s="351"/>
      <c r="C2294" s="352"/>
      <c r="D2294" s="352"/>
      <c r="E2294" s="323"/>
      <c r="F2294" s="46"/>
      <c r="G2294" s="327"/>
      <c r="H2294" s="309"/>
      <c r="I2294" s="48"/>
      <c r="J2294" s="91"/>
      <c r="K2294" s="330"/>
      <c r="L2294" s="330"/>
      <c r="M2294" s="330"/>
      <c r="N2294" s="330"/>
      <c r="O2294" s="330"/>
      <c r="P2294" s="330"/>
      <c r="Q2294" s="330"/>
      <c r="R2294" s="330"/>
      <c r="S2294" s="330"/>
      <c r="T2294" s="330"/>
      <c r="U2294" s="330"/>
      <c r="V2294" s="330"/>
      <c r="W2294" s="330"/>
      <c r="X2294" s="330"/>
      <c r="Y2294" s="330"/>
      <c r="Z2294" s="330"/>
    </row>
    <row r="2295" ht="33.75" customHeight="1">
      <c r="A2295" s="44"/>
      <c r="B2295" s="351"/>
      <c r="C2295" s="352"/>
      <c r="D2295" s="352"/>
      <c r="E2295" s="323"/>
      <c r="F2295" s="46"/>
      <c r="G2295" s="327"/>
      <c r="H2295" s="309"/>
      <c r="I2295" s="48"/>
      <c r="J2295" s="91"/>
      <c r="K2295" s="330"/>
      <c r="L2295" s="330"/>
      <c r="M2295" s="330"/>
      <c r="N2295" s="330"/>
      <c r="O2295" s="330"/>
      <c r="P2295" s="330"/>
      <c r="Q2295" s="330"/>
      <c r="R2295" s="330"/>
      <c r="S2295" s="330"/>
      <c r="T2295" s="330"/>
      <c r="U2295" s="330"/>
      <c r="V2295" s="330"/>
      <c r="W2295" s="330"/>
      <c r="X2295" s="330"/>
      <c r="Y2295" s="330"/>
      <c r="Z2295" s="330"/>
    </row>
    <row r="2296" ht="33.75" customHeight="1">
      <c r="A2296" s="44"/>
      <c r="B2296" s="351"/>
      <c r="C2296" s="352"/>
      <c r="D2296" s="352"/>
      <c r="E2296" s="323"/>
      <c r="F2296" s="46"/>
      <c r="G2296" s="327"/>
      <c r="H2296" s="309"/>
      <c r="I2296" s="48"/>
      <c r="J2296" s="91"/>
      <c r="K2296" s="330"/>
      <c r="L2296" s="330"/>
      <c r="M2296" s="330"/>
      <c r="N2296" s="330"/>
      <c r="O2296" s="330"/>
      <c r="P2296" s="330"/>
      <c r="Q2296" s="330"/>
      <c r="R2296" s="330"/>
      <c r="S2296" s="330"/>
      <c r="T2296" s="330"/>
      <c r="U2296" s="330"/>
      <c r="V2296" s="330"/>
      <c r="W2296" s="330"/>
      <c r="X2296" s="330"/>
      <c r="Y2296" s="330"/>
      <c r="Z2296" s="330"/>
    </row>
    <row r="2297" ht="33.75" customHeight="1">
      <c r="A2297" s="44"/>
      <c r="B2297" s="351"/>
      <c r="C2297" s="352"/>
      <c r="D2297" s="352"/>
      <c r="E2297" s="323"/>
      <c r="F2297" s="46"/>
      <c r="G2297" s="327"/>
      <c r="H2297" s="309"/>
      <c r="I2297" s="48"/>
      <c r="J2297" s="91"/>
      <c r="K2297" s="330"/>
      <c r="L2297" s="330"/>
      <c r="M2297" s="330"/>
      <c r="N2297" s="330"/>
      <c r="O2297" s="330"/>
      <c r="P2297" s="330"/>
      <c r="Q2297" s="330"/>
      <c r="R2297" s="330"/>
      <c r="S2297" s="330"/>
      <c r="T2297" s="330"/>
      <c r="U2297" s="330"/>
      <c r="V2297" s="330"/>
      <c r="W2297" s="330"/>
      <c r="X2297" s="330"/>
      <c r="Y2297" s="330"/>
      <c r="Z2297" s="330"/>
    </row>
    <row r="2298" ht="33.75" customHeight="1">
      <c r="A2298" s="44"/>
      <c r="B2298" s="351"/>
      <c r="C2298" s="352"/>
      <c r="D2298" s="352"/>
      <c r="E2298" s="323"/>
      <c r="F2298" s="46"/>
      <c r="G2298" s="327"/>
      <c r="H2298" s="309"/>
      <c r="I2298" s="48"/>
      <c r="J2298" s="91"/>
      <c r="K2298" s="330"/>
      <c r="L2298" s="330"/>
      <c r="M2298" s="330"/>
      <c r="N2298" s="330"/>
      <c r="O2298" s="330"/>
      <c r="P2298" s="330"/>
      <c r="Q2298" s="330"/>
      <c r="R2298" s="330"/>
      <c r="S2298" s="330"/>
      <c r="T2298" s="330"/>
      <c r="U2298" s="330"/>
      <c r="V2298" s="330"/>
      <c r="W2298" s="330"/>
      <c r="X2298" s="330"/>
      <c r="Y2298" s="330"/>
      <c r="Z2298" s="330"/>
    </row>
    <row r="2299" ht="33.75" customHeight="1">
      <c r="A2299" s="44"/>
      <c r="B2299" s="351"/>
      <c r="C2299" s="352"/>
      <c r="D2299" s="352"/>
      <c r="E2299" s="323"/>
      <c r="F2299" s="46"/>
      <c r="G2299" s="327"/>
      <c r="H2299" s="309"/>
      <c r="I2299" s="48"/>
      <c r="J2299" s="91"/>
      <c r="K2299" s="330"/>
      <c r="L2299" s="330"/>
      <c r="M2299" s="330"/>
      <c r="N2299" s="330"/>
      <c r="O2299" s="330"/>
      <c r="P2299" s="330"/>
      <c r="Q2299" s="330"/>
      <c r="R2299" s="330"/>
      <c r="S2299" s="330"/>
      <c r="T2299" s="330"/>
      <c r="U2299" s="330"/>
      <c r="V2299" s="330"/>
      <c r="W2299" s="330"/>
      <c r="X2299" s="330"/>
      <c r="Y2299" s="330"/>
      <c r="Z2299" s="330"/>
    </row>
    <row r="2300" ht="33.75" customHeight="1">
      <c r="A2300" s="44"/>
      <c r="B2300" s="351"/>
      <c r="C2300" s="352"/>
      <c r="D2300" s="352"/>
      <c r="E2300" s="323"/>
      <c r="F2300" s="46"/>
      <c r="G2300" s="327"/>
      <c r="H2300" s="309"/>
      <c r="I2300" s="48"/>
      <c r="J2300" s="91"/>
      <c r="K2300" s="330"/>
      <c r="L2300" s="330"/>
      <c r="M2300" s="330"/>
      <c r="N2300" s="330"/>
      <c r="O2300" s="330"/>
      <c r="P2300" s="330"/>
      <c r="Q2300" s="330"/>
      <c r="R2300" s="330"/>
      <c r="S2300" s="330"/>
      <c r="T2300" s="330"/>
      <c r="U2300" s="330"/>
      <c r="V2300" s="330"/>
      <c r="W2300" s="330"/>
      <c r="X2300" s="330"/>
      <c r="Y2300" s="330"/>
      <c r="Z2300" s="330"/>
    </row>
    <row r="2301" ht="33.75" customHeight="1">
      <c r="A2301" s="44"/>
      <c r="B2301" s="351"/>
      <c r="C2301" s="352"/>
      <c r="D2301" s="352"/>
      <c r="E2301" s="323"/>
      <c r="F2301" s="46"/>
      <c r="G2301" s="327"/>
      <c r="H2301" s="309"/>
      <c r="I2301" s="48"/>
      <c r="J2301" s="91"/>
      <c r="K2301" s="330"/>
      <c r="L2301" s="330"/>
      <c r="M2301" s="330"/>
      <c r="N2301" s="330"/>
      <c r="O2301" s="330"/>
      <c r="P2301" s="330"/>
      <c r="Q2301" s="330"/>
      <c r="R2301" s="330"/>
      <c r="S2301" s="330"/>
      <c r="T2301" s="330"/>
      <c r="U2301" s="330"/>
      <c r="V2301" s="330"/>
      <c r="W2301" s="330"/>
      <c r="X2301" s="330"/>
      <c r="Y2301" s="330"/>
      <c r="Z2301" s="330"/>
    </row>
    <row r="2302" ht="33.75" customHeight="1">
      <c r="A2302" s="44"/>
      <c r="B2302" s="351"/>
      <c r="C2302" s="352"/>
      <c r="D2302" s="352"/>
      <c r="E2302" s="323"/>
      <c r="F2302" s="46"/>
      <c r="G2302" s="327"/>
      <c r="H2302" s="309"/>
      <c r="I2302" s="48"/>
      <c r="J2302" s="91"/>
      <c r="K2302" s="330"/>
      <c r="L2302" s="330"/>
      <c r="M2302" s="330"/>
      <c r="N2302" s="330"/>
      <c r="O2302" s="330"/>
      <c r="P2302" s="330"/>
      <c r="Q2302" s="330"/>
      <c r="R2302" s="330"/>
      <c r="S2302" s="330"/>
      <c r="T2302" s="330"/>
      <c r="U2302" s="330"/>
      <c r="V2302" s="330"/>
      <c r="W2302" s="330"/>
      <c r="X2302" s="330"/>
      <c r="Y2302" s="330"/>
      <c r="Z2302" s="330"/>
    </row>
    <row r="2303" ht="33.75" customHeight="1">
      <c r="A2303" s="44"/>
      <c r="B2303" s="351"/>
      <c r="C2303" s="352"/>
      <c r="D2303" s="352"/>
      <c r="E2303" s="323"/>
      <c r="F2303" s="46"/>
      <c r="G2303" s="327"/>
      <c r="H2303" s="309"/>
      <c r="I2303" s="48"/>
      <c r="J2303" s="91"/>
      <c r="K2303" s="330"/>
      <c r="L2303" s="330"/>
      <c r="M2303" s="330"/>
      <c r="N2303" s="330"/>
      <c r="O2303" s="330"/>
      <c r="P2303" s="330"/>
      <c r="Q2303" s="330"/>
      <c r="R2303" s="330"/>
      <c r="S2303" s="330"/>
      <c r="T2303" s="330"/>
      <c r="U2303" s="330"/>
      <c r="V2303" s="330"/>
      <c r="W2303" s="330"/>
      <c r="X2303" s="330"/>
      <c r="Y2303" s="330"/>
      <c r="Z2303" s="330"/>
    </row>
    <row r="2304" ht="33.75" customHeight="1">
      <c r="A2304" s="44"/>
      <c r="B2304" s="351"/>
      <c r="C2304" s="352"/>
      <c r="D2304" s="352"/>
      <c r="E2304" s="323"/>
      <c r="F2304" s="46"/>
      <c r="G2304" s="327"/>
      <c r="H2304" s="309"/>
      <c r="I2304" s="48"/>
      <c r="J2304" s="91"/>
      <c r="K2304" s="330"/>
      <c r="L2304" s="330"/>
      <c r="M2304" s="330"/>
      <c r="N2304" s="330"/>
      <c r="O2304" s="330"/>
      <c r="P2304" s="330"/>
      <c r="Q2304" s="330"/>
      <c r="R2304" s="330"/>
      <c r="S2304" s="330"/>
      <c r="T2304" s="330"/>
      <c r="U2304" s="330"/>
      <c r="V2304" s="330"/>
      <c r="W2304" s="330"/>
      <c r="X2304" s="330"/>
      <c r="Y2304" s="330"/>
      <c r="Z2304" s="330"/>
    </row>
    <row r="2305" ht="33.75" customHeight="1">
      <c r="A2305" s="44"/>
      <c r="B2305" s="351"/>
      <c r="C2305" s="352"/>
      <c r="D2305" s="352"/>
      <c r="E2305" s="323"/>
      <c r="F2305" s="46"/>
      <c r="G2305" s="327"/>
      <c r="H2305" s="309"/>
      <c r="I2305" s="48"/>
      <c r="J2305" s="91"/>
      <c r="K2305" s="330"/>
      <c r="L2305" s="330"/>
      <c r="M2305" s="330"/>
      <c r="N2305" s="330"/>
      <c r="O2305" s="330"/>
      <c r="P2305" s="330"/>
      <c r="Q2305" s="330"/>
      <c r="R2305" s="330"/>
      <c r="S2305" s="330"/>
      <c r="T2305" s="330"/>
      <c r="U2305" s="330"/>
      <c r="V2305" s="330"/>
      <c r="W2305" s="330"/>
      <c r="X2305" s="330"/>
      <c r="Y2305" s="330"/>
      <c r="Z2305" s="330"/>
    </row>
    <row r="2306" ht="33.75" customHeight="1">
      <c r="A2306" s="44"/>
      <c r="B2306" s="351"/>
      <c r="C2306" s="352"/>
      <c r="D2306" s="352"/>
      <c r="E2306" s="323"/>
      <c r="F2306" s="46"/>
      <c r="G2306" s="327"/>
      <c r="H2306" s="309"/>
      <c r="I2306" s="48"/>
      <c r="J2306" s="91"/>
      <c r="K2306" s="330"/>
      <c r="L2306" s="330"/>
      <c r="M2306" s="330"/>
      <c r="N2306" s="330"/>
      <c r="O2306" s="330"/>
      <c r="P2306" s="330"/>
      <c r="Q2306" s="330"/>
      <c r="R2306" s="330"/>
      <c r="S2306" s="330"/>
      <c r="T2306" s="330"/>
      <c r="U2306" s="330"/>
      <c r="V2306" s="330"/>
      <c r="W2306" s="330"/>
      <c r="X2306" s="330"/>
      <c r="Y2306" s="330"/>
      <c r="Z2306" s="330"/>
    </row>
    <row r="2307" ht="33.75" customHeight="1">
      <c r="A2307" s="44"/>
      <c r="B2307" s="351"/>
      <c r="C2307" s="352"/>
      <c r="D2307" s="352"/>
      <c r="E2307" s="323"/>
      <c r="F2307" s="46"/>
      <c r="G2307" s="327"/>
      <c r="H2307" s="309"/>
      <c r="I2307" s="48"/>
      <c r="J2307" s="91"/>
      <c r="K2307" s="330"/>
      <c r="L2307" s="330"/>
      <c r="M2307" s="330"/>
      <c r="N2307" s="330"/>
      <c r="O2307" s="330"/>
      <c r="P2307" s="330"/>
      <c r="Q2307" s="330"/>
      <c r="R2307" s="330"/>
      <c r="S2307" s="330"/>
      <c r="T2307" s="330"/>
      <c r="U2307" s="330"/>
      <c r="V2307" s="330"/>
      <c r="W2307" s="330"/>
      <c r="X2307" s="330"/>
      <c r="Y2307" s="330"/>
      <c r="Z2307" s="330"/>
    </row>
    <row r="2308" ht="33.75" customHeight="1">
      <c r="A2308" s="44"/>
      <c r="B2308" s="351"/>
      <c r="C2308" s="352"/>
      <c r="D2308" s="352"/>
      <c r="E2308" s="323"/>
      <c r="F2308" s="46"/>
      <c r="G2308" s="327"/>
      <c r="H2308" s="309"/>
      <c r="I2308" s="48"/>
      <c r="J2308" s="91"/>
      <c r="K2308" s="330"/>
      <c r="L2308" s="330"/>
      <c r="M2308" s="330"/>
      <c r="N2308" s="330"/>
      <c r="O2308" s="330"/>
      <c r="P2308" s="330"/>
      <c r="Q2308" s="330"/>
      <c r="R2308" s="330"/>
      <c r="S2308" s="330"/>
      <c r="T2308" s="330"/>
      <c r="U2308" s="330"/>
      <c r="V2308" s="330"/>
      <c r="W2308" s="330"/>
      <c r="X2308" s="330"/>
      <c r="Y2308" s="330"/>
      <c r="Z2308" s="330"/>
    </row>
    <row r="2309" ht="33.75" customHeight="1">
      <c r="A2309" s="44"/>
      <c r="B2309" s="351"/>
      <c r="C2309" s="352"/>
      <c r="D2309" s="352"/>
      <c r="E2309" s="323"/>
      <c r="F2309" s="46"/>
      <c r="G2309" s="327"/>
      <c r="H2309" s="309"/>
      <c r="I2309" s="48"/>
      <c r="J2309" s="91"/>
      <c r="K2309" s="330"/>
      <c r="L2309" s="330"/>
      <c r="M2309" s="330"/>
      <c r="N2309" s="330"/>
      <c r="O2309" s="330"/>
      <c r="P2309" s="330"/>
      <c r="Q2309" s="330"/>
      <c r="R2309" s="330"/>
      <c r="S2309" s="330"/>
      <c r="T2309" s="330"/>
      <c r="U2309" s="330"/>
      <c r="V2309" s="330"/>
      <c r="W2309" s="330"/>
      <c r="X2309" s="330"/>
      <c r="Y2309" s="330"/>
      <c r="Z2309" s="330"/>
    </row>
    <row r="2310" ht="33.75" customHeight="1">
      <c r="A2310" s="44"/>
      <c r="B2310" s="351"/>
      <c r="C2310" s="352"/>
      <c r="D2310" s="352"/>
      <c r="E2310" s="323"/>
      <c r="F2310" s="46"/>
      <c r="G2310" s="327"/>
      <c r="H2310" s="309"/>
      <c r="I2310" s="48"/>
      <c r="J2310" s="91"/>
      <c r="K2310" s="330"/>
      <c r="L2310" s="330"/>
      <c r="M2310" s="330"/>
      <c r="N2310" s="330"/>
      <c r="O2310" s="330"/>
      <c r="P2310" s="330"/>
      <c r="Q2310" s="330"/>
      <c r="R2310" s="330"/>
      <c r="S2310" s="330"/>
      <c r="T2310" s="330"/>
      <c r="U2310" s="330"/>
      <c r="V2310" s="330"/>
      <c r="W2310" s="330"/>
      <c r="X2310" s="330"/>
      <c r="Y2310" s="330"/>
      <c r="Z2310" s="330"/>
    </row>
    <row r="2311" ht="33.75" customHeight="1">
      <c r="A2311" s="44"/>
      <c r="B2311" s="351"/>
      <c r="C2311" s="352"/>
      <c r="D2311" s="352"/>
      <c r="E2311" s="323"/>
      <c r="F2311" s="46"/>
      <c r="G2311" s="327"/>
      <c r="H2311" s="309"/>
      <c r="I2311" s="48"/>
      <c r="J2311" s="91"/>
      <c r="K2311" s="330"/>
      <c r="L2311" s="330"/>
      <c r="M2311" s="330"/>
      <c r="N2311" s="330"/>
      <c r="O2311" s="330"/>
      <c r="P2311" s="330"/>
      <c r="Q2311" s="330"/>
      <c r="R2311" s="330"/>
      <c r="S2311" s="330"/>
      <c r="T2311" s="330"/>
      <c r="U2311" s="330"/>
      <c r="V2311" s="330"/>
      <c r="W2311" s="330"/>
      <c r="X2311" s="330"/>
      <c r="Y2311" s="330"/>
      <c r="Z2311" s="330"/>
    </row>
    <row r="2312" ht="33.75" customHeight="1">
      <c r="A2312" s="44"/>
      <c r="B2312" s="351"/>
      <c r="C2312" s="352"/>
      <c r="D2312" s="352"/>
      <c r="E2312" s="323"/>
      <c r="F2312" s="46"/>
      <c r="G2312" s="327"/>
      <c r="H2312" s="309"/>
      <c r="I2312" s="48"/>
      <c r="J2312" s="91"/>
      <c r="K2312" s="330"/>
      <c r="L2312" s="330"/>
      <c r="M2312" s="330"/>
      <c r="N2312" s="330"/>
      <c r="O2312" s="330"/>
      <c r="P2312" s="330"/>
      <c r="Q2312" s="330"/>
      <c r="R2312" s="330"/>
      <c r="S2312" s="330"/>
      <c r="T2312" s="330"/>
      <c r="U2312" s="330"/>
      <c r="V2312" s="330"/>
      <c r="W2312" s="330"/>
      <c r="X2312" s="330"/>
      <c r="Y2312" s="330"/>
      <c r="Z2312" s="330"/>
    </row>
    <row r="2313" ht="33.75" customHeight="1">
      <c r="A2313" s="44"/>
      <c r="B2313" s="351"/>
      <c r="C2313" s="352"/>
      <c r="D2313" s="352"/>
      <c r="E2313" s="323"/>
      <c r="F2313" s="46"/>
      <c r="G2313" s="327"/>
      <c r="H2313" s="309"/>
      <c r="I2313" s="48"/>
      <c r="J2313" s="91"/>
      <c r="K2313" s="330"/>
      <c r="L2313" s="330"/>
      <c r="M2313" s="330"/>
      <c r="N2313" s="330"/>
      <c r="O2313" s="330"/>
      <c r="P2313" s="330"/>
      <c r="Q2313" s="330"/>
      <c r="R2313" s="330"/>
      <c r="S2313" s="330"/>
      <c r="T2313" s="330"/>
      <c r="U2313" s="330"/>
      <c r="V2313" s="330"/>
      <c r="W2313" s="330"/>
      <c r="X2313" s="330"/>
      <c r="Y2313" s="330"/>
      <c r="Z2313" s="330"/>
    </row>
    <row r="2314" ht="33.75" customHeight="1">
      <c r="A2314" s="44"/>
      <c r="B2314" s="351"/>
      <c r="C2314" s="352"/>
      <c r="D2314" s="352"/>
      <c r="E2314" s="323"/>
      <c r="F2314" s="46"/>
      <c r="G2314" s="327"/>
      <c r="H2314" s="309"/>
      <c r="I2314" s="48"/>
      <c r="J2314" s="91"/>
      <c r="K2314" s="330"/>
      <c r="L2314" s="330"/>
      <c r="M2314" s="330"/>
      <c r="N2314" s="330"/>
      <c r="O2314" s="330"/>
      <c r="P2314" s="330"/>
      <c r="Q2314" s="330"/>
      <c r="R2314" s="330"/>
      <c r="S2314" s="330"/>
      <c r="T2314" s="330"/>
      <c r="U2314" s="330"/>
      <c r="V2314" s="330"/>
      <c r="W2314" s="330"/>
      <c r="X2314" s="330"/>
      <c r="Y2314" s="330"/>
      <c r="Z2314" s="330"/>
    </row>
    <row r="2315" ht="33.75" customHeight="1">
      <c r="A2315" s="44"/>
      <c r="B2315" s="331"/>
      <c r="C2315" s="44"/>
      <c r="D2315" s="322"/>
      <c r="E2315" s="323"/>
      <c r="F2315" s="46"/>
      <c r="G2315" s="327"/>
      <c r="H2315" s="309"/>
      <c r="I2315" s="48"/>
      <c r="J2315" s="91"/>
      <c r="K2315" s="330"/>
      <c r="L2315" s="330"/>
      <c r="M2315" s="330"/>
      <c r="N2315" s="330"/>
      <c r="O2315" s="330"/>
      <c r="P2315" s="330"/>
      <c r="Q2315" s="330"/>
      <c r="R2315" s="330"/>
      <c r="S2315" s="330"/>
      <c r="T2315" s="330"/>
      <c r="U2315" s="330"/>
      <c r="V2315" s="330"/>
      <c r="W2315" s="330"/>
      <c r="X2315" s="330"/>
      <c r="Y2315" s="330"/>
      <c r="Z2315" s="330"/>
    </row>
  </sheetData>
  <autoFilter ref="$A$1:$J$1662"/>
  <mergeCells count="3">
    <mergeCell ref="A1:J1"/>
    <mergeCell ref="B235:B236"/>
    <mergeCell ref="B237:B240"/>
  </mergeCells>
  <conditionalFormatting sqref="J3:Z10">
    <cfRule type="cellIs" dxfId="0" priority="1" operator="equal">
      <formula>"Disparado"</formula>
    </cfRule>
  </conditionalFormatting>
  <conditionalFormatting sqref="A164:D164 F164:I164 J164:Z165">
    <cfRule type="notContainsBlanks" dxfId="0" priority="2">
      <formula>LEN(TRIM(A164))&gt;0</formula>
    </cfRule>
  </conditionalFormatting>
  <dataValidations>
    <dataValidation type="list" allowBlank="1" showErrorMessage="1" sqref="F3:F400 F402:F2315">
      <formula1>'Responsavel Pelo Disparo'!$A$1:$A$12</formula1>
    </dataValidation>
    <dataValidation type="list" allowBlank="1" showErrorMessage="1" sqref="A3:A861 A863:A964 A971:A1045 A1047:A2007 A2009:A2174 A2182:A2194 A2196:A2265 A2267:A2315">
      <formula1>Clientes!$A$2:$A$791</formula1>
    </dataValidation>
  </dataValidation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/>
    </row>
    <row r="2">
      <c r="A2" s="1" t="s">
        <v>2966</v>
      </c>
      <c r="B2" s="1" t="s">
        <v>2967</v>
      </c>
      <c r="C2" s="1" t="s">
        <v>2968</v>
      </c>
    </row>
    <row r="3">
      <c r="A3" s="418">
        <v>46075.0</v>
      </c>
      <c r="B3" s="1" t="s">
        <v>2969</v>
      </c>
      <c r="C3" s="419" t="str">
        <f>SOMASES(Disparo!$C:$C;Data
 do Disparo!$B:$B;$A2;Responsável 
do Disparo!$A:$A;B$1)</f>
        <v>#ERROR!</v>
      </c>
    </row>
    <row r="4">
      <c r="A4" s="418">
        <v>46075.0</v>
      </c>
      <c r="B4" s="1" t="s">
        <v>287</v>
      </c>
    </row>
    <row r="5">
      <c r="A5" s="418">
        <v>46075.0</v>
      </c>
      <c r="B5" s="1" t="s">
        <v>1133</v>
      </c>
    </row>
    <row r="6">
      <c r="A6" s="418">
        <v>46075.0</v>
      </c>
      <c r="B6" s="1" t="s">
        <v>1141</v>
      </c>
    </row>
    <row r="7">
      <c r="A7" s="418">
        <v>46075.0</v>
      </c>
      <c r="B7" s="1" t="s">
        <v>1191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2.13"/>
    <col customWidth="1" min="2" max="26" width="8.63"/>
  </cols>
  <sheetData>
    <row r="1" ht="30.75" customHeight="1">
      <c r="A1" s="420" t="s">
        <v>2970</v>
      </c>
    </row>
    <row r="2" ht="23.25" customHeight="1">
      <c r="A2" s="421" t="s">
        <v>2971</v>
      </c>
    </row>
    <row r="3" ht="23.25" customHeight="1">
      <c r="A3" s="421" t="s">
        <v>366</v>
      </c>
    </row>
    <row r="4" ht="23.25" customHeight="1">
      <c r="A4" s="421" t="s">
        <v>40</v>
      </c>
    </row>
    <row r="5" ht="23.25" customHeight="1">
      <c r="A5" s="421" t="s">
        <v>228</v>
      </c>
    </row>
    <row r="6" ht="23.25" customHeight="1">
      <c r="A6" s="421" t="s">
        <v>2585</v>
      </c>
    </row>
    <row r="7" ht="23.25" customHeight="1">
      <c r="A7" s="421" t="s">
        <v>135</v>
      </c>
    </row>
    <row r="8" ht="23.25" customHeight="1">
      <c r="A8" s="421" t="s">
        <v>340</v>
      </c>
    </row>
    <row r="9" ht="23.25" customHeight="1">
      <c r="A9" s="421" t="s">
        <v>343</v>
      </c>
    </row>
    <row r="10" ht="23.25" customHeight="1">
      <c r="A10" s="421" t="s">
        <v>2972</v>
      </c>
    </row>
    <row r="11" ht="23.25" customHeight="1">
      <c r="A11" s="421" t="s">
        <v>268</v>
      </c>
    </row>
    <row r="12" ht="23.25" customHeight="1">
      <c r="A12" s="421" t="s">
        <v>270</v>
      </c>
    </row>
    <row r="13" ht="23.25" customHeight="1">
      <c r="A13" s="422" t="s">
        <v>266</v>
      </c>
    </row>
    <row r="14" ht="23.25" customHeight="1">
      <c r="A14" s="421" t="s">
        <v>180</v>
      </c>
    </row>
    <row r="15" ht="23.25" customHeight="1">
      <c r="A15" s="422" t="s">
        <v>2973</v>
      </c>
    </row>
    <row r="16" ht="23.25" customHeight="1">
      <c r="A16" s="421" t="s">
        <v>391</v>
      </c>
    </row>
    <row r="17" ht="23.25" customHeight="1">
      <c r="A17" s="421" t="s">
        <v>813</v>
      </c>
    </row>
    <row r="18" ht="23.25" customHeight="1">
      <c r="A18" s="421" t="s">
        <v>524</v>
      </c>
    </row>
    <row r="19" ht="23.25" customHeight="1">
      <c r="A19" s="422" t="s">
        <v>69</v>
      </c>
    </row>
    <row r="20" ht="23.25" customHeight="1">
      <c r="A20" s="421" t="s">
        <v>139</v>
      </c>
    </row>
    <row r="21" ht="23.25" customHeight="1">
      <c r="A21" s="421" t="s">
        <v>65</v>
      </c>
    </row>
    <row r="22" ht="23.25" customHeight="1">
      <c r="A22" s="421" t="s">
        <v>2974</v>
      </c>
    </row>
    <row r="23" ht="23.25" customHeight="1">
      <c r="A23" s="422" t="s">
        <v>28</v>
      </c>
    </row>
    <row r="24" ht="23.25" customHeight="1">
      <c r="A24" s="421" t="s">
        <v>297</v>
      </c>
    </row>
    <row r="25" ht="23.25" customHeight="1">
      <c r="A25" s="421" t="s">
        <v>194</v>
      </c>
    </row>
    <row r="26" ht="23.25" customHeight="1">
      <c r="A26" s="421" t="s">
        <v>368</v>
      </c>
    </row>
    <row r="27" ht="23.25" customHeight="1">
      <c r="A27" s="422" t="s">
        <v>43</v>
      </c>
    </row>
    <row r="28" ht="23.25" customHeight="1">
      <c r="A28" s="421" t="s">
        <v>152</v>
      </c>
    </row>
    <row r="29" ht="23.25" customHeight="1">
      <c r="A29" s="422" t="s">
        <v>54</v>
      </c>
    </row>
    <row r="30" ht="23.25" customHeight="1">
      <c r="A30" s="421" t="s">
        <v>210</v>
      </c>
    </row>
    <row r="31" ht="23.25" customHeight="1">
      <c r="A31" s="421" t="s">
        <v>369</v>
      </c>
    </row>
    <row r="32" ht="23.25" customHeight="1">
      <c r="A32" s="421" t="s">
        <v>446</v>
      </c>
    </row>
    <row r="33" ht="23.25" customHeight="1">
      <c r="A33" s="421" t="s">
        <v>2975</v>
      </c>
    </row>
    <row r="34" ht="23.25" customHeight="1">
      <c r="A34" s="421" t="s">
        <v>167</v>
      </c>
    </row>
    <row r="35" ht="23.25" customHeight="1">
      <c r="A35" s="421" t="s">
        <v>243</v>
      </c>
    </row>
    <row r="36" ht="23.25" customHeight="1">
      <c r="A36" s="421" t="s">
        <v>432</v>
      </c>
    </row>
    <row r="37" ht="23.25" customHeight="1">
      <c r="A37" s="421" t="s">
        <v>188</v>
      </c>
    </row>
    <row r="38" ht="23.25" customHeight="1">
      <c r="A38" s="421" t="s">
        <v>559</v>
      </c>
    </row>
    <row r="39" ht="23.25" customHeight="1">
      <c r="A39" s="421" t="s">
        <v>87</v>
      </c>
    </row>
    <row r="40" ht="23.25" customHeight="1">
      <c r="A40" s="421" t="s">
        <v>509</v>
      </c>
    </row>
    <row r="41" ht="23.25" customHeight="1">
      <c r="A41" s="421" t="s">
        <v>61</v>
      </c>
    </row>
    <row r="42" ht="23.25" customHeight="1">
      <c r="A42" s="421" t="s">
        <v>489</v>
      </c>
    </row>
    <row r="43" ht="23.25" customHeight="1">
      <c r="A43" s="422" t="s">
        <v>2976</v>
      </c>
    </row>
    <row r="44" ht="23.25" customHeight="1">
      <c r="A44" s="422" t="s">
        <v>2195</v>
      </c>
    </row>
    <row r="45" ht="23.25" customHeight="1">
      <c r="A45" s="421" t="s">
        <v>2977</v>
      </c>
    </row>
    <row r="46" ht="23.25" customHeight="1">
      <c r="A46" s="421" t="s">
        <v>370</v>
      </c>
    </row>
    <row r="47" ht="23.25" customHeight="1">
      <c r="A47" s="421" t="s">
        <v>371</v>
      </c>
    </row>
    <row r="48" ht="23.25" customHeight="1">
      <c r="A48" s="422" t="s">
        <v>46</v>
      </c>
    </row>
    <row r="49" ht="23.25" customHeight="1">
      <c r="A49" s="421" t="s">
        <v>305</v>
      </c>
    </row>
    <row r="50" ht="23.25" customHeight="1">
      <c r="A50" s="422" t="s">
        <v>2978</v>
      </c>
    </row>
    <row r="51" ht="23.25" customHeight="1">
      <c r="A51" s="422" t="s">
        <v>2979</v>
      </c>
    </row>
    <row r="52" ht="23.25" customHeight="1">
      <c r="A52" s="422" t="s">
        <v>2980</v>
      </c>
    </row>
    <row r="53" ht="23.25" customHeight="1">
      <c r="A53" s="421" t="s">
        <v>372</v>
      </c>
    </row>
    <row r="54" ht="23.25" customHeight="1">
      <c r="A54" s="422" t="s">
        <v>230</v>
      </c>
    </row>
    <row r="55" ht="23.25" customHeight="1">
      <c r="A55" s="421" t="s">
        <v>412</v>
      </c>
    </row>
    <row r="56" ht="23.25" customHeight="1">
      <c r="A56" s="421" t="s">
        <v>58</v>
      </c>
    </row>
    <row r="57" ht="23.25" customHeight="1">
      <c r="A57" s="421" t="s">
        <v>119</v>
      </c>
    </row>
    <row r="58" ht="23.25" customHeight="1">
      <c r="A58" s="421" t="s">
        <v>36</v>
      </c>
    </row>
    <row r="59" ht="23.25" customHeight="1">
      <c r="A59" s="421" t="s">
        <v>407</v>
      </c>
    </row>
    <row r="60" ht="23.25" customHeight="1">
      <c r="A60" s="421" t="s">
        <v>671</v>
      </c>
    </row>
    <row r="61" ht="23.25" customHeight="1">
      <c r="A61" s="421" t="s">
        <v>2981</v>
      </c>
    </row>
    <row r="62" ht="23.25" customHeight="1">
      <c r="A62" s="422" t="s">
        <v>14</v>
      </c>
    </row>
    <row r="63" ht="23.25" customHeight="1">
      <c r="A63" s="421" t="s">
        <v>555</v>
      </c>
    </row>
    <row r="64" ht="23.25" customHeight="1">
      <c r="A64" s="421" t="s">
        <v>24</v>
      </c>
    </row>
    <row r="65" ht="23.25" customHeight="1">
      <c r="A65" s="422" t="s">
        <v>101</v>
      </c>
    </row>
    <row r="66" ht="23.25" customHeight="1">
      <c r="A66" s="421" t="s">
        <v>288</v>
      </c>
    </row>
    <row r="67" ht="23.25" customHeight="1">
      <c r="A67" s="421" t="s">
        <v>500</v>
      </c>
    </row>
    <row r="68" ht="23.25" customHeight="1">
      <c r="A68" s="421" t="s">
        <v>157</v>
      </c>
    </row>
    <row r="69" ht="23.25" customHeight="1">
      <c r="A69" s="421" t="s">
        <v>469</v>
      </c>
    </row>
    <row r="70" ht="23.25" customHeight="1">
      <c r="A70" s="422" t="s">
        <v>2982</v>
      </c>
    </row>
    <row r="71" ht="23.25" customHeight="1">
      <c r="A71" s="421" t="s">
        <v>436</v>
      </c>
    </row>
    <row r="72" ht="23.25" customHeight="1">
      <c r="A72" s="421" t="s">
        <v>440</v>
      </c>
    </row>
    <row r="73" ht="23.25" customHeight="1">
      <c r="A73" s="421" t="s">
        <v>445</v>
      </c>
    </row>
    <row r="74" ht="23.25" customHeight="1">
      <c r="A74" s="421" t="s">
        <v>216</v>
      </c>
    </row>
    <row r="75" ht="23.25" customHeight="1">
      <c r="A75" s="421" t="s">
        <v>511</v>
      </c>
    </row>
    <row r="76" ht="23.25" customHeight="1">
      <c r="A76" s="421" t="s">
        <v>352</v>
      </c>
    </row>
    <row r="77" ht="23.25" customHeight="1">
      <c r="A77" s="421" t="s">
        <v>233</v>
      </c>
    </row>
    <row r="78" ht="23.25" customHeight="1">
      <c r="A78" s="421" t="s">
        <v>460</v>
      </c>
    </row>
    <row r="79" ht="23.25" customHeight="1">
      <c r="A79" s="421" t="s">
        <v>362</v>
      </c>
    </row>
    <row r="80" ht="23.25" customHeight="1">
      <c r="A80" s="421" t="s">
        <v>361</v>
      </c>
    </row>
    <row r="81" ht="23.25" customHeight="1">
      <c r="A81" s="421" t="s">
        <v>170</v>
      </c>
    </row>
    <row r="82" ht="23.25" customHeight="1">
      <c r="A82" s="421" t="s">
        <v>143</v>
      </c>
    </row>
    <row r="83" ht="23.25" customHeight="1">
      <c r="A83" s="421" t="s">
        <v>160</v>
      </c>
    </row>
    <row r="84" ht="23.25" customHeight="1">
      <c r="A84" s="421" t="s">
        <v>283</v>
      </c>
    </row>
    <row r="85" ht="23.25" customHeight="1">
      <c r="A85" s="421" t="s">
        <v>295</v>
      </c>
    </row>
    <row r="86" ht="23.25" customHeight="1">
      <c r="A86" s="421" t="s">
        <v>1462</v>
      </c>
    </row>
    <row r="87" ht="23.25" customHeight="1">
      <c r="A87" s="421" t="s">
        <v>328</v>
      </c>
    </row>
    <row r="88" ht="23.25" customHeight="1">
      <c r="A88" s="421" t="s">
        <v>73</v>
      </c>
    </row>
    <row r="89" ht="23.25" customHeight="1">
      <c r="A89" s="422" t="s">
        <v>1089</v>
      </c>
    </row>
    <row r="90" ht="23.25" customHeight="1">
      <c r="A90" s="421" t="s">
        <v>132</v>
      </c>
    </row>
    <row r="91" ht="23.25" customHeight="1">
      <c r="A91" s="423" t="s">
        <v>214</v>
      </c>
    </row>
    <row r="92" ht="23.25" customHeight="1">
      <c r="A92" s="421" t="s">
        <v>254</v>
      </c>
    </row>
    <row r="93" ht="23.25" customHeight="1">
      <c r="A93" s="421" t="s">
        <v>184</v>
      </c>
    </row>
    <row r="94" ht="23.25" customHeight="1">
      <c r="A94" s="421" t="s">
        <v>279</v>
      </c>
    </row>
    <row r="95" ht="23.25" customHeight="1">
      <c r="A95" s="421" t="s">
        <v>331</v>
      </c>
    </row>
    <row r="96" ht="23.25" customHeight="1">
      <c r="A96" s="421" t="s">
        <v>515</v>
      </c>
    </row>
    <row r="97" ht="23.25" customHeight="1">
      <c r="A97" s="421" t="s">
        <v>276</v>
      </c>
    </row>
    <row r="98" ht="23.25" customHeight="1">
      <c r="A98" s="421" t="s">
        <v>381</v>
      </c>
    </row>
    <row r="99" ht="23.25" customHeight="1">
      <c r="A99" s="421" t="s">
        <v>378</v>
      </c>
    </row>
    <row r="100" ht="23.25" customHeight="1">
      <c r="A100" s="421" t="s">
        <v>394</v>
      </c>
    </row>
    <row r="101" ht="23.25" customHeight="1">
      <c r="A101" s="421" t="s">
        <v>396</v>
      </c>
    </row>
    <row r="102" ht="23.25" customHeight="1">
      <c r="A102" s="421" t="s">
        <v>263</v>
      </c>
    </row>
    <row r="103" ht="23.25" customHeight="1">
      <c r="A103" s="421" t="s">
        <v>386</v>
      </c>
    </row>
    <row r="104" ht="23.25" customHeight="1">
      <c r="A104" s="421" t="s">
        <v>516</v>
      </c>
    </row>
    <row r="105" ht="23.25" customHeight="1">
      <c r="A105" s="421" t="s">
        <v>517</v>
      </c>
    </row>
    <row r="106" ht="23.25" customHeight="1">
      <c r="A106" s="421" t="s">
        <v>539</v>
      </c>
    </row>
    <row r="107" ht="23.25" customHeight="1">
      <c r="A107" s="421" t="s">
        <v>311</v>
      </c>
    </row>
    <row r="108" ht="23.25" customHeight="1">
      <c r="A108" s="422" t="s">
        <v>2983</v>
      </c>
    </row>
    <row r="109" ht="23.25" customHeight="1">
      <c r="A109" s="421" t="s">
        <v>124</v>
      </c>
    </row>
    <row r="110" ht="23.25" customHeight="1">
      <c r="A110" s="421" t="s">
        <v>424</v>
      </c>
    </row>
    <row r="111" ht="23.25" customHeight="1">
      <c r="A111" s="421" t="s">
        <v>1124</v>
      </c>
    </row>
    <row r="112" ht="23.25" customHeight="1">
      <c r="A112" s="421" t="s">
        <v>404</v>
      </c>
    </row>
    <row r="113" ht="23.25" customHeight="1">
      <c r="A113" s="421" t="s">
        <v>2984</v>
      </c>
    </row>
    <row r="114" ht="23.25" customHeight="1">
      <c r="A114" s="421" t="s">
        <v>224</v>
      </c>
    </row>
    <row r="115" ht="23.25" customHeight="1">
      <c r="A115" s="421" t="s">
        <v>1121</v>
      </c>
    </row>
    <row r="116" ht="23.25" customHeight="1">
      <c r="A116" s="421" t="s">
        <v>364</v>
      </c>
    </row>
    <row r="117" ht="23.25" customHeight="1">
      <c r="A117" s="421" t="s">
        <v>363</v>
      </c>
    </row>
    <row r="118" ht="23.25" customHeight="1">
      <c r="A118" s="421" t="s">
        <v>373</v>
      </c>
    </row>
    <row r="119" ht="23.25" customHeight="1">
      <c r="A119" s="422" t="s">
        <v>90</v>
      </c>
    </row>
    <row r="120" ht="23.25" customHeight="1">
      <c r="A120" s="421" t="s">
        <v>109</v>
      </c>
    </row>
    <row r="121" ht="23.25" customHeight="1">
      <c r="A121" s="421" t="s">
        <v>1004</v>
      </c>
    </row>
    <row r="122" ht="23.25" customHeight="1">
      <c r="A122" s="421" t="s">
        <v>107</v>
      </c>
    </row>
    <row r="123" ht="23.25" customHeight="1">
      <c r="A123" s="421" t="s">
        <v>1341</v>
      </c>
    </row>
    <row r="124" ht="23.25" customHeight="1">
      <c r="A124" s="421" t="s">
        <v>251</v>
      </c>
    </row>
    <row r="125" ht="23.25" customHeight="1">
      <c r="A125" s="421" t="s">
        <v>551</v>
      </c>
    </row>
    <row r="126" ht="23.25" customHeight="1">
      <c r="A126" s="421" t="s">
        <v>534</v>
      </c>
    </row>
    <row r="127" ht="23.25" customHeight="1">
      <c r="A127" s="421" t="s">
        <v>577</v>
      </c>
    </row>
    <row r="128" ht="23.25" customHeight="1">
      <c r="A128" s="421" t="s">
        <v>150</v>
      </c>
    </row>
    <row r="129" ht="23.25" customHeight="1">
      <c r="A129" s="421" t="s">
        <v>453</v>
      </c>
    </row>
    <row r="130" ht="23.25" customHeight="1">
      <c r="A130" s="421" t="s">
        <v>206</v>
      </c>
    </row>
    <row r="131" ht="23.25" customHeight="1">
      <c r="A131" s="421" t="s">
        <v>111</v>
      </c>
    </row>
    <row r="132" ht="23.25" customHeight="1">
      <c r="A132" s="421" t="s">
        <v>475</v>
      </c>
    </row>
    <row r="133" ht="23.25" customHeight="1">
      <c r="A133" s="421" t="s">
        <v>478</v>
      </c>
    </row>
    <row r="134" ht="23.25" customHeight="1">
      <c r="A134" s="421" t="s">
        <v>587</v>
      </c>
    </row>
    <row r="135" ht="23.25" customHeight="1">
      <c r="A135" s="421" t="s">
        <v>479</v>
      </c>
    </row>
    <row r="136" ht="23.25" customHeight="1">
      <c r="A136" s="421" t="s">
        <v>574</v>
      </c>
    </row>
    <row r="137" ht="23.25" customHeight="1">
      <c r="A137" s="421" t="s">
        <v>480</v>
      </c>
    </row>
    <row r="138" ht="23.25" customHeight="1">
      <c r="A138" s="421" t="s">
        <v>569</v>
      </c>
    </row>
    <row r="139" ht="23.25" customHeight="1">
      <c r="A139" s="421" t="s">
        <v>374</v>
      </c>
    </row>
    <row r="140" ht="23.25" customHeight="1">
      <c r="A140" s="422" t="s">
        <v>77</v>
      </c>
    </row>
    <row r="141" ht="23.25" customHeight="1">
      <c r="A141" s="421" t="s">
        <v>148</v>
      </c>
    </row>
    <row r="142" ht="23.25" customHeight="1">
      <c r="A142" s="421" t="s">
        <v>115</v>
      </c>
    </row>
    <row r="143" ht="23.25" customHeight="1">
      <c r="A143" s="421" t="s">
        <v>531</v>
      </c>
    </row>
    <row r="144" ht="23.25" customHeight="1">
      <c r="A144" s="421" t="s">
        <v>80</v>
      </c>
    </row>
    <row r="145" ht="23.25" customHeight="1">
      <c r="A145" s="421" t="s">
        <v>84</v>
      </c>
    </row>
    <row r="146" ht="23.25" customHeight="1">
      <c r="A146" s="421" t="s">
        <v>570</v>
      </c>
    </row>
    <row r="147" ht="23.25" customHeight="1">
      <c r="A147" s="421" t="s">
        <v>575</v>
      </c>
    </row>
    <row r="148" ht="23.25" customHeight="1">
      <c r="A148" s="421" t="s">
        <v>586</v>
      </c>
    </row>
    <row r="149" ht="23.25" customHeight="1">
      <c r="A149" s="421" t="s">
        <v>583</v>
      </c>
    </row>
    <row r="150" ht="23.25" customHeight="1">
      <c r="A150" s="421" t="s">
        <v>591</v>
      </c>
    </row>
    <row r="151" ht="23.25" customHeight="1">
      <c r="A151" s="421" t="s">
        <v>595</v>
      </c>
    </row>
    <row r="152" ht="23.25" customHeight="1">
      <c r="A152" s="421" t="s">
        <v>597</v>
      </c>
    </row>
    <row r="153" ht="23.25" customHeight="1">
      <c r="A153" s="421" t="s">
        <v>606</v>
      </c>
    </row>
    <row r="154" ht="23.25" customHeight="1">
      <c r="A154" s="421" t="s">
        <v>1863</v>
      </c>
    </row>
    <row r="155" ht="23.25" customHeight="1">
      <c r="A155" s="421" t="s">
        <v>605</v>
      </c>
    </row>
    <row r="156" ht="23.25" customHeight="1">
      <c r="A156" s="421" t="s">
        <v>609</v>
      </c>
    </row>
    <row r="157" ht="23.25" customHeight="1">
      <c r="A157" s="421" t="s">
        <v>1173</v>
      </c>
    </row>
    <row r="158" ht="23.25" customHeight="1">
      <c r="A158" s="421" t="s">
        <v>625</v>
      </c>
    </row>
    <row r="159" ht="23.25" customHeight="1">
      <c r="A159" s="421" t="s">
        <v>1030</v>
      </c>
    </row>
    <row r="160" ht="23.25" customHeight="1">
      <c r="A160" s="421" t="s">
        <v>876</v>
      </c>
    </row>
    <row r="161" ht="23.25" customHeight="1">
      <c r="A161" s="421" t="s">
        <v>785</v>
      </c>
    </row>
    <row r="162" ht="23.25" customHeight="1">
      <c r="A162" s="421" t="s">
        <v>633</v>
      </c>
    </row>
    <row r="163" ht="23.25" customHeight="1">
      <c r="A163" s="421" t="s">
        <v>906</v>
      </c>
    </row>
    <row r="164" ht="23.25" customHeight="1">
      <c r="A164" s="421" t="s">
        <v>1671</v>
      </c>
    </row>
    <row r="165" ht="23.25" customHeight="1">
      <c r="A165" s="421" t="s">
        <v>774</v>
      </c>
    </row>
    <row r="166" ht="23.25" customHeight="1">
      <c r="A166" s="421" t="s">
        <v>647</v>
      </c>
    </row>
    <row r="167" ht="23.25" customHeight="1">
      <c r="A167" s="421" t="s">
        <v>686</v>
      </c>
    </row>
    <row r="168" ht="23.25" customHeight="1">
      <c r="A168" s="421" t="s">
        <v>664</v>
      </c>
    </row>
    <row r="169" ht="23.25" customHeight="1">
      <c r="A169" s="421" t="s">
        <v>693</v>
      </c>
    </row>
    <row r="170" ht="23.25" customHeight="1">
      <c r="A170" s="421" t="s">
        <v>695</v>
      </c>
    </row>
    <row r="171" ht="23.25" customHeight="1">
      <c r="A171" s="421" t="s">
        <v>667</v>
      </c>
    </row>
    <row r="172" ht="23.25" customHeight="1">
      <c r="A172" s="421" t="s">
        <v>674</v>
      </c>
    </row>
    <row r="173" ht="23.25" customHeight="1">
      <c r="A173" s="421" t="s">
        <v>676</v>
      </c>
    </row>
    <row r="174" ht="23.25" customHeight="1">
      <c r="A174" s="421" t="s">
        <v>678</v>
      </c>
    </row>
    <row r="175" ht="23.25" customHeight="1">
      <c r="A175" s="421" t="s">
        <v>688</v>
      </c>
    </row>
    <row r="176" ht="23.25" customHeight="1">
      <c r="A176" s="421" t="s">
        <v>680</v>
      </c>
    </row>
    <row r="177" ht="23.25" customHeight="1">
      <c r="A177" s="421" t="s">
        <v>691</v>
      </c>
    </row>
    <row r="178" ht="23.25" customHeight="1">
      <c r="A178" s="421" t="s">
        <v>701</v>
      </c>
    </row>
    <row r="179" ht="23.25" customHeight="1">
      <c r="A179" s="421" t="s">
        <v>704</v>
      </c>
    </row>
    <row r="180" ht="23.25" customHeight="1">
      <c r="A180" s="421" t="s">
        <v>726</v>
      </c>
    </row>
    <row r="181" ht="23.25" customHeight="1">
      <c r="A181" s="421" t="s">
        <v>745</v>
      </c>
    </row>
    <row r="182" ht="23.25" customHeight="1">
      <c r="A182" s="421" t="s">
        <v>715</v>
      </c>
    </row>
    <row r="183" ht="23.25" customHeight="1">
      <c r="A183" s="421" t="s">
        <v>805</v>
      </c>
    </row>
    <row r="184" ht="23.25" customHeight="1">
      <c r="A184" s="421" t="s">
        <v>712</v>
      </c>
    </row>
    <row r="185" ht="23.25" customHeight="1">
      <c r="A185" s="421" t="s">
        <v>730</v>
      </c>
    </row>
    <row r="186" ht="23.25" customHeight="1">
      <c r="A186" s="421" t="s">
        <v>733</v>
      </c>
    </row>
    <row r="187" ht="23.25" customHeight="1">
      <c r="A187" s="421" t="s">
        <v>738</v>
      </c>
    </row>
    <row r="188" ht="23.25" customHeight="1">
      <c r="A188" s="421" t="s">
        <v>741</v>
      </c>
    </row>
    <row r="189" ht="23.25" customHeight="1">
      <c r="A189" s="421" t="s">
        <v>736</v>
      </c>
    </row>
    <row r="190" ht="23.25" customHeight="1">
      <c r="A190" s="421" t="s">
        <v>754</v>
      </c>
    </row>
    <row r="191" ht="23.25" customHeight="1">
      <c r="A191" s="421" t="s">
        <v>2985</v>
      </c>
    </row>
    <row r="192" ht="23.25" customHeight="1">
      <c r="A192" s="421" t="s">
        <v>749</v>
      </c>
    </row>
    <row r="193" ht="23.25" customHeight="1">
      <c r="A193" s="421" t="s">
        <v>765</v>
      </c>
    </row>
    <row r="194" ht="23.25" customHeight="1">
      <c r="A194" s="421" t="s">
        <v>757</v>
      </c>
    </row>
    <row r="195" ht="23.25" customHeight="1">
      <c r="A195" s="421" t="s">
        <v>752</v>
      </c>
    </row>
    <row r="196" ht="23.25" customHeight="1">
      <c r="A196" s="421" t="s">
        <v>769</v>
      </c>
    </row>
    <row r="197" ht="23.25" customHeight="1">
      <c r="A197" s="421" t="s">
        <v>2986</v>
      </c>
    </row>
    <row r="198" ht="23.25" customHeight="1">
      <c r="A198" s="421" t="s">
        <v>789</v>
      </c>
    </row>
    <row r="199" ht="23.25" customHeight="1">
      <c r="A199" s="421" t="s">
        <v>795</v>
      </c>
    </row>
    <row r="200" ht="23.25" customHeight="1">
      <c r="A200" s="421" t="s">
        <v>837</v>
      </c>
    </row>
    <row r="201" ht="23.25" customHeight="1">
      <c r="A201" s="421" t="s">
        <v>823</v>
      </c>
    </row>
    <row r="202" ht="23.25" customHeight="1">
      <c r="A202" s="421" t="s">
        <v>1557</v>
      </c>
    </row>
    <row r="203" ht="23.25" customHeight="1">
      <c r="A203" s="421" t="s">
        <v>833</v>
      </c>
    </row>
    <row r="204" ht="23.25" customHeight="1">
      <c r="A204" s="421" t="s">
        <v>852</v>
      </c>
    </row>
    <row r="205" ht="23.25" customHeight="1">
      <c r="A205" s="421" t="s">
        <v>879</v>
      </c>
    </row>
    <row r="206" ht="23.25" customHeight="1">
      <c r="A206" s="421" t="s">
        <v>882</v>
      </c>
    </row>
    <row r="207" ht="23.25" customHeight="1">
      <c r="A207" s="421" t="s">
        <v>849</v>
      </c>
    </row>
    <row r="208" ht="23.25" customHeight="1">
      <c r="A208" s="421" t="s">
        <v>856</v>
      </c>
    </row>
    <row r="209" ht="23.25" customHeight="1">
      <c r="A209" s="421" t="s">
        <v>901</v>
      </c>
    </row>
    <row r="210" ht="23.25" customHeight="1">
      <c r="A210" s="421" t="s">
        <v>884</v>
      </c>
    </row>
    <row r="211" ht="23.25" customHeight="1">
      <c r="A211" s="421" t="s">
        <v>909</v>
      </c>
    </row>
    <row r="212" ht="23.25" customHeight="1">
      <c r="A212" s="421" t="s">
        <v>911</v>
      </c>
    </row>
    <row r="213" ht="23.25" customHeight="1">
      <c r="A213" s="421" t="s">
        <v>928</v>
      </c>
    </row>
    <row r="214" ht="23.25" customHeight="1">
      <c r="A214" s="421" t="s">
        <v>375</v>
      </c>
    </row>
    <row r="215" ht="23.25" customHeight="1">
      <c r="A215" s="421" t="s">
        <v>930</v>
      </c>
    </row>
    <row r="216" ht="23.25" customHeight="1">
      <c r="A216" s="421" t="s">
        <v>938</v>
      </c>
    </row>
    <row r="217" ht="23.25" customHeight="1">
      <c r="A217" s="421" t="s">
        <v>941</v>
      </c>
    </row>
    <row r="218" ht="23.25" customHeight="1">
      <c r="A218" s="421" t="s">
        <v>970</v>
      </c>
    </row>
    <row r="219" ht="23.25" customHeight="1">
      <c r="A219" s="421" t="s">
        <v>949</v>
      </c>
    </row>
    <row r="220" ht="23.25" customHeight="1">
      <c r="A220" s="421" t="s">
        <v>959</v>
      </c>
    </row>
    <row r="221" ht="23.25" customHeight="1">
      <c r="A221" s="421" t="s">
        <v>2987</v>
      </c>
    </row>
    <row r="222" ht="23.25" customHeight="1">
      <c r="A222" s="421" t="s">
        <v>1014</v>
      </c>
    </row>
    <row r="223" ht="23.25" customHeight="1">
      <c r="A223" s="421" t="s">
        <v>1068</v>
      </c>
    </row>
    <row r="224" ht="23.25" customHeight="1">
      <c r="A224" s="421" t="s">
        <v>1028</v>
      </c>
    </row>
    <row r="225" ht="23.25" customHeight="1">
      <c r="A225" s="421" t="s">
        <v>701</v>
      </c>
    </row>
    <row r="226" ht="23.25" customHeight="1">
      <c r="A226" s="421" t="s">
        <v>1055</v>
      </c>
    </row>
    <row r="227" ht="23.25" customHeight="1">
      <c r="A227" s="421" t="s">
        <v>1064</v>
      </c>
    </row>
    <row r="228" ht="23.25" customHeight="1">
      <c r="A228" s="421" t="s">
        <v>1078</v>
      </c>
    </row>
    <row r="229" ht="23.25" customHeight="1">
      <c r="A229" s="421" t="s">
        <v>1083</v>
      </c>
    </row>
    <row r="230" ht="23.25" customHeight="1">
      <c r="A230" s="421" t="s">
        <v>1084</v>
      </c>
    </row>
    <row r="231" ht="23.25" customHeight="1">
      <c r="A231" s="421" t="s">
        <v>1116</v>
      </c>
    </row>
    <row r="232" ht="23.25" customHeight="1">
      <c r="A232" s="421" t="s">
        <v>667</v>
      </c>
    </row>
    <row r="233" ht="23.25" customHeight="1">
      <c r="A233" s="421" t="s">
        <v>1160</v>
      </c>
    </row>
    <row r="234" ht="23.25" customHeight="1">
      <c r="A234" s="421" t="s">
        <v>1104</v>
      </c>
    </row>
    <row r="235" ht="23.25" customHeight="1">
      <c r="A235" s="421" t="s">
        <v>1099</v>
      </c>
    </row>
    <row r="236" ht="23.25" customHeight="1">
      <c r="A236" s="421" t="s">
        <v>1111</v>
      </c>
    </row>
    <row r="237" ht="23.25" customHeight="1">
      <c r="A237" s="421" t="s">
        <v>1756</v>
      </c>
    </row>
    <row r="238" ht="23.25" customHeight="1">
      <c r="A238" s="421" t="s">
        <v>688</v>
      </c>
    </row>
    <row r="239" ht="23.25" customHeight="1">
      <c r="A239" s="421" t="s">
        <v>1146</v>
      </c>
    </row>
    <row r="240" ht="23.25" customHeight="1">
      <c r="A240" s="421" t="s">
        <v>2988</v>
      </c>
    </row>
    <row r="241" ht="23.25" customHeight="1">
      <c r="A241" s="421" t="s">
        <v>1192</v>
      </c>
    </row>
    <row r="242" ht="23.25" customHeight="1">
      <c r="A242" s="421" t="s">
        <v>2989</v>
      </c>
    </row>
    <row r="243" ht="23.25" customHeight="1">
      <c r="A243" s="421" t="s">
        <v>1128</v>
      </c>
    </row>
    <row r="244" ht="23.25" customHeight="1">
      <c r="A244" s="421" t="s">
        <v>704</v>
      </c>
    </row>
    <row r="245" ht="23.25" customHeight="1">
      <c r="A245" s="421" t="s">
        <v>1164</v>
      </c>
    </row>
    <row r="246" ht="23.25" customHeight="1">
      <c r="A246" s="421" t="s">
        <v>1166</v>
      </c>
    </row>
    <row r="247" ht="23.25" customHeight="1">
      <c r="A247" s="421" t="s">
        <v>1175</v>
      </c>
    </row>
    <row r="248" ht="23.25" customHeight="1">
      <c r="A248" s="421" t="s">
        <v>1177</v>
      </c>
    </row>
    <row r="249" ht="23.25" customHeight="1">
      <c r="A249" s="421" t="s">
        <v>1351</v>
      </c>
    </row>
    <row r="250" ht="23.25" customHeight="1">
      <c r="A250" s="421" t="s">
        <v>1203</v>
      </c>
    </row>
    <row r="251" ht="23.25" customHeight="1">
      <c r="A251" s="421" t="s">
        <v>1280</v>
      </c>
    </row>
    <row r="252" ht="23.25" customHeight="1">
      <c r="A252" s="421" t="s">
        <v>1222</v>
      </c>
    </row>
    <row r="253" ht="23.25" customHeight="1">
      <c r="A253" s="421" t="s">
        <v>1226</v>
      </c>
    </row>
    <row r="254" ht="23.25" customHeight="1">
      <c r="A254" s="421" t="s">
        <v>1230</v>
      </c>
    </row>
    <row r="255" ht="23.25" customHeight="1">
      <c r="A255" s="421" t="s">
        <v>1242</v>
      </c>
    </row>
    <row r="256" ht="23.25" customHeight="1">
      <c r="A256" s="421" t="s">
        <v>1249</v>
      </c>
    </row>
    <row r="257" ht="23.25" customHeight="1">
      <c r="A257" s="421" t="s">
        <v>1241</v>
      </c>
    </row>
    <row r="258" ht="23.25" customHeight="1">
      <c r="A258" s="421" t="s">
        <v>1240</v>
      </c>
    </row>
    <row r="259" ht="23.25" customHeight="1">
      <c r="A259" s="421" t="s">
        <v>1261</v>
      </c>
    </row>
    <row r="260" ht="23.25" customHeight="1">
      <c r="A260" s="421" t="s">
        <v>1265</v>
      </c>
    </row>
    <row r="261" ht="23.25" customHeight="1">
      <c r="A261" s="421" t="s">
        <v>1271</v>
      </c>
    </row>
    <row r="262" ht="23.25" customHeight="1">
      <c r="A262" s="421" t="s">
        <v>1272</v>
      </c>
    </row>
    <row r="263" ht="23.25" customHeight="1">
      <c r="A263" s="421" t="s">
        <v>1273</v>
      </c>
    </row>
    <row r="264" ht="23.25" customHeight="1">
      <c r="A264" s="421" t="s">
        <v>460</v>
      </c>
    </row>
    <row r="265" ht="23.25" customHeight="1">
      <c r="A265" s="421" t="s">
        <v>1276</v>
      </c>
    </row>
    <row r="266" ht="23.25" customHeight="1">
      <c r="A266" s="421" t="s">
        <v>2990</v>
      </c>
    </row>
    <row r="267" ht="23.25" customHeight="1">
      <c r="A267" s="421" t="s">
        <v>1290</v>
      </c>
    </row>
    <row r="268" ht="23.25" customHeight="1">
      <c r="A268" s="421" t="s">
        <v>1294</v>
      </c>
    </row>
    <row r="269" ht="23.25" customHeight="1">
      <c r="A269" s="421" t="s">
        <v>1314</v>
      </c>
    </row>
    <row r="270" ht="23.25" customHeight="1">
      <c r="A270" s="421" t="s">
        <v>1317</v>
      </c>
    </row>
    <row r="271" ht="23.25" customHeight="1">
      <c r="A271" s="421" t="s">
        <v>1338</v>
      </c>
    </row>
    <row r="272" ht="23.25" customHeight="1">
      <c r="A272" s="421" t="s">
        <v>1319</v>
      </c>
    </row>
    <row r="273" ht="23.25" customHeight="1">
      <c r="A273" s="421" t="s">
        <v>1334</v>
      </c>
    </row>
    <row r="274" ht="23.25" customHeight="1">
      <c r="A274" s="421" t="s">
        <v>1352</v>
      </c>
    </row>
    <row r="275" ht="23.25" customHeight="1">
      <c r="A275" s="421" t="s">
        <v>1349</v>
      </c>
    </row>
    <row r="276" ht="23.25" customHeight="1">
      <c r="A276" s="421" t="s">
        <v>1354</v>
      </c>
    </row>
    <row r="277" ht="23.25" customHeight="1">
      <c r="A277" s="421" t="s">
        <v>1375</v>
      </c>
    </row>
    <row r="278" ht="23.25" customHeight="1">
      <c r="A278" s="421" t="s">
        <v>1377</v>
      </c>
    </row>
    <row r="279" ht="23.25" customHeight="1">
      <c r="A279" s="421" t="s">
        <v>1365</v>
      </c>
    </row>
    <row r="280" ht="23.25" customHeight="1">
      <c r="A280" s="421" t="s">
        <v>1373</v>
      </c>
    </row>
    <row r="281" ht="23.25" customHeight="1">
      <c r="A281" s="421" t="s">
        <v>1392</v>
      </c>
    </row>
    <row r="282" ht="23.25" customHeight="1">
      <c r="A282" s="421" t="s">
        <v>1381</v>
      </c>
    </row>
    <row r="283" ht="23.25" customHeight="1">
      <c r="A283" s="421" t="s">
        <v>1369</v>
      </c>
    </row>
    <row r="284" ht="23.25" customHeight="1">
      <c r="A284" s="421" t="s">
        <v>1371</v>
      </c>
    </row>
    <row r="285" ht="23.25" customHeight="1">
      <c r="A285" s="421" t="s">
        <v>2991</v>
      </c>
    </row>
    <row r="286" ht="23.25" customHeight="1">
      <c r="A286" s="421" t="s">
        <v>2992</v>
      </c>
    </row>
    <row r="287" ht="23.25" customHeight="1">
      <c r="A287" s="421" t="s">
        <v>1379</v>
      </c>
    </row>
    <row r="288" ht="23.25" customHeight="1">
      <c r="A288" s="421" t="s">
        <v>1276</v>
      </c>
    </row>
    <row r="289" ht="23.25" customHeight="1">
      <c r="A289" s="421" t="s">
        <v>1409</v>
      </c>
    </row>
    <row r="290" ht="23.25" customHeight="1">
      <c r="A290" s="421" t="s">
        <v>1389</v>
      </c>
    </row>
    <row r="291" ht="23.25" customHeight="1">
      <c r="A291" s="421" t="s">
        <v>1394</v>
      </c>
    </row>
    <row r="292" ht="23.25" customHeight="1">
      <c r="A292" s="421" t="s">
        <v>1403</v>
      </c>
    </row>
    <row r="293" ht="23.25" customHeight="1">
      <c r="A293" s="421" t="s">
        <v>1406</v>
      </c>
    </row>
    <row r="294" ht="23.25" customHeight="1">
      <c r="A294" s="421" t="s">
        <v>1407</v>
      </c>
    </row>
    <row r="295" ht="23.25" customHeight="1">
      <c r="A295" s="421" t="s">
        <v>1408</v>
      </c>
    </row>
    <row r="296" ht="23.25" customHeight="1">
      <c r="A296" s="421" t="s">
        <v>1420</v>
      </c>
    </row>
    <row r="297" ht="23.25" customHeight="1">
      <c r="A297" s="421" t="s">
        <v>1432</v>
      </c>
    </row>
    <row r="298" ht="23.25" customHeight="1">
      <c r="A298" s="421" t="s">
        <v>1433</v>
      </c>
    </row>
    <row r="299" ht="23.25" customHeight="1">
      <c r="A299" s="421" t="s">
        <v>1434</v>
      </c>
    </row>
    <row r="300" ht="23.25" customHeight="1">
      <c r="A300" s="421" t="s">
        <v>1427</v>
      </c>
    </row>
    <row r="301" ht="23.25" customHeight="1">
      <c r="A301" s="421" t="s">
        <v>1448</v>
      </c>
    </row>
    <row r="302" ht="23.25" customHeight="1">
      <c r="A302" s="421" t="s">
        <v>1442</v>
      </c>
    </row>
    <row r="303" ht="23.25" customHeight="1">
      <c r="A303" s="421" t="s">
        <v>1446</v>
      </c>
    </row>
    <row r="304" ht="23.25" customHeight="1">
      <c r="A304" s="421" t="s">
        <v>1447</v>
      </c>
    </row>
    <row r="305" ht="23.25" customHeight="1">
      <c r="A305" s="421" t="s">
        <v>2052</v>
      </c>
    </row>
    <row r="306" ht="23.25" customHeight="1">
      <c r="A306" s="421" t="s">
        <v>2993</v>
      </c>
    </row>
    <row r="307" ht="23.25" customHeight="1">
      <c r="A307" s="421" t="s">
        <v>1451</v>
      </c>
    </row>
    <row r="308" ht="23.25" customHeight="1">
      <c r="A308" s="421" t="s">
        <v>2994</v>
      </c>
    </row>
    <row r="309" ht="23.25" customHeight="1">
      <c r="A309" s="421" t="s">
        <v>2995</v>
      </c>
    </row>
    <row r="310" ht="23.25" customHeight="1">
      <c r="A310" s="421" t="s">
        <v>1455</v>
      </c>
    </row>
    <row r="311" ht="23.25" customHeight="1">
      <c r="A311" s="421" t="s">
        <v>1459</v>
      </c>
    </row>
    <row r="312" ht="23.25" customHeight="1">
      <c r="A312" s="421" t="s">
        <v>1469</v>
      </c>
    </row>
    <row r="313" ht="23.25" customHeight="1">
      <c r="A313" s="421" t="s">
        <v>1472</v>
      </c>
    </row>
    <row r="314" ht="23.25" customHeight="1">
      <c r="A314" s="421" t="s">
        <v>1474</v>
      </c>
    </row>
    <row r="315" ht="23.25" customHeight="1">
      <c r="A315" s="421" t="s">
        <v>1476</v>
      </c>
    </row>
    <row r="316" ht="23.25" customHeight="1">
      <c r="A316" s="421" t="s">
        <v>1479</v>
      </c>
    </row>
    <row r="317" ht="23.25" customHeight="1">
      <c r="A317" s="421" t="s">
        <v>1496</v>
      </c>
    </row>
    <row r="318" ht="23.25" customHeight="1">
      <c r="A318" s="421" t="s">
        <v>1508</v>
      </c>
    </row>
    <row r="319" ht="23.25" customHeight="1">
      <c r="A319" s="421" t="s">
        <v>1510</v>
      </c>
    </row>
    <row r="320" ht="23.25" customHeight="1">
      <c r="A320" s="421" t="s">
        <v>1511</v>
      </c>
    </row>
    <row r="321" ht="23.25" customHeight="1">
      <c r="A321" s="421" t="s">
        <v>1513</v>
      </c>
    </row>
    <row r="322" ht="23.25" customHeight="1">
      <c r="A322" s="421" t="s">
        <v>1533</v>
      </c>
    </row>
    <row r="323" ht="23.25" customHeight="1">
      <c r="A323" s="421" t="s">
        <v>1516</v>
      </c>
    </row>
    <row r="324" ht="23.25" customHeight="1">
      <c r="A324" s="421" t="s">
        <v>407</v>
      </c>
    </row>
    <row r="325" ht="23.25" customHeight="1">
      <c r="A325" s="421" t="s">
        <v>1822</v>
      </c>
    </row>
    <row r="326" ht="23.25" customHeight="1">
      <c r="A326" s="421" t="s">
        <v>1649</v>
      </c>
    </row>
    <row r="327" ht="23.25" customHeight="1">
      <c r="A327" s="421" t="s">
        <v>1535</v>
      </c>
    </row>
    <row r="328" ht="23.25" customHeight="1">
      <c r="A328" s="421" t="s">
        <v>1524</v>
      </c>
    </row>
    <row r="329" ht="23.25" customHeight="1">
      <c r="A329" s="421" t="s">
        <v>1526</v>
      </c>
    </row>
    <row r="330" ht="23.25" customHeight="1">
      <c r="A330" s="421" t="s">
        <v>1527</v>
      </c>
    </row>
    <row r="331" ht="23.25" customHeight="1">
      <c r="A331" s="421" t="s">
        <v>1528</v>
      </c>
    </row>
    <row r="332" ht="23.25" customHeight="1">
      <c r="A332" s="421" t="s">
        <v>1530</v>
      </c>
    </row>
    <row r="333" ht="23.25" customHeight="1">
      <c r="A333" s="421" t="s">
        <v>1532</v>
      </c>
    </row>
    <row r="334" ht="23.25" customHeight="1">
      <c r="A334" s="421" t="s">
        <v>2996</v>
      </c>
    </row>
    <row r="335" ht="23.25" customHeight="1">
      <c r="A335" s="421" t="s">
        <v>1541</v>
      </c>
    </row>
    <row r="336" ht="23.25" customHeight="1">
      <c r="A336" s="421" t="s">
        <v>1544</v>
      </c>
    </row>
    <row r="337" ht="23.25" customHeight="1">
      <c r="A337" s="421" t="s">
        <v>1545</v>
      </c>
    </row>
    <row r="338" ht="23.25" customHeight="1">
      <c r="A338" s="421" t="s">
        <v>1546</v>
      </c>
    </row>
    <row r="339" ht="23.25" customHeight="1">
      <c r="A339" s="421" t="s">
        <v>1548</v>
      </c>
    </row>
    <row r="340" ht="23.25" customHeight="1">
      <c r="A340" s="421" t="s">
        <v>1549</v>
      </c>
    </row>
    <row r="341" ht="23.25" customHeight="1">
      <c r="A341" s="421" t="s">
        <v>1550</v>
      </c>
    </row>
    <row r="342" ht="23.25" customHeight="1">
      <c r="A342" s="421" t="s">
        <v>1551</v>
      </c>
    </row>
    <row r="343" ht="23.25" customHeight="1">
      <c r="A343" s="421" t="s">
        <v>109</v>
      </c>
    </row>
    <row r="344" ht="23.25" customHeight="1">
      <c r="A344" s="421" t="s">
        <v>1574</v>
      </c>
    </row>
    <row r="345" ht="23.25" customHeight="1">
      <c r="A345" s="421" t="s">
        <v>1576</v>
      </c>
    </row>
    <row r="346" ht="23.25" customHeight="1">
      <c r="A346" s="421" t="s">
        <v>1578</v>
      </c>
    </row>
    <row r="347" ht="23.25" customHeight="1">
      <c r="A347" s="421" t="s">
        <v>1579</v>
      </c>
    </row>
    <row r="348" ht="23.25" customHeight="1">
      <c r="A348" s="421" t="s">
        <v>1580</v>
      </c>
    </row>
    <row r="349" ht="23.25" customHeight="1">
      <c r="A349" s="421" t="s">
        <v>1381</v>
      </c>
    </row>
    <row r="350" ht="23.25" customHeight="1">
      <c r="A350" s="421" t="s">
        <v>1587</v>
      </c>
    </row>
    <row r="351" ht="23.25" customHeight="1">
      <c r="A351" s="421" t="s">
        <v>1583</v>
      </c>
    </row>
    <row r="352" ht="23.25" customHeight="1">
      <c r="A352" s="421" t="s">
        <v>1594</v>
      </c>
    </row>
    <row r="353" ht="23.25" customHeight="1">
      <c r="A353" s="421" t="s">
        <v>1595</v>
      </c>
    </row>
    <row r="354" ht="23.25" customHeight="1">
      <c r="A354" s="421" t="s">
        <v>1629</v>
      </c>
    </row>
    <row r="355" ht="23.25" customHeight="1">
      <c r="A355" s="421" t="s">
        <v>1624</v>
      </c>
    </row>
    <row r="356" ht="23.25" customHeight="1">
      <c r="A356" s="421" t="s">
        <v>1649</v>
      </c>
    </row>
    <row r="357" ht="23.25" customHeight="1">
      <c r="A357" s="421" t="s">
        <v>1667</v>
      </c>
    </row>
    <row r="358" ht="23.25" customHeight="1">
      <c r="A358" s="421" t="s">
        <v>1674</v>
      </c>
    </row>
    <row r="359" ht="23.25" customHeight="1">
      <c r="A359" s="421" t="s">
        <v>1676</v>
      </c>
    </row>
    <row r="360" ht="23.25" customHeight="1">
      <c r="A360" s="421" t="s">
        <v>1687</v>
      </c>
    </row>
    <row r="361" ht="23.25" customHeight="1">
      <c r="A361" s="421" t="s">
        <v>1691</v>
      </c>
    </row>
    <row r="362" ht="23.25" customHeight="1">
      <c r="A362" s="421" t="s">
        <v>1705</v>
      </c>
    </row>
    <row r="363" ht="23.25" customHeight="1">
      <c r="A363" s="421" t="s">
        <v>1706</v>
      </c>
    </row>
    <row r="364" ht="23.25" customHeight="1">
      <c r="A364" s="421" t="s">
        <v>1708</v>
      </c>
    </row>
    <row r="365" ht="23.25" customHeight="1">
      <c r="A365" s="421" t="s">
        <v>1709</v>
      </c>
    </row>
    <row r="366" ht="23.25" customHeight="1">
      <c r="A366" s="421" t="s">
        <v>1702</v>
      </c>
    </row>
    <row r="367" ht="23.25" customHeight="1">
      <c r="A367" s="421" t="s">
        <v>1710</v>
      </c>
    </row>
    <row r="368" ht="23.25" customHeight="1">
      <c r="A368" s="421" t="s">
        <v>1704</v>
      </c>
    </row>
    <row r="369" ht="23.25" customHeight="1">
      <c r="A369" s="421" t="s">
        <v>1865</v>
      </c>
    </row>
    <row r="370" ht="23.25" customHeight="1">
      <c r="A370" s="421" t="s">
        <v>1732</v>
      </c>
    </row>
    <row r="371" ht="23.25" customHeight="1">
      <c r="A371" s="421" t="s">
        <v>1815</v>
      </c>
    </row>
    <row r="372" ht="23.25" customHeight="1">
      <c r="A372" s="421" t="s">
        <v>1741</v>
      </c>
    </row>
    <row r="373" ht="23.25" customHeight="1">
      <c r="A373" s="421" t="s">
        <v>1987</v>
      </c>
    </row>
    <row r="374" ht="23.25" customHeight="1">
      <c r="A374" s="421" t="s">
        <v>2997</v>
      </c>
    </row>
    <row r="375" ht="23.25" customHeight="1">
      <c r="A375" s="421" t="s">
        <v>1749</v>
      </c>
    </row>
    <row r="376" ht="23.25" customHeight="1">
      <c r="A376" s="421" t="s">
        <v>1804</v>
      </c>
    </row>
    <row r="377" ht="23.25" customHeight="1">
      <c r="A377" s="421" t="s">
        <v>1801</v>
      </c>
    </row>
    <row r="378" ht="23.25" customHeight="1">
      <c r="A378" s="421" t="s">
        <v>1904</v>
      </c>
    </row>
    <row r="379" ht="23.25" customHeight="1">
      <c r="A379" s="421" t="s">
        <v>1808</v>
      </c>
    </row>
    <row r="380" ht="23.25" customHeight="1">
      <c r="A380" s="421" t="s">
        <v>1759</v>
      </c>
    </row>
    <row r="381" ht="23.25" customHeight="1">
      <c r="A381" s="421" t="s">
        <v>1770</v>
      </c>
    </row>
    <row r="382" ht="23.25" customHeight="1">
      <c r="A382" s="421" t="s">
        <v>1809</v>
      </c>
    </row>
    <row r="383" ht="23.25" customHeight="1">
      <c r="A383" s="421" t="s">
        <v>1798</v>
      </c>
    </row>
    <row r="384" ht="23.25" customHeight="1">
      <c r="A384" s="421" t="s">
        <v>1806</v>
      </c>
    </row>
    <row r="385" ht="23.25" customHeight="1">
      <c r="A385" s="421" t="s">
        <v>1828</v>
      </c>
    </row>
    <row r="386" ht="23.25" customHeight="1">
      <c r="A386" s="421" t="s">
        <v>1838</v>
      </c>
    </row>
    <row r="387" ht="23.25" customHeight="1">
      <c r="A387" s="421" t="s">
        <v>1839</v>
      </c>
    </row>
    <row r="388" ht="23.25" customHeight="1">
      <c r="A388" s="421" t="s">
        <v>1843</v>
      </c>
    </row>
    <row r="389" ht="23.25" customHeight="1">
      <c r="A389" s="421" t="s">
        <v>1831</v>
      </c>
    </row>
    <row r="390" ht="23.25" customHeight="1">
      <c r="A390" s="421" t="s">
        <v>1840</v>
      </c>
    </row>
    <row r="391" ht="23.25" customHeight="1">
      <c r="A391" s="421" t="s">
        <v>1842</v>
      </c>
    </row>
    <row r="392" ht="23.25" customHeight="1">
      <c r="A392" s="421" t="s">
        <v>1864</v>
      </c>
    </row>
    <row r="393" ht="23.25" customHeight="1">
      <c r="A393" s="421" t="s">
        <v>1888</v>
      </c>
    </row>
    <row r="394" ht="23.25" customHeight="1">
      <c r="A394" s="421" t="s">
        <v>1883</v>
      </c>
    </row>
    <row r="395" ht="23.25" customHeight="1">
      <c r="A395" s="421" t="s">
        <v>2354</v>
      </c>
    </row>
    <row r="396" ht="23.25" customHeight="1">
      <c r="A396" s="421" t="s">
        <v>1901</v>
      </c>
    </row>
    <row r="397" ht="23.25" customHeight="1">
      <c r="A397" s="421" t="s">
        <v>1905</v>
      </c>
    </row>
    <row r="398" ht="23.25" customHeight="1">
      <c r="A398" s="421" t="s">
        <v>1906</v>
      </c>
    </row>
    <row r="399" ht="23.25" customHeight="1">
      <c r="A399" s="421" t="s">
        <v>1907</v>
      </c>
    </row>
    <row r="400" ht="23.25" customHeight="1">
      <c r="A400" s="421" t="s">
        <v>1908</v>
      </c>
    </row>
    <row r="401" ht="23.25" customHeight="1">
      <c r="A401" s="421" t="s">
        <v>1940</v>
      </c>
    </row>
    <row r="402" ht="23.25" customHeight="1">
      <c r="A402" s="421" t="s">
        <v>1943</v>
      </c>
    </row>
    <row r="403" ht="23.25" customHeight="1">
      <c r="A403" s="421" t="s">
        <v>1944</v>
      </c>
    </row>
    <row r="404" ht="23.25" customHeight="1">
      <c r="A404" s="421" t="s">
        <v>1950</v>
      </c>
    </row>
    <row r="405" ht="23.25" customHeight="1">
      <c r="A405" s="421" t="s">
        <v>1938</v>
      </c>
    </row>
    <row r="406" ht="23.25" customHeight="1">
      <c r="A406" s="421" t="s">
        <v>2998</v>
      </c>
    </row>
    <row r="407" ht="23.25" customHeight="1">
      <c r="A407" s="421" t="s">
        <v>1983</v>
      </c>
    </row>
    <row r="408" ht="23.25" customHeight="1">
      <c r="A408" s="421" t="s">
        <v>1991</v>
      </c>
    </row>
    <row r="409" ht="23.25" customHeight="1">
      <c r="A409" s="421" t="s">
        <v>1992</v>
      </c>
    </row>
    <row r="410" ht="23.25" customHeight="1">
      <c r="A410" s="421" t="s">
        <v>1994</v>
      </c>
    </row>
    <row r="411" ht="23.25" customHeight="1">
      <c r="A411" s="421" t="s">
        <v>2004</v>
      </c>
    </row>
    <row r="412" ht="23.25" customHeight="1">
      <c r="A412" s="421" t="s">
        <v>2018</v>
      </c>
    </row>
    <row r="413" ht="23.25" customHeight="1">
      <c r="A413" s="421" t="s">
        <v>2028</v>
      </c>
    </row>
    <row r="414" ht="23.25" customHeight="1">
      <c r="A414" s="421" t="s">
        <v>2046</v>
      </c>
    </row>
    <row r="415" ht="23.25" customHeight="1">
      <c r="A415" s="421" t="s">
        <v>2048</v>
      </c>
    </row>
    <row r="416" ht="23.25" customHeight="1">
      <c r="A416" s="421" t="s">
        <v>2049</v>
      </c>
    </row>
    <row r="417" ht="23.25" customHeight="1">
      <c r="A417" s="421" t="s">
        <v>2050</v>
      </c>
    </row>
    <row r="418" ht="23.25" customHeight="1">
      <c r="A418" s="421" t="s">
        <v>2071</v>
      </c>
    </row>
    <row r="419" ht="23.25" customHeight="1">
      <c r="A419" s="421" t="s">
        <v>2128</v>
      </c>
    </row>
    <row r="420" ht="23.25" customHeight="1">
      <c r="A420" s="421" t="s">
        <v>2038</v>
      </c>
    </row>
    <row r="421" ht="23.25" customHeight="1">
      <c r="A421" s="421" t="s">
        <v>2060</v>
      </c>
    </row>
    <row r="422" ht="23.25" customHeight="1">
      <c r="A422" s="421" t="s">
        <v>2068</v>
      </c>
    </row>
    <row r="423" ht="23.25" customHeight="1">
      <c r="A423" s="421" t="s">
        <v>2081</v>
      </c>
    </row>
    <row r="424" ht="23.25" customHeight="1">
      <c r="A424" s="421" t="s">
        <v>2999</v>
      </c>
    </row>
    <row r="425" ht="23.25" customHeight="1">
      <c r="A425" s="421" t="s">
        <v>3000</v>
      </c>
    </row>
    <row r="426" ht="23.25" customHeight="1">
      <c r="A426" s="421" t="s">
        <v>3001</v>
      </c>
    </row>
    <row r="427" ht="23.25" customHeight="1">
      <c r="A427" s="421" t="s">
        <v>3002</v>
      </c>
    </row>
    <row r="428" ht="23.25" customHeight="1">
      <c r="A428" s="421" t="s">
        <v>3003</v>
      </c>
    </row>
    <row r="429" ht="23.25" customHeight="1">
      <c r="A429" s="421" t="s">
        <v>2093</v>
      </c>
    </row>
    <row r="430" ht="23.25" customHeight="1">
      <c r="A430" s="421" t="s">
        <v>2089</v>
      </c>
    </row>
    <row r="431" ht="23.25" customHeight="1">
      <c r="A431" s="421" t="s">
        <v>2098</v>
      </c>
    </row>
    <row r="432" ht="23.25" customHeight="1">
      <c r="A432" s="421" t="s">
        <v>2116</v>
      </c>
    </row>
    <row r="433" ht="23.25" customHeight="1">
      <c r="A433" s="421" t="s">
        <v>2110</v>
      </c>
    </row>
    <row r="434" ht="23.25" customHeight="1">
      <c r="A434" s="421" t="s">
        <v>2119</v>
      </c>
    </row>
    <row r="435" ht="23.25" customHeight="1">
      <c r="A435" s="421" t="s">
        <v>2103</v>
      </c>
    </row>
    <row r="436" ht="23.25" customHeight="1">
      <c r="A436" s="421" t="s">
        <v>2100</v>
      </c>
    </row>
    <row r="437" ht="23.25" customHeight="1">
      <c r="A437" s="421" t="s">
        <v>2106</v>
      </c>
    </row>
    <row r="438" ht="23.25" customHeight="1">
      <c r="A438" s="421" t="s">
        <v>3004</v>
      </c>
    </row>
    <row r="439" ht="23.25" customHeight="1">
      <c r="A439" s="421" t="s">
        <v>3005</v>
      </c>
    </row>
    <row r="440" ht="23.25" customHeight="1">
      <c r="A440" s="421" t="s">
        <v>2134</v>
      </c>
    </row>
    <row r="441" ht="23.25" customHeight="1">
      <c r="A441" s="421" t="s">
        <v>2135</v>
      </c>
    </row>
    <row r="442" ht="23.25" customHeight="1">
      <c r="A442" s="421" t="s">
        <v>2136</v>
      </c>
    </row>
    <row r="443" ht="23.25" customHeight="1">
      <c r="A443" s="421" t="s">
        <v>2148</v>
      </c>
    </row>
    <row r="444" ht="23.25" customHeight="1">
      <c r="A444" s="421" t="s">
        <v>2123</v>
      </c>
    </row>
    <row r="445" ht="23.25" customHeight="1">
      <c r="A445" s="421" t="s">
        <v>2137</v>
      </c>
    </row>
    <row r="446" ht="23.25" customHeight="1">
      <c r="A446" s="421" t="s">
        <v>2143</v>
      </c>
    </row>
    <row r="447" ht="23.25" customHeight="1">
      <c r="A447" s="421" t="s">
        <v>2145</v>
      </c>
    </row>
    <row r="448" ht="23.25" customHeight="1">
      <c r="A448" s="421" t="s">
        <v>2150</v>
      </c>
    </row>
    <row r="449" ht="23.25" customHeight="1">
      <c r="A449" s="421" t="s">
        <v>2158</v>
      </c>
    </row>
    <row r="450" ht="23.25" customHeight="1">
      <c r="A450" s="421" t="s">
        <v>2157</v>
      </c>
    </row>
    <row r="451" ht="23.25" customHeight="1">
      <c r="A451" s="421" t="s">
        <v>2172</v>
      </c>
    </row>
    <row r="452" ht="23.25" customHeight="1">
      <c r="A452" s="421" t="s">
        <v>3006</v>
      </c>
    </row>
    <row r="453" ht="23.25" customHeight="1">
      <c r="A453" s="421" t="s">
        <v>2192</v>
      </c>
    </row>
    <row r="454" ht="23.25" customHeight="1">
      <c r="A454" s="421" t="s">
        <v>2245</v>
      </c>
    </row>
    <row r="455" ht="21.0" customHeight="1">
      <c r="A455" s="421" t="s">
        <v>2190</v>
      </c>
    </row>
    <row r="456" ht="21.0" customHeight="1">
      <c r="A456" s="421" t="s">
        <v>2217</v>
      </c>
    </row>
    <row r="457" ht="21.0" customHeight="1">
      <c r="A457" s="421" t="s">
        <v>2219</v>
      </c>
    </row>
    <row r="458" ht="21.0" customHeight="1">
      <c r="A458" s="421" t="s">
        <v>2220</v>
      </c>
    </row>
    <row r="459" ht="21.0" customHeight="1">
      <c r="A459" s="421" t="s">
        <v>2221</v>
      </c>
    </row>
    <row r="460" ht="21.0" customHeight="1">
      <c r="A460" s="421" t="s">
        <v>2222</v>
      </c>
    </row>
    <row r="461" ht="21.0" customHeight="1">
      <c r="A461" s="421" t="s">
        <v>2136</v>
      </c>
    </row>
    <row r="462" ht="21.0" customHeight="1">
      <c r="A462" s="421" t="s">
        <v>2223</v>
      </c>
    </row>
    <row r="463" ht="21.0" customHeight="1">
      <c r="A463" s="421" t="s">
        <v>2225</v>
      </c>
    </row>
    <row r="464" ht="21.0" customHeight="1">
      <c r="A464" s="421" t="s">
        <v>2226</v>
      </c>
    </row>
    <row r="465" ht="21.0" customHeight="1">
      <c r="A465" s="421" t="s">
        <v>2227</v>
      </c>
    </row>
    <row r="466" ht="21.0" customHeight="1">
      <c r="A466" s="421" t="s">
        <v>1594</v>
      </c>
    </row>
    <row r="467" ht="21.0" customHeight="1">
      <c r="A467" s="421" t="s">
        <v>2229</v>
      </c>
    </row>
    <row r="468" ht="21.0" customHeight="1">
      <c r="A468" s="421" t="s">
        <v>2333</v>
      </c>
    </row>
    <row r="469" ht="21.0" customHeight="1">
      <c r="A469" s="421" t="s">
        <v>693</v>
      </c>
    </row>
    <row r="470" ht="21.0" customHeight="1">
      <c r="A470" s="421" t="s">
        <v>695</v>
      </c>
    </row>
    <row r="471" ht="21.0" customHeight="1">
      <c r="A471" s="421" t="s">
        <v>2230</v>
      </c>
    </row>
    <row r="472" ht="21.0" customHeight="1">
      <c r="A472" s="421" t="s">
        <v>2232</v>
      </c>
    </row>
    <row r="473" ht="21.0" customHeight="1">
      <c r="A473" s="421" t="s">
        <v>2233</v>
      </c>
    </row>
    <row r="474" ht="21.0" customHeight="1">
      <c r="A474" s="421" t="s">
        <v>2234</v>
      </c>
    </row>
    <row r="475" ht="21.0" customHeight="1">
      <c r="A475" s="421" t="s">
        <v>2335</v>
      </c>
    </row>
    <row r="476" ht="21.0" customHeight="1">
      <c r="A476" s="421" t="s">
        <v>2249</v>
      </c>
    </row>
    <row r="477" ht="21.0" customHeight="1">
      <c r="A477" s="421" t="s">
        <v>2217</v>
      </c>
    </row>
    <row r="478" ht="21.0" customHeight="1">
      <c r="A478" s="421" t="s">
        <v>2334</v>
      </c>
    </row>
    <row r="479" ht="21.0" customHeight="1">
      <c r="A479" s="421" t="s">
        <v>3007</v>
      </c>
    </row>
    <row r="480" ht="21.0" customHeight="1">
      <c r="A480" s="421" t="s">
        <v>2265</v>
      </c>
    </row>
    <row r="481" ht="21.0" customHeight="1">
      <c r="A481" s="421" t="s">
        <v>2232</v>
      </c>
    </row>
    <row r="482" ht="21.0" customHeight="1">
      <c r="A482" s="421" t="s">
        <v>2233</v>
      </c>
    </row>
    <row r="483" ht="21.0" customHeight="1">
      <c r="A483" s="421" t="s">
        <v>2234</v>
      </c>
    </row>
    <row r="484" ht="21.0" customHeight="1">
      <c r="A484" s="421" t="s">
        <v>2266</v>
      </c>
    </row>
    <row r="485" ht="21.0" customHeight="1">
      <c r="A485" s="421" t="s">
        <v>2959</v>
      </c>
    </row>
    <row r="486" ht="21.0" customHeight="1">
      <c r="A486" s="421" t="s">
        <v>2267</v>
      </c>
    </row>
    <row r="487" ht="21.0" customHeight="1">
      <c r="A487" s="421" t="s">
        <v>2256</v>
      </c>
    </row>
    <row r="488" ht="21.0" customHeight="1">
      <c r="A488" s="421" t="s">
        <v>3008</v>
      </c>
    </row>
    <row r="489" ht="21.0" customHeight="1">
      <c r="A489" s="421" t="s">
        <v>2275</v>
      </c>
    </row>
    <row r="490" ht="21.0" customHeight="1">
      <c r="A490" s="421" t="s">
        <v>2280</v>
      </c>
    </row>
    <row r="491" ht="21.0" customHeight="1">
      <c r="A491" s="421" t="s">
        <v>3009</v>
      </c>
    </row>
    <row r="492" ht="21.0" customHeight="1">
      <c r="A492" s="421" t="s">
        <v>2734</v>
      </c>
    </row>
    <row r="493" ht="21.0" customHeight="1">
      <c r="A493" s="421" t="s">
        <v>2307</v>
      </c>
    </row>
    <row r="494" ht="21.0" customHeight="1">
      <c r="A494" s="421" t="s">
        <v>3010</v>
      </c>
    </row>
    <row r="495" ht="21.0" customHeight="1">
      <c r="A495" s="421" t="s">
        <v>2329</v>
      </c>
    </row>
    <row r="496" ht="21.0" customHeight="1">
      <c r="A496" s="421" t="s">
        <v>2332</v>
      </c>
    </row>
    <row r="497" ht="21.0" customHeight="1">
      <c r="A497" s="421" t="s">
        <v>2368</v>
      </c>
    </row>
    <row r="498" ht="21.0" customHeight="1">
      <c r="A498" s="421" t="s">
        <v>2394</v>
      </c>
    </row>
    <row r="499" ht="21.0" customHeight="1">
      <c r="A499" s="421" t="s">
        <v>2398</v>
      </c>
    </row>
    <row r="500" ht="21.0" customHeight="1">
      <c r="A500" s="421" t="s">
        <v>2376</v>
      </c>
    </row>
    <row r="501" ht="21.0" customHeight="1">
      <c r="A501" s="421" t="s">
        <v>1317</v>
      </c>
    </row>
    <row r="502" ht="21.0" customHeight="1">
      <c r="A502" s="421" t="s">
        <v>2414</v>
      </c>
    </row>
    <row r="503" ht="21.0" customHeight="1">
      <c r="A503" s="421" t="s">
        <v>2399</v>
      </c>
    </row>
    <row r="504" ht="21.0" customHeight="1">
      <c r="A504" s="421" t="s">
        <v>2400</v>
      </c>
    </row>
    <row r="505" ht="21.0" customHeight="1">
      <c r="A505" s="421" t="s">
        <v>2401</v>
      </c>
    </row>
    <row r="506" ht="21.0" customHeight="1">
      <c r="A506" s="421" t="s">
        <v>2402</v>
      </c>
    </row>
    <row r="507" ht="21.0" customHeight="1">
      <c r="A507" s="421" t="s">
        <v>2403</v>
      </c>
    </row>
    <row r="508" ht="21.0" customHeight="1">
      <c r="A508" s="421" t="s">
        <v>2406</v>
      </c>
    </row>
    <row r="509" ht="21.0" customHeight="1">
      <c r="A509" s="421" t="s">
        <v>2407</v>
      </c>
    </row>
    <row r="510" ht="21.0" customHeight="1">
      <c r="A510" s="421" t="s">
        <v>2408</v>
      </c>
    </row>
    <row r="511" ht="21.0" customHeight="1">
      <c r="A511" s="421" t="s">
        <v>2409</v>
      </c>
    </row>
    <row r="512" ht="21.0" customHeight="1">
      <c r="A512" s="421" t="s">
        <v>2410</v>
      </c>
    </row>
    <row r="513" ht="21.0" customHeight="1">
      <c r="A513" s="421" t="s">
        <v>2411</v>
      </c>
    </row>
    <row r="514" ht="21.0" customHeight="1">
      <c r="A514" s="421" t="s">
        <v>2387</v>
      </c>
    </row>
    <row r="515" ht="21.0" customHeight="1">
      <c r="A515" s="421" t="s">
        <v>2916</v>
      </c>
    </row>
    <row r="516" ht="21.0" customHeight="1">
      <c r="A516" s="421" t="s">
        <v>2447</v>
      </c>
      <c r="B516" s="419"/>
    </row>
    <row r="517" ht="21.0" customHeight="1">
      <c r="A517" s="421" t="s">
        <v>2449</v>
      </c>
    </row>
    <row r="518" ht="21.0" customHeight="1">
      <c r="A518" s="421" t="s">
        <v>2225</v>
      </c>
    </row>
    <row r="519" ht="21.0" customHeight="1">
      <c r="A519" s="421" t="s">
        <v>2226</v>
      </c>
    </row>
    <row r="520" ht="21.0" customHeight="1">
      <c r="A520" s="421" t="s">
        <v>2227</v>
      </c>
    </row>
    <row r="521" ht="21.0" customHeight="1">
      <c r="A521" s="421" t="s">
        <v>2228</v>
      </c>
    </row>
    <row r="522" ht="21.0" customHeight="1">
      <c r="A522" s="421" t="s">
        <v>2450</v>
      </c>
    </row>
    <row r="523" ht="21.0" customHeight="1">
      <c r="A523" s="421" t="s">
        <v>693</v>
      </c>
    </row>
    <row r="524" ht="21.0" customHeight="1">
      <c r="A524" s="421" t="s">
        <v>695</v>
      </c>
    </row>
    <row r="525" ht="21.0" customHeight="1">
      <c r="A525" s="421" t="s">
        <v>2451</v>
      </c>
    </row>
    <row r="526" ht="21.0" customHeight="1">
      <c r="A526" s="421" t="s">
        <v>2406</v>
      </c>
    </row>
    <row r="527" ht="21.0" customHeight="1">
      <c r="A527" s="421" t="s">
        <v>2454</v>
      </c>
    </row>
    <row r="528" ht="21.0" customHeight="1">
      <c r="A528" s="421" t="s">
        <v>2455</v>
      </c>
    </row>
    <row r="529" ht="21.0" customHeight="1">
      <c r="A529" s="421" t="s">
        <v>2456</v>
      </c>
    </row>
    <row r="530" ht="21.0" customHeight="1">
      <c r="A530" s="421" t="s">
        <v>2457</v>
      </c>
    </row>
    <row r="531" ht="21.0" customHeight="1">
      <c r="A531" s="421" t="s">
        <v>2458</v>
      </c>
    </row>
    <row r="532" ht="21.0" customHeight="1">
      <c r="A532" s="421" t="s">
        <v>2460</v>
      </c>
    </row>
    <row r="533" ht="21.0" customHeight="1">
      <c r="A533" s="421" t="s">
        <v>2461</v>
      </c>
    </row>
    <row r="534" ht="21.0" customHeight="1">
      <c r="A534" s="421" t="s">
        <v>2266</v>
      </c>
    </row>
    <row r="535" ht="21.0" customHeight="1">
      <c r="A535" s="421" t="s">
        <v>2462</v>
      </c>
    </row>
    <row r="536" ht="21.0" customHeight="1">
      <c r="A536" s="421" t="s">
        <v>2463</v>
      </c>
    </row>
    <row r="537" ht="21.0" customHeight="1">
      <c r="A537" s="421" t="s">
        <v>2464</v>
      </c>
    </row>
    <row r="538" ht="21.0" customHeight="1">
      <c r="A538" s="421" t="s">
        <v>2465</v>
      </c>
    </row>
    <row r="539" ht="21.0" customHeight="1">
      <c r="A539" s="421" t="s">
        <v>2519</v>
      </c>
    </row>
    <row r="540" ht="21.0" customHeight="1">
      <c r="A540" s="421" t="s">
        <v>2467</v>
      </c>
    </row>
    <row r="541" ht="21.0" customHeight="1">
      <c r="A541" s="421" t="s">
        <v>3011</v>
      </c>
    </row>
    <row r="542" ht="21.0" customHeight="1">
      <c r="A542" s="421" t="s">
        <v>3012</v>
      </c>
    </row>
    <row r="543" ht="21.0" customHeight="1">
      <c r="A543" s="421" t="s">
        <v>2473</v>
      </c>
    </row>
    <row r="544" ht="21.0" customHeight="1">
      <c r="A544" s="421" t="s">
        <v>2485</v>
      </c>
    </row>
    <row r="545" ht="21.0" customHeight="1">
      <c r="A545" s="421" t="s">
        <v>2478</v>
      </c>
    </row>
    <row r="546" ht="21.0" customHeight="1">
      <c r="A546" s="421" t="s">
        <v>2496</v>
      </c>
    </row>
    <row r="547" ht="21.0" customHeight="1">
      <c r="A547" s="421" t="s">
        <v>2491</v>
      </c>
    </row>
    <row r="548" ht="21.0" customHeight="1">
      <c r="A548" s="421" t="s">
        <v>2556</v>
      </c>
    </row>
    <row r="549" ht="21.0" customHeight="1">
      <c r="A549" s="421" t="s">
        <v>2927</v>
      </c>
    </row>
    <row r="550" ht="21.0" customHeight="1">
      <c r="A550" s="421" t="s">
        <v>2585</v>
      </c>
    </row>
    <row r="551" ht="21.0" customHeight="1">
      <c r="A551" s="421" t="s">
        <v>2574</v>
      </c>
    </row>
    <row r="552" ht="21.0" customHeight="1">
      <c r="A552" s="421" t="s">
        <v>2594</v>
      </c>
    </row>
    <row r="553" ht="21.0" customHeight="1">
      <c r="A553" s="421" t="s">
        <v>2590</v>
      </c>
    </row>
    <row r="554" ht="21.0" customHeight="1">
      <c r="A554" s="421" t="s">
        <v>2686</v>
      </c>
    </row>
    <row r="555" ht="21.0" customHeight="1">
      <c r="A555" s="421" t="s">
        <v>2633</v>
      </c>
    </row>
    <row r="556" ht="21.0" customHeight="1">
      <c r="A556" s="421" t="s">
        <v>2698</v>
      </c>
    </row>
    <row r="557" ht="21.0" customHeight="1">
      <c r="A557" s="421" t="s">
        <v>2694</v>
      </c>
    </row>
    <row r="558" ht="21.0" customHeight="1">
      <c r="A558" s="421" t="s">
        <v>2741</v>
      </c>
    </row>
    <row r="559" ht="21.0" customHeight="1">
      <c r="A559" s="421" t="s">
        <v>2707</v>
      </c>
    </row>
    <row r="560" ht="21.0" customHeight="1">
      <c r="A560" s="421" t="s">
        <v>2704</v>
      </c>
    </row>
    <row r="561" ht="21.0" customHeight="1">
      <c r="A561" s="421" t="s">
        <v>2712</v>
      </c>
    </row>
    <row r="562" ht="21.0" customHeight="1">
      <c r="A562" s="421" t="s">
        <v>2713</v>
      </c>
    </row>
    <row r="563" ht="21.0" customHeight="1">
      <c r="A563" s="421" t="s">
        <v>2714</v>
      </c>
    </row>
    <row r="564" ht="21.0" customHeight="1">
      <c r="A564" s="421" t="s">
        <v>2715</v>
      </c>
    </row>
    <row r="565" ht="21.0" customHeight="1">
      <c r="A565" s="421" t="s">
        <v>2718</v>
      </c>
    </row>
    <row r="566" ht="21.0" customHeight="1">
      <c r="A566" s="421" t="s">
        <v>2719</v>
      </c>
    </row>
    <row r="567" ht="21.0" customHeight="1">
      <c r="A567" s="421" t="s">
        <v>2722</v>
      </c>
    </row>
    <row r="568" ht="21.0" customHeight="1">
      <c r="A568" s="421" t="s">
        <v>2723</v>
      </c>
    </row>
    <row r="569" ht="21.0" customHeight="1">
      <c r="A569" s="421" t="s">
        <v>2728</v>
      </c>
    </row>
    <row r="570" ht="21.0" customHeight="1">
      <c r="A570" s="421" t="s">
        <v>2745</v>
      </c>
    </row>
    <row r="571" ht="21.0" customHeight="1">
      <c r="A571" s="421" t="s">
        <v>2797</v>
      </c>
    </row>
    <row r="572" ht="21.0" customHeight="1">
      <c r="A572" s="421" t="s">
        <v>2800</v>
      </c>
    </row>
    <row r="573" ht="21.0" customHeight="1">
      <c r="A573" s="421" t="s">
        <v>3013</v>
      </c>
    </row>
    <row r="574" ht="21.0" customHeight="1">
      <c r="A574" s="421" t="s">
        <v>2838</v>
      </c>
    </row>
    <row r="575" ht="21.0" customHeight="1">
      <c r="A575" s="421" t="s">
        <v>2846</v>
      </c>
    </row>
    <row r="576" ht="21.0" customHeight="1">
      <c r="A576" s="421" t="s">
        <v>2872</v>
      </c>
    </row>
    <row r="577" ht="21.0" customHeight="1">
      <c r="A577" s="421" t="s">
        <v>2869</v>
      </c>
    </row>
    <row r="578" ht="21.0" customHeight="1">
      <c r="A578" s="421" t="s">
        <v>2887</v>
      </c>
    </row>
    <row r="579" ht="21.0" customHeight="1">
      <c r="A579" s="421" t="s">
        <v>2884</v>
      </c>
    </row>
    <row r="580" ht="21.0" customHeight="1">
      <c r="A580" s="421" t="s">
        <v>2898</v>
      </c>
    </row>
    <row r="581" ht="21.0" customHeight="1">
      <c r="A581" s="421" t="s">
        <v>2899</v>
      </c>
    </row>
    <row r="582" ht="21.0" customHeight="1">
      <c r="A582" s="421" t="s">
        <v>2604</v>
      </c>
    </row>
    <row r="583" ht="21.0" customHeight="1">
      <c r="A583" s="421" t="s">
        <v>2900</v>
      </c>
    </row>
    <row r="584" ht="21.0" customHeight="1">
      <c r="A584" s="421" t="s">
        <v>2901</v>
      </c>
    </row>
    <row r="585" ht="21.0" customHeight="1">
      <c r="A585" s="421" t="s">
        <v>2902</v>
      </c>
    </row>
    <row r="586" ht="21.0" customHeight="1">
      <c r="A586" s="421" t="s">
        <v>2903</v>
      </c>
    </row>
    <row r="587" ht="21.0" customHeight="1">
      <c r="A587" s="421" t="s">
        <v>3014</v>
      </c>
    </row>
    <row r="588" ht="21.0" customHeight="1">
      <c r="A588" s="421" t="s">
        <v>2923</v>
      </c>
    </row>
    <row r="589" ht="21.0" customHeight="1">
      <c r="A589" s="421" t="s">
        <v>2937</v>
      </c>
    </row>
    <row r="590" ht="21.0" customHeight="1">
      <c r="A590" s="421" t="s">
        <v>2940</v>
      </c>
    </row>
    <row r="591" ht="21.0" customHeight="1">
      <c r="A591" s="421" t="s">
        <v>2943</v>
      </c>
    </row>
    <row r="592" ht="21.0" customHeight="1">
      <c r="A592" s="421"/>
    </row>
    <row r="593" ht="21.0" customHeight="1">
      <c r="A593" s="421"/>
    </row>
    <row r="594" ht="21.0" customHeight="1">
      <c r="A594" s="421"/>
    </row>
    <row r="595" ht="21.0" customHeight="1">
      <c r="A595" s="421"/>
    </row>
    <row r="596" ht="21.0" customHeight="1">
      <c r="A596" s="421"/>
    </row>
    <row r="597" ht="21.0" customHeight="1">
      <c r="A597" s="421"/>
    </row>
    <row r="598" ht="21.0" customHeight="1">
      <c r="A598" s="421"/>
    </row>
    <row r="599" ht="21.0" customHeight="1">
      <c r="A599" s="421"/>
    </row>
    <row r="600" ht="21.0" customHeight="1">
      <c r="A600" s="421"/>
    </row>
    <row r="601" ht="21.0" customHeight="1">
      <c r="A601" s="421"/>
    </row>
    <row r="602" ht="21.0" customHeight="1">
      <c r="A602" s="421"/>
    </row>
    <row r="603" ht="21.0" customHeight="1">
      <c r="A603" s="421"/>
    </row>
    <row r="604" ht="21.0" customHeight="1">
      <c r="A604" s="421"/>
    </row>
    <row r="605" ht="21.0" customHeight="1">
      <c r="A605" s="421"/>
    </row>
    <row r="606" ht="21.0" customHeight="1">
      <c r="A606" s="421"/>
    </row>
    <row r="607" ht="21.0" customHeight="1">
      <c r="A607" s="421"/>
    </row>
    <row r="608" ht="21.0" customHeight="1">
      <c r="A608" s="421"/>
    </row>
    <row r="609" ht="21.0" customHeight="1">
      <c r="A609" s="421"/>
    </row>
    <row r="610" ht="21.0" customHeight="1">
      <c r="A610" s="421"/>
    </row>
    <row r="611" ht="21.0" customHeight="1">
      <c r="A611" s="421"/>
    </row>
    <row r="612" ht="21.0" customHeight="1">
      <c r="A612" s="421"/>
    </row>
    <row r="613" ht="21.0" customHeight="1">
      <c r="A613" s="421"/>
    </row>
    <row r="614" ht="21.0" customHeight="1">
      <c r="A614" s="421"/>
    </row>
    <row r="615" ht="21.0" customHeight="1">
      <c r="A615" s="421"/>
    </row>
    <row r="616" ht="21.0" customHeight="1">
      <c r="A616" s="421"/>
    </row>
    <row r="617" ht="21.0" customHeight="1">
      <c r="A617" s="421"/>
    </row>
    <row r="618" ht="21.0" customHeight="1">
      <c r="A618" s="421"/>
    </row>
    <row r="619" ht="21.0" customHeight="1">
      <c r="A619" s="421"/>
    </row>
    <row r="620" ht="21.0" customHeight="1">
      <c r="A620" s="421"/>
    </row>
    <row r="621" ht="21.0" customHeight="1">
      <c r="A621" s="421"/>
    </row>
    <row r="622" ht="21.0" customHeight="1">
      <c r="A622" s="421"/>
    </row>
    <row r="623" ht="21.0" customHeight="1">
      <c r="A623" s="421"/>
    </row>
    <row r="624" ht="21.0" customHeight="1">
      <c r="A624" s="421"/>
    </row>
    <row r="625" ht="21.0" customHeight="1">
      <c r="A625" s="421"/>
    </row>
    <row r="626" ht="21.0" customHeight="1">
      <c r="A626" s="421"/>
    </row>
    <row r="627" ht="21.0" customHeight="1">
      <c r="A627" s="421"/>
    </row>
    <row r="628" ht="21.0" customHeight="1">
      <c r="A628" s="421"/>
    </row>
    <row r="629" ht="21.0" customHeight="1">
      <c r="A629" s="421"/>
    </row>
    <row r="630" ht="21.0" customHeight="1">
      <c r="A630" s="421"/>
    </row>
    <row r="631" ht="21.0" customHeight="1">
      <c r="A631" s="421"/>
    </row>
    <row r="632" ht="21.0" customHeight="1">
      <c r="A632" s="421"/>
    </row>
    <row r="633" ht="21.0" customHeight="1">
      <c r="A633" s="421"/>
    </row>
    <row r="634" ht="21.0" customHeight="1">
      <c r="A634" s="421"/>
    </row>
    <row r="635" ht="21.0" customHeight="1">
      <c r="A635" s="421"/>
    </row>
    <row r="636" ht="21.0" customHeight="1">
      <c r="A636" s="421"/>
    </row>
    <row r="637" ht="21.0" customHeight="1">
      <c r="A637" s="421"/>
    </row>
    <row r="638" ht="21.0" customHeight="1">
      <c r="A638" s="421"/>
    </row>
    <row r="639" ht="21.0" customHeight="1">
      <c r="A639" s="421"/>
    </row>
    <row r="640" ht="21.0" customHeight="1">
      <c r="A640" s="421"/>
    </row>
    <row r="641" ht="21.0" customHeight="1">
      <c r="A641" s="421"/>
    </row>
    <row r="642" ht="21.0" customHeight="1">
      <c r="A642" s="421"/>
    </row>
    <row r="643" ht="21.0" customHeight="1">
      <c r="A643" s="421"/>
    </row>
    <row r="644" ht="21.0" customHeight="1">
      <c r="A644" s="421"/>
    </row>
    <row r="645" ht="21.0" customHeight="1">
      <c r="A645" s="421"/>
    </row>
    <row r="646" ht="21.0" customHeight="1">
      <c r="A646" s="421"/>
    </row>
    <row r="647" ht="21.0" customHeight="1">
      <c r="A647" s="421"/>
    </row>
    <row r="648" ht="21.0" customHeight="1">
      <c r="A648" s="421"/>
    </row>
    <row r="649" ht="21.0" customHeight="1">
      <c r="A649" s="421"/>
    </row>
    <row r="650" ht="21.0" customHeight="1">
      <c r="A650" s="421"/>
    </row>
    <row r="651" ht="21.0" customHeight="1">
      <c r="A651" s="421"/>
    </row>
    <row r="652" ht="21.0" customHeight="1">
      <c r="A652" s="421"/>
    </row>
    <row r="653" ht="21.0" customHeight="1">
      <c r="A653" s="421"/>
    </row>
    <row r="654" ht="21.0" customHeight="1">
      <c r="A654" s="421"/>
    </row>
    <row r="655" ht="21.0" customHeight="1">
      <c r="A655" s="421"/>
    </row>
    <row r="656" ht="21.0" customHeight="1">
      <c r="A656" s="421"/>
    </row>
    <row r="657" ht="14.25" customHeight="1">
      <c r="A657" s="424"/>
    </row>
    <row r="658" ht="14.25" customHeight="1">
      <c r="A658" s="424"/>
    </row>
    <row r="659" ht="14.25" customHeight="1">
      <c r="A659" s="424"/>
    </row>
    <row r="660" ht="14.25" customHeight="1">
      <c r="A660" s="424"/>
    </row>
    <row r="661" ht="14.25" customHeight="1">
      <c r="A661" s="424"/>
    </row>
    <row r="662" ht="14.25" customHeight="1">
      <c r="A662" s="424"/>
    </row>
    <row r="663" ht="14.25" customHeight="1">
      <c r="A663" s="424"/>
    </row>
    <row r="664" ht="14.25" customHeight="1">
      <c r="A664" s="424"/>
    </row>
    <row r="665" ht="14.25" customHeight="1">
      <c r="A665" s="424"/>
    </row>
    <row r="666" ht="14.25" customHeight="1">
      <c r="A666" s="424"/>
    </row>
    <row r="667" ht="14.25" customHeight="1">
      <c r="A667" s="424"/>
    </row>
    <row r="668" ht="14.25" customHeight="1">
      <c r="A668" s="424"/>
    </row>
    <row r="669" ht="14.25" customHeight="1">
      <c r="A669" s="424"/>
    </row>
    <row r="670" ht="14.25" customHeight="1">
      <c r="A670" s="424"/>
    </row>
    <row r="671" ht="14.25" customHeight="1">
      <c r="A671" s="424"/>
    </row>
    <row r="672" ht="14.25" customHeight="1">
      <c r="A672" s="424"/>
    </row>
    <row r="673" ht="14.25" customHeight="1">
      <c r="A673" s="424"/>
    </row>
    <row r="674" ht="14.25" customHeight="1">
      <c r="A674" s="424"/>
    </row>
    <row r="675" ht="14.25" customHeight="1">
      <c r="A675" s="424"/>
    </row>
    <row r="676" ht="14.25" customHeight="1">
      <c r="A676" s="424"/>
    </row>
    <row r="677" ht="14.25" customHeight="1">
      <c r="A677" s="424"/>
    </row>
    <row r="678" ht="14.25" customHeight="1">
      <c r="A678" s="424"/>
    </row>
    <row r="679" ht="14.25" customHeight="1">
      <c r="A679" s="424"/>
    </row>
    <row r="680" ht="14.25" customHeight="1">
      <c r="A680" s="424"/>
    </row>
    <row r="681" ht="14.25" customHeight="1">
      <c r="A681" s="424"/>
    </row>
    <row r="682" ht="14.25" customHeight="1">
      <c r="A682" s="424"/>
    </row>
    <row r="683" ht="14.25" customHeight="1">
      <c r="A683" s="424"/>
    </row>
    <row r="684" ht="14.25" customHeight="1">
      <c r="A684" s="424"/>
    </row>
    <row r="685" ht="14.25" customHeight="1">
      <c r="A685" s="424"/>
    </row>
    <row r="686" ht="14.25" customHeight="1">
      <c r="A686" s="424"/>
    </row>
    <row r="687" ht="14.25" customHeight="1">
      <c r="A687" s="424"/>
    </row>
    <row r="688" ht="14.25" customHeight="1">
      <c r="A688" s="424"/>
    </row>
    <row r="689" ht="14.25" customHeight="1">
      <c r="A689" s="424"/>
    </row>
    <row r="690" ht="14.25" customHeight="1">
      <c r="A690" s="424"/>
    </row>
    <row r="691" ht="14.25" customHeight="1">
      <c r="A691" s="424"/>
    </row>
    <row r="692" ht="14.25" customHeight="1">
      <c r="A692" s="424"/>
    </row>
    <row r="693" ht="14.25" customHeight="1">
      <c r="A693" s="424"/>
    </row>
    <row r="694" ht="14.25" customHeight="1">
      <c r="A694" s="424"/>
    </row>
    <row r="695" ht="14.25" customHeight="1">
      <c r="A695" s="424"/>
    </row>
    <row r="696" ht="14.25" customHeight="1">
      <c r="A696" s="424"/>
    </row>
    <row r="697" ht="14.25" customHeight="1">
      <c r="A697" s="424"/>
    </row>
    <row r="698" ht="14.25" customHeight="1">
      <c r="A698" s="424"/>
    </row>
    <row r="699" ht="14.25" customHeight="1">
      <c r="A699" s="424"/>
    </row>
    <row r="700" ht="14.25" customHeight="1">
      <c r="A700" s="424"/>
    </row>
    <row r="701" ht="14.25" customHeight="1">
      <c r="A701" s="424"/>
    </row>
    <row r="702" ht="14.25" customHeight="1">
      <c r="A702" s="424"/>
    </row>
    <row r="703" ht="14.25" customHeight="1">
      <c r="A703" s="424"/>
    </row>
    <row r="704" ht="14.25" customHeight="1">
      <c r="A704" s="424"/>
    </row>
    <row r="705" ht="14.25" customHeight="1">
      <c r="A705" s="424"/>
    </row>
    <row r="706" ht="14.25" customHeight="1">
      <c r="A706" s="424"/>
    </row>
    <row r="707" ht="14.25" customHeight="1">
      <c r="A707" s="424"/>
    </row>
    <row r="708" ht="14.25" customHeight="1">
      <c r="A708" s="424"/>
    </row>
    <row r="709" ht="14.25" customHeight="1">
      <c r="A709" s="424"/>
    </row>
    <row r="710" ht="14.25" customHeight="1">
      <c r="A710" s="424"/>
    </row>
    <row r="711" ht="14.25" customHeight="1">
      <c r="A711" s="424"/>
    </row>
    <row r="712" ht="14.25" customHeight="1">
      <c r="A712" s="424"/>
    </row>
    <row r="713" ht="14.25" customHeight="1">
      <c r="A713" s="424"/>
    </row>
    <row r="714" ht="14.25" customHeight="1">
      <c r="A714" s="424"/>
    </row>
    <row r="715" ht="14.25" customHeight="1">
      <c r="A715" s="424"/>
    </row>
    <row r="716" ht="14.25" customHeight="1">
      <c r="A716" s="424"/>
    </row>
    <row r="717" ht="14.25" customHeight="1">
      <c r="A717" s="424"/>
    </row>
    <row r="718" ht="14.25" customHeight="1">
      <c r="A718" s="424"/>
    </row>
    <row r="719" ht="14.25" customHeight="1">
      <c r="A719" s="424"/>
    </row>
    <row r="720" ht="14.25" customHeight="1">
      <c r="A720" s="424"/>
    </row>
    <row r="721" ht="14.25" customHeight="1">
      <c r="A721" s="424"/>
    </row>
    <row r="722" ht="14.25" customHeight="1">
      <c r="A722" s="424"/>
    </row>
    <row r="723" ht="14.25" customHeight="1">
      <c r="A723" s="424"/>
    </row>
    <row r="724" ht="14.25" customHeight="1">
      <c r="A724" s="424"/>
    </row>
    <row r="725" ht="14.25" customHeight="1">
      <c r="A725" s="424"/>
    </row>
    <row r="726" ht="14.25" customHeight="1">
      <c r="A726" s="424"/>
    </row>
    <row r="727" ht="14.25" customHeight="1">
      <c r="A727" s="424"/>
    </row>
    <row r="728" ht="14.25" customHeight="1">
      <c r="A728" s="424"/>
    </row>
    <row r="729" ht="14.25" customHeight="1">
      <c r="A729" s="424"/>
    </row>
    <row r="730" ht="14.25" customHeight="1">
      <c r="A730" s="424"/>
    </row>
    <row r="731" ht="14.25" customHeight="1">
      <c r="A731" s="424"/>
    </row>
    <row r="732" ht="14.25" customHeight="1">
      <c r="A732" s="424"/>
    </row>
    <row r="733" ht="14.25" customHeight="1">
      <c r="A733" s="424"/>
    </row>
    <row r="734" ht="14.25" customHeight="1">
      <c r="A734" s="424"/>
    </row>
    <row r="735" ht="14.25" customHeight="1">
      <c r="A735" s="424"/>
    </row>
    <row r="736" ht="14.25" customHeight="1">
      <c r="A736" s="424"/>
    </row>
    <row r="737" ht="14.25" customHeight="1">
      <c r="A737" s="424"/>
    </row>
    <row r="738" ht="14.25" customHeight="1">
      <c r="A738" s="424"/>
    </row>
    <row r="739" ht="14.25" customHeight="1">
      <c r="A739" s="424"/>
    </row>
    <row r="740" ht="14.25" customHeight="1">
      <c r="A740" s="424"/>
    </row>
    <row r="741" ht="14.25" customHeight="1">
      <c r="A741" s="424"/>
    </row>
    <row r="742" ht="14.25" customHeight="1">
      <c r="A742" s="424"/>
    </row>
    <row r="743" ht="14.25" customHeight="1">
      <c r="A743" s="424"/>
    </row>
    <row r="744" ht="14.25" customHeight="1">
      <c r="A744" s="424"/>
    </row>
    <row r="745" ht="14.25" customHeight="1">
      <c r="A745" s="424"/>
    </row>
    <row r="746" ht="14.25" customHeight="1">
      <c r="A746" s="424"/>
    </row>
    <row r="747" ht="14.25" customHeight="1">
      <c r="A747" s="424"/>
    </row>
    <row r="748" ht="14.25" customHeight="1">
      <c r="A748" s="424"/>
    </row>
    <row r="749" ht="14.25" customHeight="1">
      <c r="A749" s="424"/>
    </row>
    <row r="750" ht="14.25" customHeight="1">
      <c r="A750" s="424"/>
    </row>
    <row r="751" ht="14.25" customHeight="1">
      <c r="A751" s="424"/>
    </row>
    <row r="752" ht="14.25" customHeight="1">
      <c r="A752" s="424"/>
    </row>
    <row r="753" ht="14.25" customHeight="1">
      <c r="A753" s="424"/>
    </row>
    <row r="754" ht="14.25" customHeight="1">
      <c r="A754" s="424"/>
    </row>
    <row r="755" ht="14.25" customHeight="1">
      <c r="A755" s="424"/>
    </row>
    <row r="756" ht="14.25" customHeight="1">
      <c r="A756" s="424"/>
    </row>
    <row r="757" ht="14.25" customHeight="1">
      <c r="A757" s="424"/>
    </row>
    <row r="758" ht="14.25" customHeight="1">
      <c r="A758" s="424"/>
    </row>
    <row r="759" ht="14.25" customHeight="1">
      <c r="A759" s="424"/>
    </row>
    <row r="760" ht="14.25" customHeight="1">
      <c r="A760" s="424"/>
    </row>
    <row r="761" ht="14.25" customHeight="1">
      <c r="A761" s="424"/>
    </row>
    <row r="762" ht="14.25" customHeight="1">
      <c r="A762" s="424"/>
    </row>
    <row r="763" ht="14.25" customHeight="1">
      <c r="A763" s="424"/>
    </row>
    <row r="764" ht="14.25" customHeight="1">
      <c r="A764" s="424"/>
    </row>
    <row r="765" ht="14.25" customHeight="1">
      <c r="A765" s="424"/>
    </row>
    <row r="766" ht="14.25" customHeight="1">
      <c r="A766" s="424"/>
    </row>
    <row r="767" ht="14.25" customHeight="1">
      <c r="A767" s="424"/>
    </row>
    <row r="768" ht="14.25" customHeight="1">
      <c r="A768" s="424"/>
    </row>
    <row r="769" ht="14.25" customHeight="1">
      <c r="A769" s="424"/>
    </row>
    <row r="770" ht="14.25" customHeight="1">
      <c r="A770" s="424"/>
    </row>
    <row r="771" ht="14.25" customHeight="1">
      <c r="A771" s="424"/>
    </row>
    <row r="772" ht="14.25" customHeight="1">
      <c r="A772" s="424"/>
    </row>
    <row r="773" ht="14.25" customHeight="1">
      <c r="A773" s="424"/>
    </row>
    <row r="774" ht="14.25" customHeight="1">
      <c r="A774" s="424"/>
    </row>
    <row r="775" ht="14.25" customHeight="1">
      <c r="A775" s="424"/>
    </row>
    <row r="776" ht="14.25" customHeight="1">
      <c r="A776" s="424"/>
    </row>
    <row r="777" ht="14.25" customHeight="1">
      <c r="A777" s="424"/>
    </row>
    <row r="778" ht="14.25" customHeight="1">
      <c r="A778" s="424"/>
    </row>
    <row r="779" ht="14.25" customHeight="1">
      <c r="A779" s="424"/>
    </row>
    <row r="780" ht="14.25" customHeight="1">
      <c r="A780" s="424"/>
    </row>
    <row r="781" ht="14.25" customHeight="1">
      <c r="A781" s="424"/>
    </row>
    <row r="782" ht="14.25" customHeight="1">
      <c r="A782" s="424"/>
    </row>
    <row r="783" ht="14.25" customHeight="1">
      <c r="A783" s="424"/>
    </row>
    <row r="784" ht="14.25" customHeight="1">
      <c r="A784" s="424"/>
    </row>
    <row r="785" ht="14.25" customHeight="1">
      <c r="A785" s="424"/>
    </row>
    <row r="786" ht="14.25" customHeight="1">
      <c r="A786" s="424"/>
    </row>
    <row r="787" ht="14.25" customHeight="1">
      <c r="A787" s="424"/>
    </row>
    <row r="788" ht="14.25" customHeight="1">
      <c r="A788" s="424"/>
    </row>
    <row r="789" ht="14.25" customHeight="1">
      <c r="A789" s="424"/>
    </row>
    <row r="790" ht="14.25" customHeight="1">
      <c r="A790" s="424"/>
    </row>
    <row r="791" ht="14.25" customHeight="1">
      <c r="A791" s="424"/>
    </row>
    <row r="792" ht="14.25" customHeight="1">
      <c r="A792" s="424"/>
    </row>
    <row r="793" ht="14.25" customHeight="1">
      <c r="A793" s="424"/>
    </row>
    <row r="794" ht="14.25" customHeight="1">
      <c r="A794" s="424"/>
    </row>
    <row r="795" ht="14.25" customHeight="1">
      <c r="A795" s="424"/>
    </row>
    <row r="796" ht="14.25" customHeight="1">
      <c r="A796" s="424"/>
    </row>
    <row r="797" ht="14.25" customHeight="1">
      <c r="A797" s="424"/>
    </row>
    <row r="798" ht="14.25" customHeight="1">
      <c r="A798" s="424"/>
    </row>
    <row r="799" ht="14.25" customHeight="1">
      <c r="A799" s="424"/>
    </row>
    <row r="800" ht="14.25" customHeight="1">
      <c r="A800" s="424"/>
    </row>
    <row r="801" ht="14.25" customHeight="1">
      <c r="A801" s="424"/>
    </row>
    <row r="802" ht="14.25" customHeight="1">
      <c r="A802" s="424"/>
    </row>
    <row r="803" ht="14.25" customHeight="1">
      <c r="A803" s="424"/>
    </row>
    <row r="804" ht="14.25" customHeight="1">
      <c r="A804" s="424"/>
    </row>
    <row r="805" ht="14.25" customHeight="1">
      <c r="A805" s="424"/>
    </row>
    <row r="806" ht="14.25" customHeight="1">
      <c r="A806" s="424"/>
    </row>
    <row r="807" ht="14.25" customHeight="1">
      <c r="A807" s="424"/>
    </row>
    <row r="808" ht="14.25" customHeight="1">
      <c r="A808" s="424"/>
    </row>
    <row r="809" ht="14.25" customHeight="1">
      <c r="A809" s="424"/>
    </row>
    <row r="810" ht="14.25" customHeight="1">
      <c r="A810" s="424"/>
    </row>
    <row r="811" ht="14.25" customHeight="1">
      <c r="A811" s="424"/>
    </row>
    <row r="812" ht="14.25" customHeight="1">
      <c r="A812" s="424"/>
    </row>
    <row r="813" ht="14.25" customHeight="1">
      <c r="A813" s="424"/>
    </row>
    <row r="814" ht="14.25" customHeight="1">
      <c r="A814" s="424"/>
    </row>
    <row r="815" ht="14.25" customHeight="1">
      <c r="A815" s="424"/>
    </row>
    <row r="816" ht="14.25" customHeight="1">
      <c r="A816" s="424"/>
    </row>
    <row r="817" ht="14.25" customHeight="1">
      <c r="A817" s="424"/>
    </row>
    <row r="818" ht="14.25" customHeight="1">
      <c r="A818" s="424"/>
    </row>
    <row r="819" ht="14.25" customHeight="1">
      <c r="A819" s="424"/>
    </row>
    <row r="820" ht="14.25" customHeight="1">
      <c r="A820" s="424"/>
    </row>
    <row r="821" ht="14.25" customHeight="1">
      <c r="A821" s="424"/>
    </row>
    <row r="822" ht="14.25" customHeight="1">
      <c r="A822" s="424"/>
    </row>
    <row r="823" ht="14.25" customHeight="1">
      <c r="A823" s="424"/>
    </row>
    <row r="824" ht="14.25" customHeight="1">
      <c r="A824" s="424"/>
    </row>
    <row r="825" ht="14.25" customHeight="1">
      <c r="A825" s="424"/>
    </row>
    <row r="826" ht="14.25" customHeight="1">
      <c r="A826" s="424"/>
    </row>
    <row r="827" ht="14.25" customHeight="1">
      <c r="A827" s="424"/>
    </row>
    <row r="828" ht="14.25" customHeight="1">
      <c r="A828" s="424"/>
    </row>
    <row r="829" ht="14.25" customHeight="1">
      <c r="A829" s="424"/>
    </row>
    <row r="830" ht="14.25" customHeight="1">
      <c r="A830" s="424"/>
    </row>
    <row r="831" ht="14.25" customHeight="1">
      <c r="A831" s="424"/>
    </row>
    <row r="832" ht="14.25" customHeight="1">
      <c r="A832" s="424"/>
    </row>
    <row r="833" ht="14.25" customHeight="1">
      <c r="A833" s="424"/>
    </row>
    <row r="834" ht="14.25" customHeight="1">
      <c r="A834" s="424"/>
    </row>
    <row r="835" ht="14.25" customHeight="1">
      <c r="A835" s="424"/>
    </row>
    <row r="836" ht="14.25" customHeight="1">
      <c r="A836" s="424"/>
    </row>
    <row r="837" ht="14.25" customHeight="1">
      <c r="A837" s="424"/>
    </row>
    <row r="838" ht="14.25" customHeight="1">
      <c r="A838" s="424"/>
    </row>
    <row r="839" ht="14.25" customHeight="1">
      <c r="A839" s="424"/>
    </row>
    <row r="840" ht="14.25" customHeight="1">
      <c r="A840" s="424"/>
    </row>
    <row r="841" ht="14.25" customHeight="1">
      <c r="A841" s="424"/>
    </row>
    <row r="842" ht="14.25" customHeight="1">
      <c r="A842" s="424"/>
    </row>
    <row r="843" ht="14.25" customHeight="1">
      <c r="A843" s="424"/>
    </row>
    <row r="844" ht="14.25" customHeight="1">
      <c r="A844" s="424"/>
    </row>
    <row r="845" ht="14.25" customHeight="1">
      <c r="A845" s="424"/>
    </row>
    <row r="846" ht="14.25" customHeight="1">
      <c r="A846" s="424"/>
    </row>
    <row r="847" ht="14.25" customHeight="1">
      <c r="A847" s="424"/>
    </row>
    <row r="848" ht="14.25" customHeight="1">
      <c r="A848" s="424"/>
    </row>
    <row r="849" ht="14.25" customHeight="1">
      <c r="A849" s="424"/>
    </row>
    <row r="850" ht="14.25" customHeight="1">
      <c r="A850" s="424"/>
    </row>
    <row r="851" ht="14.25" customHeight="1">
      <c r="A851" s="424"/>
    </row>
    <row r="852" ht="14.25" customHeight="1">
      <c r="A852" s="424"/>
    </row>
    <row r="853" ht="14.25" customHeight="1">
      <c r="A853" s="424"/>
    </row>
    <row r="854" ht="14.25" customHeight="1">
      <c r="A854" s="424"/>
    </row>
    <row r="855" ht="14.25" customHeight="1">
      <c r="A855" s="424"/>
    </row>
    <row r="856" ht="14.25" customHeight="1">
      <c r="A856" s="424"/>
    </row>
    <row r="857" ht="14.25" customHeight="1">
      <c r="A857" s="424"/>
    </row>
    <row r="858" ht="14.25" customHeight="1">
      <c r="A858" s="424"/>
    </row>
    <row r="859" ht="14.25" customHeight="1">
      <c r="A859" s="424"/>
    </row>
    <row r="860" ht="14.25" customHeight="1">
      <c r="A860" s="424"/>
    </row>
    <row r="861" ht="14.25" customHeight="1">
      <c r="A861" s="424"/>
    </row>
    <row r="862" ht="14.25" customHeight="1">
      <c r="A862" s="424"/>
    </row>
    <row r="863" ht="14.25" customHeight="1">
      <c r="A863" s="424"/>
    </row>
    <row r="864" ht="14.25" customHeight="1">
      <c r="A864" s="424"/>
    </row>
    <row r="865" ht="14.25" customHeight="1">
      <c r="A865" s="424"/>
    </row>
    <row r="866" ht="14.25" customHeight="1">
      <c r="A866" s="424"/>
    </row>
    <row r="867" ht="14.25" customHeight="1">
      <c r="A867" s="424"/>
    </row>
    <row r="868" ht="14.25" customHeight="1">
      <c r="A868" s="424"/>
    </row>
    <row r="869" ht="14.25" customHeight="1">
      <c r="A869" s="424"/>
    </row>
    <row r="870" ht="14.25" customHeight="1">
      <c r="A870" s="424"/>
    </row>
    <row r="871" ht="14.25" customHeight="1">
      <c r="A871" s="424"/>
    </row>
    <row r="872" ht="14.25" customHeight="1">
      <c r="A872" s="424"/>
    </row>
    <row r="873" ht="14.25" customHeight="1">
      <c r="A873" s="424"/>
    </row>
    <row r="874" ht="14.25" customHeight="1">
      <c r="A874" s="424"/>
    </row>
    <row r="875" ht="14.25" customHeight="1">
      <c r="A875" s="424"/>
    </row>
    <row r="876" ht="14.25" customHeight="1">
      <c r="A876" s="424"/>
    </row>
    <row r="877" ht="14.25" customHeight="1">
      <c r="A877" s="424"/>
    </row>
    <row r="878" ht="14.25" customHeight="1">
      <c r="A878" s="424"/>
    </row>
    <row r="879" ht="14.25" customHeight="1">
      <c r="A879" s="424"/>
    </row>
    <row r="880" ht="14.25" customHeight="1">
      <c r="A880" s="424"/>
    </row>
    <row r="881" ht="14.25" customHeight="1">
      <c r="A881" s="424"/>
    </row>
    <row r="882" ht="14.25" customHeight="1">
      <c r="A882" s="424"/>
    </row>
    <row r="883" ht="14.25" customHeight="1">
      <c r="A883" s="424"/>
    </row>
    <row r="884" ht="14.25" customHeight="1">
      <c r="A884" s="424"/>
    </row>
    <row r="885" ht="14.25" customHeight="1">
      <c r="A885" s="424"/>
    </row>
    <row r="886" ht="14.25" customHeight="1">
      <c r="A886" s="424"/>
    </row>
    <row r="887" ht="14.25" customHeight="1">
      <c r="A887" s="424"/>
    </row>
    <row r="888" ht="14.25" customHeight="1">
      <c r="A888" s="424"/>
    </row>
    <row r="889" ht="14.25" customHeight="1">
      <c r="A889" s="424"/>
    </row>
    <row r="890" ht="14.25" customHeight="1">
      <c r="A890" s="424"/>
    </row>
    <row r="891" ht="14.25" customHeight="1">
      <c r="A891" s="424"/>
    </row>
    <row r="892" ht="14.25" customHeight="1">
      <c r="A892" s="424"/>
    </row>
    <row r="893" ht="14.25" customHeight="1">
      <c r="A893" s="424"/>
    </row>
    <row r="894" ht="14.25" customHeight="1">
      <c r="A894" s="424"/>
    </row>
    <row r="895" ht="14.25" customHeight="1">
      <c r="A895" s="424"/>
    </row>
    <row r="896" ht="14.25" customHeight="1">
      <c r="A896" s="424"/>
    </row>
    <row r="897" ht="14.25" customHeight="1">
      <c r="A897" s="424"/>
    </row>
    <row r="898" ht="14.25" customHeight="1">
      <c r="A898" s="424"/>
    </row>
    <row r="899" ht="14.25" customHeight="1">
      <c r="A899" s="424"/>
    </row>
    <row r="900" ht="14.25" customHeight="1">
      <c r="A900" s="424"/>
    </row>
    <row r="901" ht="14.25" customHeight="1">
      <c r="A901" s="424"/>
    </row>
    <row r="902" ht="14.25" customHeight="1">
      <c r="A902" s="424"/>
    </row>
    <row r="903" ht="14.25" customHeight="1">
      <c r="A903" s="424"/>
    </row>
    <row r="904" ht="14.25" customHeight="1">
      <c r="A904" s="424"/>
    </row>
    <row r="905" ht="14.25" customHeight="1">
      <c r="A905" s="424"/>
    </row>
    <row r="906" ht="14.25" customHeight="1">
      <c r="A906" s="424"/>
    </row>
    <row r="907" ht="14.25" customHeight="1">
      <c r="A907" s="424"/>
    </row>
    <row r="908" ht="14.25" customHeight="1">
      <c r="A908" s="424"/>
    </row>
    <row r="909" ht="14.25" customHeight="1">
      <c r="A909" s="424"/>
    </row>
    <row r="910" ht="14.25" customHeight="1">
      <c r="A910" s="424"/>
    </row>
    <row r="911" ht="14.25" customHeight="1">
      <c r="A911" s="424"/>
    </row>
    <row r="912" ht="14.25" customHeight="1">
      <c r="A912" s="424"/>
    </row>
    <row r="913" ht="14.25" customHeight="1">
      <c r="A913" s="424"/>
    </row>
    <row r="914" ht="14.25" customHeight="1">
      <c r="A914" s="424"/>
    </row>
    <row r="915" ht="14.25" customHeight="1">
      <c r="A915" s="424"/>
    </row>
    <row r="916" ht="14.25" customHeight="1">
      <c r="A916" s="424"/>
    </row>
    <row r="917" ht="14.25" customHeight="1">
      <c r="A917" s="424"/>
    </row>
    <row r="918" ht="14.25" customHeight="1">
      <c r="A918" s="424"/>
    </row>
    <row r="919" ht="14.25" customHeight="1">
      <c r="A919" s="424"/>
    </row>
    <row r="920" ht="14.25" customHeight="1">
      <c r="A920" s="424"/>
    </row>
    <row r="921" ht="14.25" customHeight="1">
      <c r="A921" s="424"/>
    </row>
    <row r="922" ht="14.25" customHeight="1">
      <c r="A922" s="424"/>
    </row>
    <row r="923" ht="14.25" customHeight="1">
      <c r="A923" s="424"/>
    </row>
    <row r="924" ht="14.25" customHeight="1">
      <c r="A924" s="424"/>
    </row>
    <row r="925" ht="14.25" customHeight="1">
      <c r="A925" s="424"/>
    </row>
    <row r="926" ht="14.25" customHeight="1">
      <c r="A926" s="424"/>
    </row>
    <row r="927" ht="14.25" customHeight="1">
      <c r="A927" s="424"/>
    </row>
    <row r="928" ht="14.25" customHeight="1">
      <c r="A928" s="424"/>
    </row>
    <row r="929" ht="14.25" customHeight="1">
      <c r="A929" s="424"/>
    </row>
    <row r="930" ht="14.25" customHeight="1">
      <c r="A930" s="424"/>
    </row>
    <row r="931" ht="14.25" customHeight="1">
      <c r="A931" s="424"/>
    </row>
    <row r="932" ht="14.25" customHeight="1">
      <c r="A932" s="424"/>
    </row>
    <row r="933" ht="14.25" customHeight="1">
      <c r="A933" s="424"/>
    </row>
    <row r="934" ht="14.25" customHeight="1">
      <c r="A934" s="424"/>
    </row>
    <row r="935" ht="14.25" customHeight="1">
      <c r="A935" s="424"/>
    </row>
    <row r="936" ht="14.25" customHeight="1">
      <c r="A936" s="424"/>
    </row>
    <row r="937" ht="14.25" customHeight="1">
      <c r="A937" s="424"/>
    </row>
    <row r="938" ht="14.25" customHeight="1">
      <c r="A938" s="424"/>
    </row>
    <row r="939" ht="14.25" customHeight="1">
      <c r="A939" s="424"/>
    </row>
    <row r="940" ht="14.25" customHeight="1">
      <c r="A940" s="424"/>
    </row>
    <row r="941" ht="14.25" customHeight="1">
      <c r="A941" s="424"/>
    </row>
    <row r="942" ht="14.25" customHeight="1">
      <c r="A942" s="424"/>
    </row>
    <row r="943" ht="14.25" customHeight="1">
      <c r="A943" s="424"/>
    </row>
    <row r="944" ht="14.25" customHeight="1">
      <c r="A944" s="424"/>
    </row>
    <row r="945" ht="14.25" customHeight="1">
      <c r="A945" s="424"/>
    </row>
    <row r="946" ht="14.25" customHeight="1">
      <c r="A946" s="424"/>
    </row>
    <row r="947" ht="14.25" customHeight="1">
      <c r="A947" s="424"/>
    </row>
    <row r="948" ht="14.25" customHeight="1">
      <c r="A948" s="424"/>
    </row>
    <row r="949" ht="14.25" customHeight="1">
      <c r="A949" s="424"/>
    </row>
    <row r="950" ht="14.25" customHeight="1">
      <c r="A950" s="424"/>
    </row>
    <row r="951" ht="14.25" customHeight="1">
      <c r="A951" s="424"/>
    </row>
    <row r="952" ht="14.25" customHeight="1">
      <c r="A952" s="424"/>
    </row>
    <row r="953" ht="14.25" customHeight="1">
      <c r="A953" s="424"/>
    </row>
    <row r="954" ht="14.25" customHeight="1">
      <c r="A954" s="424"/>
    </row>
    <row r="955" ht="14.25" customHeight="1">
      <c r="A955" s="424"/>
    </row>
    <row r="956" ht="14.25" customHeight="1">
      <c r="A956" s="424"/>
    </row>
    <row r="957" ht="14.25" customHeight="1">
      <c r="A957" s="424"/>
    </row>
    <row r="958" ht="14.25" customHeight="1">
      <c r="A958" s="424"/>
    </row>
    <row r="959" ht="14.25" customHeight="1">
      <c r="A959" s="424"/>
    </row>
    <row r="960" ht="14.25" customHeight="1">
      <c r="A960" s="424"/>
    </row>
    <row r="961" ht="14.25" customHeight="1">
      <c r="A961" s="424"/>
    </row>
    <row r="962" ht="14.25" customHeight="1">
      <c r="A962" s="424"/>
    </row>
    <row r="963" ht="14.25" customHeight="1">
      <c r="A963" s="424"/>
    </row>
    <row r="964" ht="14.25" customHeight="1">
      <c r="A964" s="424"/>
    </row>
    <row r="965" ht="14.25" customHeight="1">
      <c r="A965" s="424"/>
    </row>
    <row r="966" ht="14.25" customHeight="1">
      <c r="A966" s="424"/>
    </row>
    <row r="967" ht="14.25" customHeight="1">
      <c r="A967" s="424"/>
    </row>
    <row r="968" ht="14.25" customHeight="1">
      <c r="A968" s="424"/>
    </row>
    <row r="969" ht="14.25" customHeight="1">
      <c r="A969" s="424"/>
    </row>
    <row r="970" ht="14.25" customHeight="1">
      <c r="A970" s="424"/>
    </row>
    <row r="971" ht="14.25" customHeight="1">
      <c r="A971" s="424"/>
    </row>
    <row r="972" ht="14.25" customHeight="1">
      <c r="A972" s="424"/>
    </row>
    <row r="973" ht="14.25" customHeight="1">
      <c r="A973" s="424"/>
    </row>
    <row r="974" ht="14.25" customHeight="1">
      <c r="A974" s="424"/>
    </row>
    <row r="975" ht="14.25" customHeight="1">
      <c r="A975" s="424"/>
    </row>
    <row r="976" ht="14.25" customHeight="1">
      <c r="A976" s="424"/>
    </row>
    <row r="977" ht="14.25" customHeight="1">
      <c r="A977" s="424"/>
    </row>
    <row r="978" ht="14.25" customHeight="1">
      <c r="A978" s="424"/>
    </row>
    <row r="979" ht="14.25" customHeight="1">
      <c r="A979" s="424"/>
    </row>
    <row r="980" ht="14.25" customHeight="1">
      <c r="A980" s="424"/>
    </row>
    <row r="981" ht="14.25" customHeight="1">
      <c r="A981" s="424"/>
    </row>
  </sheetData>
  <autoFilter ref="$A$1:$A$145">
    <sortState ref="A1:A145">
      <sortCondition ref="A1:A145"/>
    </sortState>
  </autoFilter>
  <dataValidations>
    <dataValidation type="list" allowBlank="1" showErrorMessage="1" sqref="B516">
      <formula1>'Responsavel Pelo Disparo'!$A$1:$A$12</formula1>
    </dataValidation>
    <dataValidation type="list" allowBlank="1" showErrorMessage="1" sqref="A503:A513 A516:A540">
      <formula1>Clientes!$A$2:$A$791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9.38"/>
    <col customWidth="1" min="2" max="26" width="8.63"/>
  </cols>
  <sheetData>
    <row r="1" ht="21.0" customHeight="1">
      <c r="A1" s="424" t="s">
        <v>26</v>
      </c>
    </row>
    <row r="2" ht="21.0" customHeight="1">
      <c r="A2" s="424" t="s">
        <v>17</v>
      </c>
    </row>
    <row r="3" ht="21.0" customHeight="1">
      <c r="A3" s="425" t="s">
        <v>615</v>
      </c>
    </row>
    <row r="4" ht="21.0" customHeight="1">
      <c r="A4" s="424" t="s">
        <v>287</v>
      </c>
    </row>
    <row r="5" ht="21.0" customHeight="1">
      <c r="A5" s="424" t="s">
        <v>99</v>
      </c>
    </row>
    <row r="6" ht="21.0" customHeight="1">
      <c r="A6" s="424" t="s">
        <v>503</v>
      </c>
    </row>
    <row r="7" ht="35.25" customHeight="1">
      <c r="A7" s="424" t="s">
        <v>122</v>
      </c>
    </row>
    <row r="8" ht="35.25" customHeight="1">
      <c r="A8" s="424" t="s">
        <v>220</v>
      </c>
    </row>
    <row r="9" ht="35.25" customHeight="1">
      <c r="A9" s="425" t="s">
        <v>1350</v>
      </c>
    </row>
    <row r="10" ht="35.25" customHeight="1">
      <c r="A10" s="424" t="s">
        <v>1133</v>
      </c>
    </row>
    <row r="11" ht="35.25" customHeight="1">
      <c r="A11" s="424" t="s">
        <v>1141</v>
      </c>
    </row>
    <row r="12" ht="35.25" customHeight="1">
      <c r="A12" s="424" t="s">
        <v>1191</v>
      </c>
    </row>
    <row r="13" ht="14.25" customHeight="1"/>
    <row r="14" ht="14.25" customHeight="1">
      <c r="A14" s="1"/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1.63"/>
    <col customWidth="1" min="3" max="4" width="27.63"/>
  </cols>
  <sheetData>
    <row r="1" ht="26.25" customHeight="1">
      <c r="A1" s="426" t="s">
        <v>5</v>
      </c>
      <c r="B1" s="427" t="s">
        <v>3015</v>
      </c>
      <c r="C1" s="427" t="s">
        <v>3016</v>
      </c>
      <c r="D1" s="427" t="s">
        <v>3017</v>
      </c>
    </row>
    <row r="2" ht="26.25" customHeight="1">
      <c r="A2" s="428" t="s">
        <v>115</v>
      </c>
      <c r="B2" s="429" t="s">
        <v>3018</v>
      </c>
      <c r="C2" s="429" t="s">
        <v>3019</v>
      </c>
      <c r="D2" s="429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  <c r="Y2" s="430"/>
      <c r="Z2" s="430"/>
    </row>
    <row r="3" ht="24.0" customHeight="1">
      <c r="A3" s="428" t="s">
        <v>115</v>
      </c>
      <c r="B3" s="429" t="s">
        <v>3020</v>
      </c>
      <c r="C3" s="429" t="s">
        <v>3019</v>
      </c>
      <c r="D3" s="429"/>
      <c r="E3" s="430"/>
      <c r="F3" s="430"/>
      <c r="G3" s="430"/>
      <c r="H3" s="430"/>
      <c r="I3" s="430"/>
      <c r="J3" s="430"/>
      <c r="K3" s="430"/>
      <c r="L3" s="430"/>
      <c r="M3" s="430"/>
      <c r="N3" s="430"/>
      <c r="O3" s="430"/>
      <c r="P3" s="430"/>
      <c r="Q3" s="430"/>
      <c r="R3" s="430"/>
      <c r="S3" s="430"/>
      <c r="T3" s="430"/>
      <c r="U3" s="430"/>
      <c r="V3" s="430"/>
      <c r="W3" s="430"/>
      <c r="X3" s="430"/>
      <c r="Y3" s="430"/>
      <c r="Z3" s="430"/>
    </row>
    <row r="4" ht="24.0" customHeight="1">
      <c r="A4" s="431" t="s">
        <v>539</v>
      </c>
      <c r="B4" s="429" t="s">
        <v>3021</v>
      </c>
      <c r="C4" s="429" t="s">
        <v>3019</v>
      </c>
      <c r="D4" s="429" t="s">
        <v>3022</v>
      </c>
    </row>
    <row r="5" ht="24.0" customHeight="1">
      <c r="A5" s="431" t="s">
        <v>2734</v>
      </c>
      <c r="B5" s="429" t="s">
        <v>3023</v>
      </c>
      <c r="C5" s="429" t="s">
        <v>3019</v>
      </c>
      <c r="D5" s="429" t="s">
        <v>3024</v>
      </c>
    </row>
    <row r="6" ht="24.0" customHeight="1">
      <c r="A6" s="431" t="s">
        <v>2172</v>
      </c>
      <c r="B6" s="429" t="s">
        <v>3025</v>
      </c>
      <c r="C6" s="429" t="s">
        <v>3019</v>
      </c>
      <c r="D6" s="429" t="s">
        <v>3026</v>
      </c>
    </row>
    <row r="7" ht="24.0" customHeight="1">
      <c r="A7" s="431" t="s">
        <v>2172</v>
      </c>
      <c r="B7" s="429" t="s">
        <v>3027</v>
      </c>
      <c r="C7" s="429" t="s">
        <v>3019</v>
      </c>
      <c r="D7" s="429" t="s">
        <v>3028</v>
      </c>
    </row>
    <row r="8" ht="24.0" customHeight="1">
      <c r="A8" s="431" t="s">
        <v>2172</v>
      </c>
      <c r="B8" s="429" t="s">
        <v>3029</v>
      </c>
      <c r="C8" s="429" t="s">
        <v>3019</v>
      </c>
      <c r="D8" s="429" t="s">
        <v>3030</v>
      </c>
    </row>
    <row r="9" ht="24.0" customHeight="1">
      <c r="A9" s="431" t="s">
        <v>77</v>
      </c>
      <c r="B9" s="429" t="s">
        <v>3031</v>
      </c>
      <c r="C9" s="429" t="s">
        <v>3019</v>
      </c>
      <c r="D9" s="429" t="s">
        <v>2498</v>
      </c>
    </row>
    <row r="10" ht="24.0" customHeight="1">
      <c r="A10" s="431" t="s">
        <v>2172</v>
      </c>
      <c r="B10" s="429" t="s">
        <v>3032</v>
      </c>
      <c r="C10" s="429" t="s">
        <v>3019</v>
      </c>
      <c r="D10" s="429"/>
    </row>
    <row r="11" ht="24.0" customHeight="1">
      <c r="A11" s="431" t="s">
        <v>2172</v>
      </c>
      <c r="B11" s="429" t="s">
        <v>3033</v>
      </c>
      <c r="C11" s="429" t="s">
        <v>3019</v>
      </c>
      <c r="D11" s="429"/>
    </row>
    <row r="12" ht="24.0" customHeight="1">
      <c r="A12" s="431" t="s">
        <v>2018</v>
      </c>
      <c r="B12" s="429" t="s">
        <v>2443</v>
      </c>
      <c r="C12" s="429" t="s">
        <v>3019</v>
      </c>
      <c r="D12" s="429" t="s">
        <v>2393</v>
      </c>
    </row>
    <row r="13" ht="24.0" customHeight="1">
      <c r="A13" s="431" t="s">
        <v>2927</v>
      </c>
      <c r="B13" s="429" t="s">
        <v>2928</v>
      </c>
      <c r="C13" s="429" t="s">
        <v>3019</v>
      </c>
      <c r="D13" s="429" t="s">
        <v>2929</v>
      </c>
    </row>
    <row r="14" ht="24.0" customHeight="1">
      <c r="A14" s="431" t="s">
        <v>2927</v>
      </c>
      <c r="B14" s="429" t="s">
        <v>2930</v>
      </c>
      <c r="C14" s="429" t="s">
        <v>3019</v>
      </c>
      <c r="D14" s="432">
        <v>4.19713607728385E15</v>
      </c>
    </row>
    <row r="15" ht="24.0" customHeight="1">
      <c r="A15" s="431" t="s">
        <v>2927</v>
      </c>
      <c r="B15" s="429" t="s">
        <v>2931</v>
      </c>
      <c r="C15" s="429" t="s">
        <v>3019</v>
      </c>
      <c r="D15" s="429">
        <v>9.38634068540643E14</v>
      </c>
    </row>
    <row r="16" ht="24.0" customHeight="1">
      <c r="A16" s="431" t="s">
        <v>3034</v>
      </c>
      <c r="B16" s="429" t="s">
        <v>3035</v>
      </c>
      <c r="C16" s="429" t="s">
        <v>3019</v>
      </c>
      <c r="D16" s="429" t="s">
        <v>3036</v>
      </c>
    </row>
    <row r="17">
      <c r="A17" s="433" t="s">
        <v>210</v>
      </c>
      <c r="B17" s="11" t="s">
        <v>1912</v>
      </c>
      <c r="C17" s="429" t="s">
        <v>3019</v>
      </c>
      <c r="D17" s="255"/>
    </row>
    <row r="18">
      <c r="A18" s="1"/>
    </row>
  </sheetData>
  <dataValidations>
    <dataValidation type="list" allowBlank="1" showErrorMessage="1" sqref="A6:A8 A10:A11">
      <formula1>Clientes!$A$2:$A$791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38"/>
    <col customWidth="1" min="2" max="4" width="29.25"/>
    <col customWidth="1" min="5" max="5" width="21.5"/>
    <col customWidth="1" min="6" max="6" width="29.38"/>
    <col customWidth="1" min="7" max="26" width="8.63"/>
  </cols>
  <sheetData>
    <row r="1" ht="33.0" customHeight="1">
      <c r="A1" s="434" t="s">
        <v>3037</v>
      </c>
      <c r="B1" s="434" t="s">
        <v>3038</v>
      </c>
      <c r="C1" s="435" t="s">
        <v>3039</v>
      </c>
      <c r="D1" s="435" t="s">
        <v>13</v>
      </c>
      <c r="E1" s="434" t="s">
        <v>3040</v>
      </c>
    </row>
    <row r="2" ht="28.5" customHeight="1">
      <c r="A2" s="322" t="s">
        <v>90</v>
      </c>
      <c r="B2" s="416">
        <v>47098.0</v>
      </c>
      <c r="C2" s="416">
        <v>17413.0</v>
      </c>
      <c r="D2" s="309">
        <f t="shared" ref="D2:D10" si="1">B2-C2</f>
        <v>29685</v>
      </c>
      <c r="E2" s="436">
        <v>45978.0</v>
      </c>
      <c r="L2" s="437"/>
    </row>
    <row r="3" ht="28.5" customHeight="1">
      <c r="A3" s="117" t="s">
        <v>3041</v>
      </c>
      <c r="B3" s="131">
        <v>76880.0</v>
      </c>
      <c r="C3" s="131">
        <f>21205+30254</f>
        <v>51459</v>
      </c>
      <c r="D3" s="122">
        <f t="shared" si="1"/>
        <v>25421</v>
      </c>
      <c r="E3" s="436">
        <v>45989.0</v>
      </c>
      <c r="F3" s="438"/>
      <c r="L3" s="437"/>
    </row>
    <row r="4" ht="28.5" customHeight="1">
      <c r="A4" s="44" t="s">
        <v>77</v>
      </c>
      <c r="B4" s="416">
        <v>49719.0</v>
      </c>
      <c r="C4" s="416">
        <v>32718.0</v>
      </c>
      <c r="D4" s="309">
        <f t="shared" si="1"/>
        <v>17001</v>
      </c>
      <c r="E4" s="436">
        <v>45989.0</v>
      </c>
      <c r="F4" s="438"/>
      <c r="L4" s="437"/>
    </row>
    <row r="5" ht="28.5" customHeight="1">
      <c r="A5" s="117" t="s">
        <v>276</v>
      </c>
      <c r="B5" s="131">
        <v>600000.0</v>
      </c>
      <c r="C5" s="439">
        <f>39994+30611+39205+54190+36480+110075</f>
        <v>310555</v>
      </c>
      <c r="D5" s="122">
        <f t="shared" si="1"/>
        <v>289445</v>
      </c>
      <c r="E5" s="440" t="s">
        <v>4</v>
      </c>
      <c r="F5" s="438"/>
      <c r="L5" s="437"/>
    </row>
    <row r="6" ht="28.5" customHeight="1">
      <c r="A6" s="44" t="s">
        <v>3042</v>
      </c>
      <c r="B6" s="416">
        <v>40000.0</v>
      </c>
      <c r="C6" s="441"/>
      <c r="D6" s="309">
        <f t="shared" si="1"/>
        <v>40000</v>
      </c>
      <c r="E6" s="436"/>
      <c r="F6" s="438"/>
      <c r="L6" s="437"/>
    </row>
    <row r="7" ht="1.5" customHeight="1">
      <c r="A7" s="117" t="s">
        <v>3043</v>
      </c>
      <c r="B7" s="131">
        <f>17129+93750+62500</f>
        <v>173379</v>
      </c>
      <c r="C7" s="131">
        <f>9448+8945+10326+25611+11524+18124+8913+10595+45147</f>
        <v>148633</v>
      </c>
      <c r="D7" s="122">
        <f t="shared" si="1"/>
        <v>24746</v>
      </c>
      <c r="E7" s="436">
        <v>46023.0</v>
      </c>
      <c r="F7" s="442"/>
      <c r="L7" s="437"/>
    </row>
    <row r="8" ht="48.75" customHeight="1">
      <c r="A8" s="117" t="s">
        <v>3044</v>
      </c>
      <c r="B8" s="131">
        <v>470784.0</v>
      </c>
      <c r="C8" s="131">
        <f>34757+26309+25441+31685+12355+34860+34318+24562+30288+31304+32843</f>
        <v>318722</v>
      </c>
      <c r="D8" s="122">
        <f t="shared" si="1"/>
        <v>152062</v>
      </c>
      <c r="E8" s="436">
        <v>46017.0</v>
      </c>
      <c r="F8" s="438"/>
      <c r="L8" s="437"/>
    </row>
    <row r="9" ht="28.5" customHeight="1">
      <c r="A9" s="117" t="s">
        <v>3045</v>
      </c>
      <c r="B9" s="131">
        <v>500000.0</v>
      </c>
      <c r="C9" s="131">
        <f>8027+7596+7779+9178+9432+10503+7142+9113+7181+6297+8547+6971+5886+6494+7516+7153+8688+8934+8007+8430+8993+7244+6662+7593+5518+5515+7802+7715+9464+8157+3399+4389+7580+4208+7737+3862+7737+5073+5920+5657+4734+6450+5912+5734+4894+3544+8752+6507+8738+6646+4693+4136+6387+5986+6797+8355+9188+8831+7564+4158+8434+8584+4731+7203+4131+5845+2387+8393+9129+3214+7599+8515+8393+5156+3706+6929+3804+8792+8053+8251+8094+7327+3339+3587+7606+8798+5072</f>
        <v>592177</v>
      </c>
      <c r="D9" s="122">
        <f t="shared" si="1"/>
        <v>-92177</v>
      </c>
      <c r="E9" s="436">
        <v>46021.0</v>
      </c>
      <c r="F9" s="438"/>
      <c r="L9" s="437"/>
    </row>
    <row r="10" ht="28.5" customHeight="1">
      <c r="A10" s="117" t="s">
        <v>3046</v>
      </c>
      <c r="B10" s="131">
        <v>68750.0</v>
      </c>
      <c r="C10" s="131">
        <f>16583+9914+16961+5104</f>
        <v>48562</v>
      </c>
      <c r="D10" s="122">
        <f t="shared" si="1"/>
        <v>20188</v>
      </c>
      <c r="E10" s="443"/>
      <c r="F10" s="438"/>
      <c r="L10" s="437"/>
    </row>
    <row r="11" ht="28.5" customHeight="1">
      <c r="A11" s="44"/>
      <c r="B11" s="416"/>
      <c r="C11" s="416"/>
      <c r="D11" s="309"/>
      <c r="E11" s="443"/>
      <c r="F11" s="438"/>
      <c r="L11" s="437"/>
    </row>
    <row r="12" ht="28.5" customHeight="1">
      <c r="A12" s="44"/>
      <c r="B12" s="416"/>
      <c r="C12" s="416"/>
      <c r="D12" s="309"/>
      <c r="E12" s="443"/>
      <c r="F12" s="438"/>
      <c r="L12" s="437"/>
    </row>
    <row r="13" ht="28.5" customHeight="1">
      <c r="A13" s="44"/>
      <c r="B13" s="416"/>
      <c r="C13" s="416"/>
      <c r="D13" s="309"/>
      <c r="E13" s="443"/>
      <c r="F13" s="438"/>
      <c r="L13" s="437"/>
    </row>
    <row r="14" ht="28.5" customHeight="1">
      <c r="A14" s="44"/>
      <c r="B14" s="416"/>
      <c r="C14" s="416"/>
      <c r="D14" s="309"/>
      <c r="E14" s="443"/>
      <c r="F14" s="438"/>
      <c r="L14" s="437"/>
    </row>
    <row r="15" ht="28.5" customHeight="1">
      <c r="A15" s="44"/>
      <c r="B15" s="416"/>
      <c r="C15" s="416"/>
      <c r="D15" s="309"/>
      <c r="E15" s="443"/>
      <c r="F15" s="438"/>
      <c r="L15" s="437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>
      <c r="B22" s="44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0.0"/>
    <col customWidth="1" min="3" max="3" width="34.63"/>
    <col customWidth="1" min="4" max="4" width="37.63"/>
    <col customWidth="1" min="5" max="5" width="27.25"/>
    <col customWidth="1" min="6" max="6" width="26.38"/>
  </cols>
  <sheetData>
    <row r="1" ht="86.25" customHeight="1">
      <c r="B1" s="445" t="s">
        <v>3047</v>
      </c>
    </row>
    <row r="2" ht="47.25" customHeight="1">
      <c r="A2" s="446"/>
      <c r="B2" s="447" t="s">
        <v>3048</v>
      </c>
      <c r="C2" s="448" t="s">
        <v>3049</v>
      </c>
      <c r="D2" s="448" t="s">
        <v>3050</v>
      </c>
      <c r="E2" s="448" t="s">
        <v>13</v>
      </c>
      <c r="F2" s="449" t="s">
        <v>3051</v>
      </c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</row>
    <row r="3" ht="31.5" customHeight="1">
      <c r="A3" s="446"/>
      <c r="B3" s="450" t="s">
        <v>3052</v>
      </c>
      <c r="C3" s="451"/>
      <c r="D3" s="451"/>
      <c r="E3" s="451"/>
      <c r="F3" s="452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</row>
    <row r="4" ht="31.5" customHeight="1">
      <c r="A4" s="446"/>
      <c r="B4" s="450" t="s">
        <v>3053</v>
      </c>
      <c r="C4" s="453"/>
      <c r="D4" s="453"/>
      <c r="E4" s="453"/>
      <c r="F4" s="454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</row>
    <row r="5" ht="31.5" customHeight="1">
      <c r="A5" s="446"/>
      <c r="B5" s="450" t="s">
        <v>3054</v>
      </c>
      <c r="C5" s="453"/>
      <c r="D5" s="453"/>
      <c r="E5" s="453"/>
      <c r="F5" s="454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6"/>
      <c r="U5" s="446"/>
      <c r="V5" s="446"/>
      <c r="W5" s="446"/>
      <c r="X5" s="446"/>
      <c r="Y5" s="446"/>
      <c r="Z5" s="446"/>
    </row>
    <row r="6" ht="31.5" customHeight="1">
      <c r="A6" s="446"/>
      <c r="B6" s="450" t="s">
        <v>3055</v>
      </c>
      <c r="C6" s="453"/>
      <c r="D6" s="453"/>
      <c r="E6" s="453"/>
      <c r="F6" s="454"/>
      <c r="G6" s="446"/>
      <c r="H6" s="446"/>
      <c r="I6" s="446"/>
      <c r="J6" s="446"/>
      <c r="K6" s="446"/>
      <c r="L6" s="446"/>
      <c r="M6" s="446"/>
      <c r="N6" s="446"/>
      <c r="O6" s="446"/>
      <c r="P6" s="446"/>
      <c r="Q6" s="446"/>
      <c r="R6" s="446"/>
      <c r="S6" s="446"/>
      <c r="T6" s="446"/>
      <c r="U6" s="446"/>
      <c r="V6" s="446"/>
      <c r="W6" s="446"/>
      <c r="X6" s="446"/>
      <c r="Y6" s="446"/>
      <c r="Z6" s="446"/>
    </row>
    <row r="7" ht="31.5" customHeight="1">
      <c r="A7" s="446"/>
      <c r="B7" s="450" t="s">
        <v>3056</v>
      </c>
      <c r="C7" s="453"/>
      <c r="D7" s="453"/>
      <c r="E7" s="453"/>
      <c r="F7" s="454"/>
      <c r="G7" s="446"/>
      <c r="H7" s="446"/>
      <c r="I7" s="446"/>
      <c r="J7" s="446"/>
      <c r="K7" s="446"/>
      <c r="L7" s="446"/>
      <c r="M7" s="446"/>
      <c r="N7" s="446"/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</row>
    <row r="8" ht="31.5" customHeight="1">
      <c r="A8" s="446"/>
      <c r="B8" s="450" t="s">
        <v>3057</v>
      </c>
      <c r="C8" s="453"/>
      <c r="D8" s="453"/>
      <c r="E8" s="453"/>
      <c r="F8" s="454"/>
      <c r="G8" s="446"/>
      <c r="H8" s="446"/>
      <c r="I8" s="446"/>
      <c r="J8" s="446"/>
      <c r="K8" s="446"/>
      <c r="L8" s="446"/>
      <c r="M8" s="446"/>
      <c r="N8" s="446"/>
      <c r="O8" s="446"/>
      <c r="P8" s="446"/>
      <c r="Q8" s="446"/>
      <c r="R8" s="446"/>
      <c r="S8" s="446"/>
      <c r="T8" s="446"/>
      <c r="U8" s="446"/>
      <c r="V8" s="446"/>
      <c r="W8" s="446"/>
      <c r="X8" s="446"/>
      <c r="Y8" s="446"/>
      <c r="Z8" s="446"/>
    </row>
    <row r="9" ht="31.5" customHeight="1">
      <c r="A9" s="446"/>
      <c r="B9" s="450" t="s">
        <v>3058</v>
      </c>
      <c r="C9" s="453"/>
      <c r="D9" s="453"/>
      <c r="E9" s="453"/>
      <c r="F9" s="454"/>
      <c r="G9" s="446"/>
      <c r="H9" s="446"/>
      <c r="I9" s="446"/>
      <c r="J9" s="446"/>
      <c r="K9" s="446"/>
      <c r="L9" s="446"/>
      <c r="M9" s="446"/>
      <c r="N9" s="446"/>
      <c r="O9" s="446"/>
      <c r="P9" s="446"/>
      <c r="Q9" s="446"/>
      <c r="R9" s="446"/>
      <c r="S9" s="446"/>
      <c r="T9" s="446"/>
      <c r="U9" s="446"/>
      <c r="V9" s="446"/>
      <c r="W9" s="446"/>
      <c r="X9" s="446"/>
      <c r="Y9" s="446"/>
      <c r="Z9" s="446"/>
    </row>
    <row r="10" ht="31.5" customHeight="1">
      <c r="A10" s="446"/>
      <c r="B10" s="450" t="s">
        <v>3059</v>
      </c>
      <c r="C10" s="453"/>
      <c r="D10" s="453"/>
      <c r="E10" s="453"/>
      <c r="F10" s="454"/>
      <c r="G10" s="446"/>
      <c r="H10" s="446"/>
      <c r="I10" s="446"/>
      <c r="J10" s="446"/>
      <c r="K10" s="446"/>
      <c r="L10" s="446"/>
      <c r="M10" s="446"/>
      <c r="N10" s="446"/>
      <c r="O10" s="446"/>
      <c r="P10" s="446"/>
      <c r="Q10" s="446"/>
      <c r="R10" s="446"/>
      <c r="S10" s="446"/>
      <c r="T10" s="446"/>
      <c r="U10" s="446"/>
      <c r="V10" s="446"/>
      <c r="W10" s="446"/>
      <c r="X10" s="446"/>
      <c r="Y10" s="446"/>
      <c r="Z10" s="446"/>
    </row>
    <row r="11" ht="31.5" customHeight="1">
      <c r="A11" s="446"/>
      <c r="B11" s="450" t="s">
        <v>3060</v>
      </c>
      <c r="C11" s="453"/>
      <c r="D11" s="453"/>
      <c r="E11" s="453"/>
      <c r="F11" s="454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</row>
    <row r="12" ht="31.5" customHeight="1">
      <c r="A12" s="446"/>
      <c r="B12" s="450" t="s">
        <v>3061</v>
      </c>
      <c r="C12" s="453"/>
      <c r="D12" s="453"/>
      <c r="E12" s="453"/>
      <c r="F12" s="454"/>
      <c r="G12" s="446"/>
      <c r="H12" s="446"/>
      <c r="I12" s="446"/>
      <c r="J12" s="446"/>
      <c r="K12" s="446"/>
      <c r="L12" s="446"/>
      <c r="M12" s="446"/>
      <c r="N12" s="446"/>
      <c r="O12" s="446"/>
      <c r="P12" s="446"/>
      <c r="Q12" s="446"/>
      <c r="R12" s="446"/>
      <c r="S12" s="446"/>
      <c r="T12" s="446"/>
      <c r="U12" s="446"/>
      <c r="V12" s="446"/>
      <c r="W12" s="446"/>
      <c r="X12" s="446"/>
      <c r="Y12" s="446"/>
      <c r="Z12" s="446"/>
    </row>
    <row r="13" ht="31.5" customHeight="1">
      <c r="A13" s="446"/>
      <c r="B13" s="450" t="s">
        <v>3062</v>
      </c>
      <c r="C13" s="453"/>
      <c r="D13" s="453"/>
      <c r="E13" s="453"/>
      <c r="F13" s="454"/>
      <c r="G13" s="446"/>
      <c r="H13" s="446"/>
      <c r="I13" s="446"/>
      <c r="J13" s="446"/>
      <c r="K13" s="446"/>
      <c r="L13" s="446"/>
      <c r="M13" s="446"/>
      <c r="N13" s="446"/>
      <c r="O13" s="446"/>
      <c r="P13" s="446"/>
      <c r="Q13" s="446"/>
      <c r="R13" s="446"/>
      <c r="S13" s="446"/>
      <c r="T13" s="446"/>
      <c r="U13" s="446"/>
      <c r="V13" s="446"/>
      <c r="W13" s="446"/>
      <c r="X13" s="446"/>
      <c r="Y13" s="446"/>
      <c r="Z13" s="446"/>
    </row>
    <row r="14" ht="31.5" customHeight="1">
      <c r="A14" s="446"/>
      <c r="B14" s="450" t="s">
        <v>3063</v>
      </c>
      <c r="C14" s="453"/>
      <c r="D14" s="453"/>
      <c r="E14" s="453"/>
      <c r="F14" s="454"/>
      <c r="G14" s="446"/>
      <c r="H14" s="446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</row>
    <row r="15">
      <c r="E15" s="455"/>
      <c r="F15" s="455"/>
    </row>
    <row r="16">
      <c r="E16" s="455"/>
      <c r="F16" s="455"/>
    </row>
    <row r="17">
      <c r="E17" s="455"/>
      <c r="F17" s="455"/>
    </row>
    <row r="18">
      <c r="E18" s="455"/>
      <c r="F18" s="455"/>
    </row>
    <row r="19">
      <c r="E19" s="455"/>
      <c r="F19" s="455"/>
    </row>
    <row r="20">
      <c r="E20" s="455"/>
      <c r="F20" s="455"/>
    </row>
    <row r="21">
      <c r="E21" s="455"/>
      <c r="F21" s="455"/>
    </row>
    <row r="22">
      <c r="E22" s="455"/>
      <c r="F22" s="455"/>
    </row>
    <row r="23">
      <c r="E23" s="455"/>
      <c r="F23" s="455"/>
    </row>
    <row r="24">
      <c r="E24" s="455"/>
      <c r="F24" s="455"/>
    </row>
    <row r="25">
      <c r="E25" s="455"/>
      <c r="F25" s="455"/>
    </row>
    <row r="26">
      <c r="E26" s="455"/>
      <c r="F26" s="455"/>
    </row>
    <row r="27">
      <c r="E27" s="455"/>
      <c r="F27" s="455"/>
    </row>
    <row r="28">
      <c r="E28" s="455"/>
      <c r="F28" s="455"/>
    </row>
    <row r="29">
      <c r="E29" s="455"/>
      <c r="F29" s="455"/>
    </row>
    <row r="30">
      <c r="E30" s="455"/>
      <c r="F30" s="455"/>
    </row>
    <row r="31">
      <c r="E31" s="455"/>
      <c r="F31" s="455"/>
    </row>
    <row r="32">
      <c r="E32" s="455"/>
      <c r="F32" s="455"/>
    </row>
    <row r="33">
      <c r="E33" s="455"/>
      <c r="F33" s="455"/>
    </row>
    <row r="34">
      <c r="E34" s="455"/>
      <c r="F34" s="455"/>
    </row>
    <row r="35">
      <c r="E35" s="455"/>
      <c r="F35" s="455"/>
    </row>
    <row r="36">
      <c r="E36" s="455"/>
      <c r="F36" s="455"/>
    </row>
    <row r="37">
      <c r="E37" s="455"/>
      <c r="F37" s="455"/>
    </row>
    <row r="38">
      <c r="E38" s="455"/>
      <c r="F38" s="455"/>
    </row>
    <row r="39">
      <c r="E39" s="455"/>
      <c r="F39" s="455"/>
    </row>
    <row r="40">
      <c r="E40" s="455"/>
      <c r="F40" s="455"/>
    </row>
    <row r="41">
      <c r="E41" s="455"/>
      <c r="F41" s="455"/>
    </row>
    <row r="42">
      <c r="E42" s="455"/>
      <c r="F42" s="455"/>
    </row>
    <row r="43">
      <c r="E43" s="455"/>
      <c r="F43" s="455"/>
    </row>
    <row r="44">
      <c r="E44" s="455"/>
      <c r="F44" s="455"/>
    </row>
    <row r="45">
      <c r="E45" s="455"/>
      <c r="F45" s="455"/>
    </row>
    <row r="46">
      <c r="E46" s="455"/>
      <c r="F46" s="455"/>
    </row>
    <row r="47">
      <c r="E47" s="455"/>
      <c r="F47" s="455"/>
    </row>
    <row r="48">
      <c r="E48" s="455"/>
      <c r="F48" s="455"/>
    </row>
    <row r="49">
      <c r="E49" s="455"/>
      <c r="F49" s="455"/>
    </row>
    <row r="50">
      <c r="E50" s="455"/>
      <c r="F50" s="455"/>
    </row>
    <row r="51">
      <c r="E51" s="455"/>
      <c r="F51" s="455"/>
    </row>
    <row r="52">
      <c r="E52" s="455"/>
      <c r="F52" s="455"/>
    </row>
    <row r="53">
      <c r="E53" s="455"/>
      <c r="F53" s="455"/>
    </row>
    <row r="54">
      <c r="E54" s="455"/>
      <c r="F54" s="455"/>
    </row>
    <row r="55">
      <c r="E55" s="455"/>
      <c r="F55" s="455"/>
    </row>
    <row r="56">
      <c r="E56" s="455"/>
      <c r="F56" s="455"/>
    </row>
    <row r="57">
      <c r="E57" s="455"/>
      <c r="F57" s="455"/>
    </row>
    <row r="58">
      <c r="E58" s="455"/>
      <c r="F58" s="455"/>
    </row>
    <row r="59">
      <c r="E59" s="455"/>
      <c r="F59" s="455"/>
    </row>
    <row r="60">
      <c r="E60" s="455"/>
      <c r="F60" s="455"/>
    </row>
    <row r="61">
      <c r="E61" s="455"/>
      <c r="F61" s="455"/>
    </row>
    <row r="62">
      <c r="E62" s="455"/>
      <c r="F62" s="455"/>
    </row>
    <row r="63">
      <c r="E63" s="455"/>
      <c r="F63" s="455"/>
    </row>
    <row r="64">
      <c r="E64" s="455"/>
      <c r="F64" s="455"/>
    </row>
    <row r="65">
      <c r="E65" s="455"/>
      <c r="F65" s="455"/>
    </row>
    <row r="66">
      <c r="E66" s="455"/>
      <c r="F66" s="455"/>
    </row>
    <row r="67">
      <c r="E67" s="455"/>
      <c r="F67" s="455"/>
    </row>
    <row r="68">
      <c r="E68" s="455"/>
      <c r="F68" s="455"/>
    </row>
    <row r="69">
      <c r="E69" s="455"/>
      <c r="F69" s="455"/>
    </row>
    <row r="70">
      <c r="E70" s="455"/>
      <c r="F70" s="455"/>
    </row>
    <row r="71">
      <c r="E71" s="455"/>
      <c r="F71" s="455"/>
    </row>
    <row r="72">
      <c r="E72" s="455"/>
      <c r="F72" s="455"/>
    </row>
    <row r="73">
      <c r="E73" s="455"/>
      <c r="F73" s="455"/>
    </row>
    <row r="74">
      <c r="E74" s="455"/>
      <c r="F74" s="455"/>
    </row>
    <row r="75">
      <c r="E75" s="455"/>
      <c r="F75" s="455"/>
    </row>
    <row r="76">
      <c r="E76" s="455"/>
      <c r="F76" s="455"/>
    </row>
    <row r="77">
      <c r="E77" s="455"/>
      <c r="F77" s="455"/>
    </row>
    <row r="78">
      <c r="E78" s="455"/>
      <c r="F78" s="455"/>
    </row>
    <row r="79">
      <c r="E79" s="455"/>
      <c r="F79" s="455"/>
    </row>
    <row r="80">
      <c r="E80" s="455"/>
      <c r="F80" s="455"/>
    </row>
    <row r="81">
      <c r="E81" s="455"/>
      <c r="F81" s="455"/>
    </row>
    <row r="82">
      <c r="E82" s="455"/>
      <c r="F82" s="455"/>
    </row>
    <row r="83">
      <c r="E83" s="455"/>
      <c r="F83" s="455"/>
    </row>
    <row r="84">
      <c r="E84" s="455"/>
      <c r="F84" s="455"/>
    </row>
    <row r="85">
      <c r="E85" s="455"/>
      <c r="F85" s="455"/>
    </row>
    <row r="86">
      <c r="E86" s="455"/>
      <c r="F86" s="455"/>
    </row>
    <row r="87">
      <c r="E87" s="455"/>
      <c r="F87" s="455"/>
    </row>
    <row r="88">
      <c r="E88" s="455"/>
      <c r="F88" s="455"/>
    </row>
    <row r="89">
      <c r="E89" s="455"/>
      <c r="F89" s="455"/>
    </row>
    <row r="90">
      <c r="E90" s="455"/>
      <c r="F90" s="455"/>
    </row>
    <row r="91">
      <c r="E91" s="455"/>
      <c r="F91" s="455"/>
    </row>
    <row r="92">
      <c r="E92" s="455"/>
      <c r="F92" s="455"/>
    </row>
    <row r="93">
      <c r="E93" s="455"/>
      <c r="F93" s="455"/>
    </row>
    <row r="94">
      <c r="E94" s="455"/>
      <c r="F94" s="455"/>
    </row>
    <row r="95">
      <c r="E95" s="455"/>
      <c r="F95" s="455"/>
    </row>
    <row r="96">
      <c r="E96" s="455"/>
      <c r="F96" s="455"/>
    </row>
    <row r="97">
      <c r="E97" s="455"/>
      <c r="F97" s="455"/>
    </row>
    <row r="98">
      <c r="E98" s="455"/>
      <c r="F98" s="455"/>
    </row>
    <row r="99">
      <c r="E99" s="455"/>
      <c r="F99" s="455"/>
    </row>
    <row r="100">
      <c r="E100" s="455"/>
      <c r="F100" s="455"/>
    </row>
    <row r="101">
      <c r="E101" s="455"/>
      <c r="F101" s="455"/>
    </row>
    <row r="102">
      <c r="E102" s="455"/>
      <c r="F102" s="455"/>
    </row>
    <row r="103">
      <c r="E103" s="455"/>
      <c r="F103" s="455"/>
    </row>
    <row r="104">
      <c r="E104" s="455"/>
      <c r="F104" s="455"/>
    </row>
    <row r="105">
      <c r="E105" s="455"/>
      <c r="F105" s="455"/>
    </row>
    <row r="106">
      <c r="E106" s="455"/>
      <c r="F106" s="455"/>
    </row>
    <row r="107">
      <c r="E107" s="455"/>
      <c r="F107" s="455"/>
    </row>
    <row r="108">
      <c r="E108" s="455"/>
      <c r="F108" s="455"/>
    </row>
    <row r="109">
      <c r="E109" s="455"/>
      <c r="F109" s="455"/>
    </row>
    <row r="110">
      <c r="E110" s="455"/>
      <c r="F110" s="455"/>
    </row>
    <row r="111">
      <c r="E111" s="455"/>
      <c r="F111" s="455"/>
    </row>
    <row r="112">
      <c r="E112" s="455"/>
      <c r="F112" s="455"/>
    </row>
    <row r="113">
      <c r="E113" s="455"/>
      <c r="F113" s="455"/>
    </row>
    <row r="114">
      <c r="E114" s="455"/>
      <c r="F114" s="455"/>
    </row>
    <row r="115">
      <c r="E115" s="455"/>
      <c r="F115" s="455"/>
    </row>
    <row r="116">
      <c r="E116" s="455"/>
      <c r="F116" s="455"/>
    </row>
    <row r="117">
      <c r="E117" s="455"/>
      <c r="F117" s="455"/>
    </row>
    <row r="118">
      <c r="E118" s="455"/>
      <c r="F118" s="455"/>
    </row>
    <row r="119">
      <c r="E119" s="455"/>
      <c r="F119" s="455"/>
    </row>
    <row r="120">
      <c r="E120" s="455"/>
      <c r="F120" s="455"/>
    </row>
    <row r="121">
      <c r="E121" s="455"/>
      <c r="F121" s="455"/>
    </row>
    <row r="122">
      <c r="E122" s="455"/>
      <c r="F122" s="455"/>
    </row>
    <row r="123">
      <c r="E123" s="455"/>
      <c r="F123" s="455"/>
    </row>
    <row r="124">
      <c r="E124" s="455"/>
      <c r="F124" s="455"/>
    </row>
    <row r="125">
      <c r="E125" s="455"/>
      <c r="F125" s="455"/>
    </row>
    <row r="126">
      <c r="E126" s="455"/>
      <c r="F126" s="455"/>
    </row>
    <row r="127">
      <c r="E127" s="455"/>
      <c r="F127" s="455"/>
    </row>
    <row r="128">
      <c r="E128" s="455"/>
      <c r="F128" s="455"/>
    </row>
    <row r="129">
      <c r="E129" s="455"/>
      <c r="F129" s="455"/>
    </row>
    <row r="130">
      <c r="E130" s="455"/>
      <c r="F130" s="455"/>
    </row>
    <row r="131">
      <c r="E131" s="455"/>
      <c r="F131" s="455"/>
    </row>
    <row r="132">
      <c r="E132" s="455"/>
      <c r="F132" s="455"/>
    </row>
    <row r="133">
      <c r="E133" s="455"/>
      <c r="F133" s="455"/>
    </row>
    <row r="134">
      <c r="E134" s="455"/>
      <c r="F134" s="455"/>
    </row>
    <row r="135">
      <c r="E135" s="455"/>
      <c r="F135" s="455"/>
    </row>
    <row r="136">
      <c r="E136" s="455"/>
      <c r="F136" s="455"/>
    </row>
    <row r="137">
      <c r="E137" s="455"/>
      <c r="F137" s="455"/>
    </row>
    <row r="138">
      <c r="E138" s="455"/>
      <c r="F138" s="455"/>
    </row>
    <row r="139">
      <c r="E139" s="455"/>
      <c r="F139" s="455"/>
    </row>
    <row r="140">
      <c r="E140" s="455"/>
      <c r="F140" s="455"/>
    </row>
    <row r="141">
      <c r="E141" s="455"/>
      <c r="F141" s="455"/>
    </row>
    <row r="142">
      <c r="E142" s="455"/>
      <c r="F142" s="455"/>
    </row>
    <row r="143">
      <c r="E143" s="455"/>
      <c r="F143" s="455"/>
    </row>
    <row r="144">
      <c r="E144" s="455"/>
      <c r="F144" s="455"/>
    </row>
    <row r="145">
      <c r="E145" s="455"/>
      <c r="F145" s="455"/>
    </row>
    <row r="146">
      <c r="E146" s="455"/>
      <c r="F146" s="455"/>
    </row>
    <row r="147">
      <c r="E147" s="455"/>
      <c r="F147" s="455"/>
    </row>
    <row r="148">
      <c r="E148" s="455"/>
      <c r="F148" s="455"/>
    </row>
    <row r="149">
      <c r="E149" s="455"/>
      <c r="F149" s="455"/>
    </row>
    <row r="150">
      <c r="E150" s="455"/>
      <c r="F150" s="455"/>
    </row>
    <row r="151">
      <c r="E151" s="455"/>
      <c r="F151" s="455"/>
    </row>
    <row r="152">
      <c r="E152" s="455"/>
      <c r="F152" s="455"/>
    </row>
    <row r="153">
      <c r="E153" s="455"/>
      <c r="F153" s="455"/>
    </row>
    <row r="154">
      <c r="E154" s="455"/>
      <c r="F154" s="455"/>
    </row>
    <row r="155">
      <c r="E155" s="455"/>
      <c r="F155" s="455"/>
    </row>
    <row r="156">
      <c r="E156" s="455"/>
      <c r="F156" s="455"/>
    </row>
    <row r="157">
      <c r="E157" s="455"/>
      <c r="F157" s="455"/>
    </row>
    <row r="158">
      <c r="E158" s="455"/>
      <c r="F158" s="455"/>
    </row>
    <row r="159">
      <c r="E159" s="455"/>
      <c r="F159" s="455"/>
    </row>
    <row r="160">
      <c r="E160" s="455"/>
      <c r="F160" s="455"/>
    </row>
    <row r="161">
      <c r="E161" s="455"/>
      <c r="F161" s="455"/>
    </row>
    <row r="162">
      <c r="E162" s="455"/>
      <c r="F162" s="455"/>
    </row>
    <row r="163">
      <c r="E163" s="455"/>
      <c r="F163" s="455"/>
    </row>
    <row r="164">
      <c r="E164" s="455"/>
      <c r="F164" s="455"/>
    </row>
    <row r="165">
      <c r="E165" s="455"/>
      <c r="F165" s="455"/>
    </row>
    <row r="166">
      <c r="E166" s="455"/>
      <c r="F166" s="455"/>
    </row>
    <row r="167">
      <c r="E167" s="455"/>
      <c r="F167" s="455"/>
    </row>
    <row r="168">
      <c r="E168" s="455"/>
      <c r="F168" s="455"/>
    </row>
    <row r="169">
      <c r="E169" s="455"/>
      <c r="F169" s="455"/>
    </row>
    <row r="170">
      <c r="E170" s="455"/>
      <c r="F170" s="455"/>
    </row>
    <row r="171">
      <c r="E171" s="455"/>
      <c r="F171" s="455"/>
    </row>
    <row r="172">
      <c r="E172" s="455"/>
      <c r="F172" s="455"/>
    </row>
    <row r="173">
      <c r="E173" s="455"/>
      <c r="F173" s="455"/>
    </row>
    <row r="174">
      <c r="E174" s="455"/>
      <c r="F174" s="455"/>
    </row>
    <row r="175">
      <c r="E175" s="455"/>
      <c r="F175" s="455"/>
    </row>
    <row r="176">
      <c r="E176" s="455"/>
      <c r="F176" s="455"/>
    </row>
    <row r="177">
      <c r="E177" s="455"/>
      <c r="F177" s="455"/>
    </row>
    <row r="178">
      <c r="E178" s="455"/>
      <c r="F178" s="455"/>
    </row>
    <row r="179">
      <c r="E179" s="455"/>
      <c r="F179" s="455"/>
    </row>
    <row r="180">
      <c r="E180" s="455"/>
      <c r="F180" s="455"/>
    </row>
    <row r="181">
      <c r="E181" s="455"/>
      <c r="F181" s="455"/>
    </row>
    <row r="182">
      <c r="E182" s="455"/>
      <c r="F182" s="455"/>
    </row>
    <row r="183">
      <c r="E183" s="455"/>
      <c r="F183" s="455"/>
    </row>
    <row r="184">
      <c r="E184" s="455"/>
      <c r="F184" s="455"/>
    </row>
    <row r="185">
      <c r="E185" s="455"/>
      <c r="F185" s="455"/>
    </row>
    <row r="186">
      <c r="E186" s="455"/>
      <c r="F186" s="455"/>
    </row>
    <row r="187">
      <c r="E187" s="455"/>
      <c r="F187" s="455"/>
    </row>
    <row r="188">
      <c r="E188" s="455"/>
      <c r="F188" s="455"/>
    </row>
    <row r="189">
      <c r="E189" s="455"/>
      <c r="F189" s="455"/>
    </row>
    <row r="190">
      <c r="E190" s="455"/>
      <c r="F190" s="455"/>
    </row>
    <row r="191">
      <c r="E191" s="455"/>
      <c r="F191" s="455"/>
    </row>
    <row r="192">
      <c r="E192" s="455"/>
      <c r="F192" s="455"/>
    </row>
    <row r="193">
      <c r="E193" s="455"/>
      <c r="F193" s="455"/>
    </row>
    <row r="194">
      <c r="E194" s="455"/>
      <c r="F194" s="455"/>
    </row>
    <row r="195">
      <c r="E195" s="455"/>
      <c r="F195" s="455"/>
    </row>
    <row r="196">
      <c r="E196" s="455"/>
      <c r="F196" s="455"/>
    </row>
    <row r="197">
      <c r="E197" s="455"/>
      <c r="F197" s="455"/>
    </row>
    <row r="198">
      <c r="E198" s="455"/>
      <c r="F198" s="455"/>
    </row>
    <row r="199">
      <c r="E199" s="455"/>
      <c r="F199" s="455"/>
    </row>
    <row r="200">
      <c r="E200" s="455"/>
      <c r="F200" s="455"/>
    </row>
    <row r="201">
      <c r="E201" s="455"/>
      <c r="F201" s="455"/>
    </row>
    <row r="202">
      <c r="E202" s="455"/>
      <c r="F202" s="455"/>
    </row>
    <row r="203">
      <c r="E203" s="455"/>
      <c r="F203" s="455"/>
    </row>
    <row r="204">
      <c r="E204" s="455"/>
      <c r="F204" s="455"/>
    </row>
    <row r="205">
      <c r="E205" s="455"/>
      <c r="F205" s="455"/>
    </row>
    <row r="206">
      <c r="E206" s="455"/>
      <c r="F206" s="455"/>
    </row>
    <row r="207">
      <c r="E207" s="455"/>
      <c r="F207" s="455"/>
    </row>
    <row r="208">
      <c r="E208" s="455"/>
      <c r="F208" s="455"/>
    </row>
    <row r="209">
      <c r="E209" s="455"/>
      <c r="F209" s="455"/>
    </row>
    <row r="210">
      <c r="E210" s="455"/>
      <c r="F210" s="455"/>
    </row>
    <row r="211">
      <c r="E211" s="455"/>
      <c r="F211" s="455"/>
    </row>
    <row r="212">
      <c r="E212" s="455"/>
      <c r="F212" s="455"/>
    </row>
    <row r="213">
      <c r="E213" s="455"/>
      <c r="F213" s="455"/>
    </row>
    <row r="214">
      <c r="E214" s="455"/>
      <c r="F214" s="455"/>
    </row>
    <row r="215">
      <c r="E215" s="455"/>
      <c r="F215" s="455"/>
    </row>
    <row r="216">
      <c r="E216" s="455"/>
      <c r="F216" s="455"/>
    </row>
    <row r="217">
      <c r="E217" s="455"/>
      <c r="F217" s="455"/>
    </row>
    <row r="218">
      <c r="E218" s="455"/>
      <c r="F218" s="455"/>
    </row>
    <row r="219">
      <c r="E219" s="455"/>
      <c r="F219" s="455"/>
    </row>
    <row r="220">
      <c r="E220" s="455"/>
      <c r="F220" s="455"/>
    </row>
    <row r="221">
      <c r="E221" s="455"/>
      <c r="F221" s="455"/>
    </row>
    <row r="222">
      <c r="E222" s="455"/>
      <c r="F222" s="455"/>
    </row>
    <row r="223">
      <c r="E223" s="455"/>
      <c r="F223" s="455"/>
    </row>
    <row r="224">
      <c r="E224" s="455"/>
      <c r="F224" s="455"/>
    </row>
    <row r="225">
      <c r="E225" s="455"/>
      <c r="F225" s="455"/>
    </row>
    <row r="226">
      <c r="E226" s="455"/>
      <c r="F226" s="455"/>
    </row>
    <row r="227">
      <c r="E227" s="455"/>
      <c r="F227" s="455"/>
    </row>
    <row r="228">
      <c r="E228" s="455"/>
      <c r="F228" s="455"/>
    </row>
    <row r="229">
      <c r="E229" s="455"/>
      <c r="F229" s="455"/>
    </row>
    <row r="230">
      <c r="E230" s="455"/>
      <c r="F230" s="455"/>
    </row>
    <row r="231">
      <c r="E231" s="455"/>
      <c r="F231" s="455"/>
    </row>
    <row r="232">
      <c r="E232" s="455"/>
      <c r="F232" s="455"/>
    </row>
    <row r="233">
      <c r="E233" s="455"/>
      <c r="F233" s="455"/>
    </row>
    <row r="234">
      <c r="E234" s="455"/>
      <c r="F234" s="455"/>
    </row>
    <row r="235">
      <c r="E235" s="455"/>
      <c r="F235" s="455"/>
    </row>
    <row r="236">
      <c r="E236" s="455"/>
      <c r="F236" s="455"/>
    </row>
    <row r="237">
      <c r="E237" s="455"/>
      <c r="F237" s="455"/>
    </row>
    <row r="238">
      <c r="E238" s="455"/>
      <c r="F238" s="455"/>
    </row>
    <row r="239">
      <c r="E239" s="455"/>
      <c r="F239" s="455"/>
    </row>
    <row r="240">
      <c r="E240" s="455"/>
      <c r="F240" s="455"/>
    </row>
    <row r="241">
      <c r="E241" s="455"/>
      <c r="F241" s="455"/>
    </row>
    <row r="242">
      <c r="E242" s="455"/>
      <c r="F242" s="455"/>
    </row>
    <row r="243">
      <c r="E243" s="455"/>
      <c r="F243" s="455"/>
    </row>
    <row r="244">
      <c r="E244" s="455"/>
      <c r="F244" s="455"/>
    </row>
    <row r="245">
      <c r="E245" s="455"/>
      <c r="F245" s="455"/>
    </row>
    <row r="246">
      <c r="E246" s="455"/>
      <c r="F246" s="455"/>
    </row>
    <row r="247">
      <c r="E247" s="455"/>
      <c r="F247" s="455"/>
    </row>
    <row r="248">
      <c r="E248" s="455"/>
      <c r="F248" s="455"/>
    </row>
    <row r="249">
      <c r="E249" s="455"/>
      <c r="F249" s="455"/>
    </row>
    <row r="250">
      <c r="E250" s="455"/>
      <c r="F250" s="455"/>
    </row>
    <row r="251">
      <c r="E251" s="455"/>
      <c r="F251" s="455"/>
    </row>
    <row r="252">
      <c r="E252" s="455"/>
      <c r="F252" s="455"/>
    </row>
    <row r="253">
      <c r="E253" s="455"/>
      <c r="F253" s="455"/>
    </row>
    <row r="254">
      <c r="E254" s="455"/>
      <c r="F254" s="455"/>
    </row>
    <row r="255">
      <c r="E255" s="455"/>
      <c r="F255" s="455"/>
    </row>
    <row r="256">
      <c r="E256" s="455"/>
      <c r="F256" s="455"/>
    </row>
    <row r="257">
      <c r="E257" s="455"/>
      <c r="F257" s="455"/>
    </row>
    <row r="258">
      <c r="E258" s="455"/>
      <c r="F258" s="455"/>
    </row>
    <row r="259">
      <c r="E259" s="455"/>
      <c r="F259" s="455"/>
    </row>
    <row r="260">
      <c r="E260" s="455"/>
      <c r="F260" s="455"/>
    </row>
    <row r="261">
      <c r="E261" s="455"/>
      <c r="F261" s="455"/>
    </row>
    <row r="262">
      <c r="E262" s="455"/>
      <c r="F262" s="455"/>
    </row>
    <row r="263">
      <c r="E263" s="455"/>
      <c r="F263" s="455"/>
    </row>
    <row r="264">
      <c r="E264" s="455"/>
      <c r="F264" s="455"/>
    </row>
    <row r="265">
      <c r="E265" s="455"/>
      <c r="F265" s="455"/>
    </row>
    <row r="266">
      <c r="E266" s="455"/>
      <c r="F266" s="455"/>
    </row>
    <row r="267">
      <c r="E267" s="455"/>
      <c r="F267" s="455"/>
    </row>
    <row r="268">
      <c r="E268" s="455"/>
      <c r="F268" s="455"/>
    </row>
    <row r="269">
      <c r="E269" s="455"/>
      <c r="F269" s="455"/>
    </row>
    <row r="270">
      <c r="E270" s="455"/>
      <c r="F270" s="455"/>
    </row>
    <row r="271">
      <c r="E271" s="455"/>
      <c r="F271" s="455"/>
    </row>
    <row r="272">
      <c r="E272" s="455"/>
      <c r="F272" s="455"/>
    </row>
    <row r="273">
      <c r="E273" s="455"/>
      <c r="F273" s="455"/>
    </row>
    <row r="274">
      <c r="E274" s="455"/>
      <c r="F274" s="455"/>
    </row>
    <row r="275">
      <c r="E275" s="455"/>
      <c r="F275" s="455"/>
    </row>
    <row r="276">
      <c r="E276" s="455"/>
      <c r="F276" s="455"/>
    </row>
    <row r="277">
      <c r="E277" s="455"/>
      <c r="F277" s="455"/>
    </row>
    <row r="278">
      <c r="E278" s="455"/>
      <c r="F278" s="455"/>
    </row>
    <row r="279">
      <c r="E279" s="455"/>
      <c r="F279" s="455"/>
    </row>
    <row r="280">
      <c r="E280" s="455"/>
      <c r="F280" s="455"/>
    </row>
    <row r="281">
      <c r="E281" s="455"/>
      <c r="F281" s="455"/>
    </row>
    <row r="282">
      <c r="E282" s="455"/>
      <c r="F282" s="455"/>
    </row>
    <row r="283">
      <c r="E283" s="455"/>
      <c r="F283" s="455"/>
    </row>
    <row r="284">
      <c r="E284" s="455"/>
      <c r="F284" s="455"/>
    </row>
    <row r="285">
      <c r="E285" s="455"/>
      <c r="F285" s="455"/>
    </row>
    <row r="286">
      <c r="E286" s="455"/>
      <c r="F286" s="455"/>
    </row>
    <row r="287">
      <c r="E287" s="455"/>
      <c r="F287" s="455"/>
    </row>
    <row r="288">
      <c r="E288" s="455"/>
      <c r="F288" s="455"/>
    </row>
    <row r="289">
      <c r="E289" s="455"/>
      <c r="F289" s="455"/>
    </row>
    <row r="290">
      <c r="E290" s="455"/>
      <c r="F290" s="455"/>
    </row>
    <row r="291">
      <c r="E291" s="455"/>
      <c r="F291" s="455"/>
    </row>
    <row r="292">
      <c r="E292" s="455"/>
      <c r="F292" s="455"/>
    </row>
    <row r="293">
      <c r="E293" s="455"/>
      <c r="F293" s="455"/>
    </row>
    <row r="294">
      <c r="E294" s="455"/>
      <c r="F294" s="455"/>
    </row>
    <row r="295">
      <c r="E295" s="455"/>
      <c r="F295" s="455"/>
    </row>
    <row r="296">
      <c r="E296" s="455"/>
      <c r="F296" s="455"/>
    </row>
    <row r="297">
      <c r="E297" s="455"/>
      <c r="F297" s="455"/>
    </row>
    <row r="298">
      <c r="E298" s="455"/>
      <c r="F298" s="455"/>
    </row>
    <row r="299">
      <c r="E299" s="455"/>
      <c r="F299" s="455"/>
    </row>
    <row r="300">
      <c r="E300" s="455"/>
      <c r="F300" s="455"/>
    </row>
    <row r="301">
      <c r="E301" s="455"/>
      <c r="F301" s="455"/>
    </row>
    <row r="302">
      <c r="E302" s="455"/>
      <c r="F302" s="455"/>
    </row>
    <row r="303">
      <c r="E303" s="455"/>
      <c r="F303" s="455"/>
    </row>
    <row r="304">
      <c r="E304" s="455"/>
      <c r="F304" s="455"/>
    </row>
    <row r="305">
      <c r="E305" s="455"/>
      <c r="F305" s="455"/>
    </row>
    <row r="306">
      <c r="E306" s="455"/>
      <c r="F306" s="455"/>
    </row>
    <row r="307">
      <c r="E307" s="455"/>
      <c r="F307" s="455"/>
    </row>
    <row r="308">
      <c r="E308" s="455"/>
      <c r="F308" s="455"/>
    </row>
    <row r="309">
      <c r="E309" s="455"/>
      <c r="F309" s="455"/>
    </row>
    <row r="310">
      <c r="E310" s="455"/>
      <c r="F310" s="455"/>
    </row>
    <row r="311">
      <c r="E311" s="455"/>
      <c r="F311" s="455"/>
    </row>
    <row r="312">
      <c r="E312" s="455"/>
      <c r="F312" s="455"/>
    </row>
    <row r="313">
      <c r="E313" s="455"/>
      <c r="F313" s="455"/>
    </row>
    <row r="314">
      <c r="E314" s="455"/>
      <c r="F314" s="455"/>
    </row>
    <row r="315">
      <c r="E315" s="455"/>
      <c r="F315" s="455"/>
    </row>
    <row r="316">
      <c r="E316" s="455"/>
      <c r="F316" s="455"/>
    </row>
    <row r="317">
      <c r="E317" s="455"/>
      <c r="F317" s="455"/>
    </row>
    <row r="318">
      <c r="E318" s="455"/>
      <c r="F318" s="455"/>
    </row>
    <row r="319">
      <c r="E319" s="455"/>
      <c r="F319" s="455"/>
    </row>
    <row r="320">
      <c r="E320" s="455"/>
      <c r="F320" s="455"/>
    </row>
    <row r="321">
      <c r="E321" s="455"/>
      <c r="F321" s="455"/>
    </row>
    <row r="322">
      <c r="E322" s="455"/>
      <c r="F322" s="455"/>
    </row>
    <row r="323">
      <c r="E323" s="455"/>
      <c r="F323" s="455"/>
    </row>
    <row r="324">
      <c r="E324" s="455"/>
      <c r="F324" s="455"/>
    </row>
    <row r="325">
      <c r="E325" s="455"/>
      <c r="F325" s="455"/>
    </row>
    <row r="326">
      <c r="E326" s="455"/>
      <c r="F326" s="455"/>
    </row>
    <row r="327">
      <c r="E327" s="455"/>
      <c r="F327" s="455"/>
    </row>
    <row r="328">
      <c r="E328" s="455"/>
      <c r="F328" s="455"/>
    </row>
    <row r="329">
      <c r="E329" s="455"/>
      <c r="F329" s="455"/>
    </row>
    <row r="330">
      <c r="E330" s="455"/>
      <c r="F330" s="455"/>
    </row>
    <row r="331">
      <c r="E331" s="455"/>
      <c r="F331" s="455"/>
    </row>
    <row r="332">
      <c r="E332" s="455"/>
      <c r="F332" s="455"/>
    </row>
    <row r="333">
      <c r="E333" s="455"/>
      <c r="F333" s="455"/>
    </row>
    <row r="334">
      <c r="E334" s="455"/>
      <c r="F334" s="455"/>
    </row>
    <row r="335">
      <c r="E335" s="455"/>
      <c r="F335" s="455"/>
    </row>
    <row r="336">
      <c r="E336" s="455"/>
      <c r="F336" s="455"/>
    </row>
    <row r="337">
      <c r="E337" s="455"/>
      <c r="F337" s="455"/>
    </row>
    <row r="338">
      <c r="E338" s="455"/>
      <c r="F338" s="455"/>
    </row>
    <row r="339">
      <c r="E339" s="455"/>
      <c r="F339" s="455"/>
    </row>
    <row r="340">
      <c r="E340" s="455"/>
      <c r="F340" s="455"/>
    </row>
    <row r="341">
      <c r="E341" s="455"/>
      <c r="F341" s="455"/>
    </row>
    <row r="342">
      <c r="E342" s="455"/>
      <c r="F342" s="455"/>
    </row>
    <row r="343">
      <c r="E343" s="455"/>
      <c r="F343" s="455"/>
    </row>
    <row r="344">
      <c r="E344" s="455"/>
      <c r="F344" s="455"/>
    </row>
    <row r="345">
      <c r="E345" s="455"/>
      <c r="F345" s="455"/>
    </row>
    <row r="346">
      <c r="E346" s="455"/>
      <c r="F346" s="455"/>
    </row>
    <row r="347">
      <c r="E347" s="455"/>
      <c r="F347" s="455"/>
    </row>
    <row r="348">
      <c r="E348" s="455"/>
      <c r="F348" s="455"/>
    </row>
    <row r="349">
      <c r="E349" s="455"/>
      <c r="F349" s="455"/>
    </row>
    <row r="350">
      <c r="E350" s="455"/>
      <c r="F350" s="455"/>
    </row>
    <row r="351">
      <c r="E351" s="455"/>
      <c r="F351" s="455"/>
    </row>
    <row r="352">
      <c r="E352" s="455"/>
      <c r="F352" s="455"/>
    </row>
    <row r="353">
      <c r="E353" s="455"/>
      <c r="F353" s="455"/>
    </row>
    <row r="354">
      <c r="E354" s="455"/>
      <c r="F354" s="455"/>
    </row>
    <row r="355">
      <c r="E355" s="455"/>
      <c r="F355" s="455"/>
    </row>
    <row r="356">
      <c r="E356" s="455"/>
      <c r="F356" s="455"/>
    </row>
    <row r="357">
      <c r="E357" s="455"/>
      <c r="F357" s="455"/>
    </row>
    <row r="358">
      <c r="E358" s="455"/>
      <c r="F358" s="455"/>
    </row>
    <row r="359">
      <c r="E359" s="455"/>
      <c r="F359" s="455"/>
    </row>
    <row r="360">
      <c r="E360" s="455"/>
      <c r="F360" s="455"/>
    </row>
    <row r="361">
      <c r="E361" s="455"/>
      <c r="F361" s="455"/>
    </row>
    <row r="362">
      <c r="E362" s="455"/>
      <c r="F362" s="455"/>
    </row>
    <row r="363">
      <c r="E363" s="455"/>
      <c r="F363" s="455"/>
    </row>
    <row r="364">
      <c r="E364" s="455"/>
      <c r="F364" s="455"/>
    </row>
    <row r="365">
      <c r="E365" s="455"/>
      <c r="F365" s="455"/>
    </row>
    <row r="366">
      <c r="E366" s="455"/>
      <c r="F366" s="455"/>
    </row>
    <row r="367">
      <c r="E367" s="455"/>
      <c r="F367" s="455"/>
    </row>
    <row r="368">
      <c r="E368" s="455"/>
      <c r="F368" s="455"/>
    </row>
    <row r="369">
      <c r="E369" s="455"/>
      <c r="F369" s="455"/>
    </row>
    <row r="370">
      <c r="E370" s="455"/>
      <c r="F370" s="455"/>
    </row>
    <row r="371">
      <c r="E371" s="455"/>
      <c r="F371" s="455"/>
    </row>
    <row r="372">
      <c r="E372" s="455"/>
      <c r="F372" s="455"/>
    </row>
    <row r="373">
      <c r="E373" s="455"/>
      <c r="F373" s="455"/>
    </row>
    <row r="374">
      <c r="E374" s="455"/>
      <c r="F374" s="455"/>
    </row>
    <row r="375">
      <c r="E375" s="455"/>
      <c r="F375" s="455"/>
    </row>
    <row r="376">
      <c r="E376" s="455"/>
      <c r="F376" s="455"/>
    </row>
    <row r="377">
      <c r="E377" s="455"/>
      <c r="F377" s="455"/>
    </row>
    <row r="378">
      <c r="E378" s="455"/>
      <c r="F378" s="455"/>
    </row>
    <row r="379">
      <c r="E379" s="455"/>
      <c r="F379" s="455"/>
    </row>
    <row r="380">
      <c r="E380" s="455"/>
      <c r="F380" s="455"/>
    </row>
    <row r="381">
      <c r="E381" s="455"/>
      <c r="F381" s="455"/>
    </row>
    <row r="382">
      <c r="E382" s="455"/>
      <c r="F382" s="455"/>
    </row>
    <row r="383">
      <c r="E383" s="455"/>
      <c r="F383" s="455"/>
    </row>
    <row r="384">
      <c r="E384" s="455"/>
      <c r="F384" s="455"/>
    </row>
    <row r="385">
      <c r="E385" s="455"/>
      <c r="F385" s="455"/>
    </row>
    <row r="386">
      <c r="E386" s="455"/>
      <c r="F386" s="455"/>
    </row>
    <row r="387">
      <c r="E387" s="455"/>
      <c r="F387" s="455"/>
    </row>
    <row r="388">
      <c r="E388" s="455"/>
      <c r="F388" s="455"/>
    </row>
    <row r="389">
      <c r="E389" s="455"/>
      <c r="F389" s="455"/>
    </row>
    <row r="390">
      <c r="E390" s="455"/>
      <c r="F390" s="455"/>
    </row>
    <row r="391">
      <c r="E391" s="455"/>
      <c r="F391" s="455"/>
    </row>
    <row r="392">
      <c r="E392" s="455"/>
      <c r="F392" s="455"/>
    </row>
    <row r="393">
      <c r="E393" s="455"/>
      <c r="F393" s="455"/>
    </row>
    <row r="394">
      <c r="E394" s="455"/>
      <c r="F394" s="455"/>
    </row>
    <row r="395">
      <c r="E395" s="455"/>
      <c r="F395" s="455"/>
    </row>
    <row r="396">
      <c r="E396" s="455"/>
      <c r="F396" s="455"/>
    </row>
    <row r="397">
      <c r="E397" s="455"/>
      <c r="F397" s="455"/>
    </row>
    <row r="398">
      <c r="E398" s="455"/>
      <c r="F398" s="455"/>
    </row>
    <row r="399">
      <c r="E399" s="455"/>
      <c r="F399" s="455"/>
    </row>
    <row r="400">
      <c r="E400" s="455"/>
      <c r="F400" s="455"/>
    </row>
    <row r="401">
      <c r="E401" s="455"/>
      <c r="F401" s="455"/>
    </row>
    <row r="402">
      <c r="E402" s="455"/>
      <c r="F402" s="455"/>
    </row>
    <row r="403">
      <c r="E403" s="455"/>
      <c r="F403" s="455"/>
    </row>
    <row r="404">
      <c r="E404" s="455"/>
      <c r="F404" s="455"/>
    </row>
    <row r="405">
      <c r="E405" s="455"/>
      <c r="F405" s="455"/>
    </row>
    <row r="406">
      <c r="E406" s="455"/>
      <c r="F406" s="455"/>
    </row>
    <row r="407">
      <c r="E407" s="455"/>
      <c r="F407" s="455"/>
    </row>
    <row r="408">
      <c r="E408" s="455"/>
      <c r="F408" s="455"/>
    </row>
    <row r="409">
      <c r="E409" s="455"/>
      <c r="F409" s="455"/>
    </row>
    <row r="410">
      <c r="E410" s="455"/>
      <c r="F410" s="455"/>
    </row>
    <row r="411">
      <c r="E411" s="455"/>
      <c r="F411" s="455"/>
    </row>
    <row r="412">
      <c r="E412" s="455"/>
      <c r="F412" s="455"/>
    </row>
    <row r="413">
      <c r="E413" s="455"/>
      <c r="F413" s="455"/>
    </row>
    <row r="414">
      <c r="E414" s="455"/>
      <c r="F414" s="455"/>
    </row>
    <row r="415">
      <c r="E415" s="455"/>
      <c r="F415" s="455"/>
    </row>
    <row r="416">
      <c r="E416" s="455"/>
      <c r="F416" s="455"/>
    </row>
    <row r="417">
      <c r="E417" s="455"/>
      <c r="F417" s="455"/>
    </row>
    <row r="418">
      <c r="E418" s="455"/>
      <c r="F418" s="455"/>
    </row>
    <row r="419">
      <c r="E419" s="455"/>
      <c r="F419" s="455"/>
    </row>
    <row r="420">
      <c r="E420" s="455"/>
      <c r="F420" s="455"/>
    </row>
    <row r="421">
      <c r="E421" s="455"/>
      <c r="F421" s="455"/>
    </row>
    <row r="422">
      <c r="E422" s="455"/>
      <c r="F422" s="455"/>
    </row>
    <row r="423">
      <c r="E423" s="455"/>
      <c r="F423" s="455"/>
    </row>
    <row r="424">
      <c r="E424" s="455"/>
      <c r="F424" s="455"/>
    </row>
    <row r="425">
      <c r="E425" s="455"/>
      <c r="F425" s="455"/>
    </row>
    <row r="426">
      <c r="E426" s="455"/>
      <c r="F426" s="455"/>
    </row>
    <row r="427">
      <c r="E427" s="455"/>
      <c r="F427" s="455"/>
    </row>
    <row r="428">
      <c r="E428" s="455"/>
      <c r="F428" s="455"/>
    </row>
    <row r="429">
      <c r="E429" s="455"/>
      <c r="F429" s="455"/>
    </row>
    <row r="430">
      <c r="E430" s="455"/>
      <c r="F430" s="455"/>
    </row>
    <row r="431">
      <c r="E431" s="455"/>
      <c r="F431" s="455"/>
    </row>
    <row r="432">
      <c r="E432" s="455"/>
      <c r="F432" s="455"/>
    </row>
    <row r="433">
      <c r="E433" s="455"/>
      <c r="F433" s="455"/>
    </row>
    <row r="434">
      <c r="E434" s="455"/>
      <c r="F434" s="455"/>
    </row>
    <row r="435">
      <c r="E435" s="455"/>
      <c r="F435" s="455"/>
    </row>
    <row r="436">
      <c r="E436" s="455"/>
      <c r="F436" s="455"/>
    </row>
    <row r="437">
      <c r="E437" s="455"/>
      <c r="F437" s="455"/>
    </row>
    <row r="438">
      <c r="E438" s="455"/>
      <c r="F438" s="455"/>
    </row>
    <row r="439">
      <c r="E439" s="455"/>
      <c r="F439" s="455"/>
    </row>
    <row r="440">
      <c r="E440" s="455"/>
      <c r="F440" s="455"/>
    </row>
    <row r="441">
      <c r="E441" s="455"/>
      <c r="F441" s="455"/>
    </row>
    <row r="442">
      <c r="E442" s="455"/>
      <c r="F442" s="455"/>
    </row>
    <row r="443">
      <c r="E443" s="455"/>
      <c r="F443" s="455"/>
    </row>
    <row r="444">
      <c r="E444" s="455"/>
      <c r="F444" s="455"/>
    </row>
    <row r="445">
      <c r="E445" s="455"/>
      <c r="F445" s="455"/>
    </row>
    <row r="446">
      <c r="E446" s="455"/>
      <c r="F446" s="455"/>
    </row>
    <row r="447">
      <c r="E447" s="455"/>
      <c r="F447" s="455"/>
    </row>
    <row r="448">
      <c r="E448" s="455"/>
      <c r="F448" s="455"/>
    </row>
    <row r="449">
      <c r="E449" s="455"/>
      <c r="F449" s="455"/>
    </row>
    <row r="450">
      <c r="E450" s="455"/>
      <c r="F450" s="455"/>
    </row>
    <row r="451">
      <c r="E451" s="455"/>
      <c r="F451" s="455"/>
    </row>
    <row r="452">
      <c r="E452" s="455"/>
      <c r="F452" s="455"/>
    </row>
    <row r="453">
      <c r="E453" s="455"/>
      <c r="F453" s="455"/>
    </row>
    <row r="454">
      <c r="E454" s="455"/>
      <c r="F454" s="455"/>
    </row>
    <row r="455">
      <c r="E455" s="455"/>
      <c r="F455" s="455"/>
    </row>
    <row r="456">
      <c r="E456" s="455"/>
      <c r="F456" s="455"/>
    </row>
    <row r="457">
      <c r="E457" s="455"/>
      <c r="F457" s="455"/>
    </row>
    <row r="458">
      <c r="E458" s="455"/>
      <c r="F458" s="455"/>
    </row>
    <row r="459">
      <c r="E459" s="455"/>
      <c r="F459" s="455"/>
    </row>
    <row r="460">
      <c r="E460" s="455"/>
      <c r="F460" s="455"/>
    </row>
    <row r="461">
      <c r="E461" s="455"/>
      <c r="F461" s="455"/>
    </row>
    <row r="462">
      <c r="E462" s="455"/>
      <c r="F462" s="455"/>
    </row>
    <row r="463">
      <c r="E463" s="455"/>
      <c r="F463" s="455"/>
    </row>
    <row r="464">
      <c r="E464" s="455"/>
      <c r="F464" s="455"/>
    </row>
    <row r="465">
      <c r="E465" s="455"/>
      <c r="F465" s="455"/>
    </row>
    <row r="466">
      <c r="E466" s="455"/>
      <c r="F466" s="455"/>
    </row>
    <row r="467">
      <c r="E467" s="455"/>
      <c r="F467" s="455"/>
    </row>
    <row r="468">
      <c r="E468" s="455"/>
      <c r="F468" s="455"/>
    </row>
    <row r="469">
      <c r="E469" s="455"/>
      <c r="F469" s="455"/>
    </row>
    <row r="470">
      <c r="E470" s="455"/>
      <c r="F470" s="455"/>
    </row>
    <row r="471">
      <c r="E471" s="455"/>
      <c r="F471" s="455"/>
    </row>
    <row r="472">
      <c r="E472" s="455"/>
      <c r="F472" s="455"/>
    </row>
    <row r="473">
      <c r="E473" s="455"/>
      <c r="F473" s="455"/>
    </row>
    <row r="474">
      <c r="E474" s="455"/>
      <c r="F474" s="455"/>
    </row>
    <row r="475">
      <c r="E475" s="455"/>
      <c r="F475" s="455"/>
    </row>
    <row r="476">
      <c r="E476" s="455"/>
      <c r="F476" s="455"/>
    </row>
    <row r="477">
      <c r="E477" s="455"/>
      <c r="F477" s="455"/>
    </row>
    <row r="478">
      <c r="E478" s="455"/>
      <c r="F478" s="455"/>
    </row>
    <row r="479">
      <c r="E479" s="455"/>
      <c r="F479" s="455"/>
    </row>
    <row r="480">
      <c r="E480" s="455"/>
      <c r="F480" s="455"/>
    </row>
    <row r="481">
      <c r="E481" s="455"/>
      <c r="F481" s="455"/>
    </row>
    <row r="482">
      <c r="E482" s="455"/>
      <c r="F482" s="455"/>
    </row>
    <row r="483">
      <c r="E483" s="455"/>
      <c r="F483" s="455"/>
    </row>
    <row r="484">
      <c r="E484" s="455"/>
      <c r="F484" s="455"/>
    </row>
    <row r="485">
      <c r="E485" s="455"/>
      <c r="F485" s="455"/>
    </row>
    <row r="486">
      <c r="E486" s="455"/>
      <c r="F486" s="455"/>
    </row>
    <row r="487">
      <c r="E487" s="455"/>
      <c r="F487" s="455"/>
    </row>
    <row r="488">
      <c r="E488" s="455"/>
      <c r="F488" s="455"/>
    </row>
    <row r="489">
      <c r="E489" s="455"/>
      <c r="F489" s="455"/>
    </row>
    <row r="490">
      <c r="E490" s="455"/>
      <c r="F490" s="455"/>
    </row>
    <row r="491">
      <c r="E491" s="455"/>
      <c r="F491" s="455"/>
    </row>
    <row r="492">
      <c r="E492" s="455"/>
      <c r="F492" s="455"/>
    </row>
    <row r="493">
      <c r="E493" s="455"/>
      <c r="F493" s="455"/>
    </row>
    <row r="494">
      <c r="E494" s="455"/>
      <c r="F494" s="455"/>
    </row>
    <row r="495">
      <c r="E495" s="455"/>
      <c r="F495" s="455"/>
    </row>
    <row r="496">
      <c r="E496" s="455"/>
      <c r="F496" s="455"/>
    </row>
    <row r="497">
      <c r="E497" s="455"/>
      <c r="F497" s="455"/>
    </row>
    <row r="498">
      <c r="E498" s="455"/>
      <c r="F498" s="455"/>
    </row>
    <row r="499">
      <c r="E499" s="455"/>
      <c r="F499" s="455"/>
    </row>
    <row r="500">
      <c r="E500" s="455"/>
      <c r="F500" s="455"/>
    </row>
    <row r="501">
      <c r="E501" s="455"/>
      <c r="F501" s="455"/>
    </row>
    <row r="502">
      <c r="E502" s="455"/>
      <c r="F502" s="455"/>
    </row>
    <row r="503">
      <c r="E503" s="455"/>
      <c r="F503" s="455"/>
    </row>
    <row r="504">
      <c r="E504" s="455"/>
      <c r="F504" s="455"/>
    </row>
    <row r="505">
      <c r="E505" s="455"/>
      <c r="F505" s="455"/>
    </row>
    <row r="506">
      <c r="E506" s="455"/>
      <c r="F506" s="455"/>
    </row>
    <row r="507">
      <c r="E507" s="455"/>
      <c r="F507" s="455"/>
    </row>
    <row r="508">
      <c r="E508" s="455"/>
      <c r="F508" s="455"/>
    </row>
    <row r="509">
      <c r="E509" s="455"/>
      <c r="F509" s="455"/>
    </row>
    <row r="510">
      <c r="E510" s="455"/>
      <c r="F510" s="455"/>
    </row>
    <row r="511">
      <c r="E511" s="455"/>
      <c r="F511" s="455"/>
    </row>
    <row r="512">
      <c r="E512" s="455"/>
      <c r="F512" s="455"/>
    </row>
    <row r="513">
      <c r="E513" s="455"/>
      <c r="F513" s="455"/>
    </row>
    <row r="514">
      <c r="E514" s="455"/>
      <c r="F514" s="455"/>
    </row>
    <row r="515">
      <c r="E515" s="455"/>
      <c r="F515" s="455"/>
    </row>
    <row r="516">
      <c r="E516" s="455"/>
      <c r="F516" s="455"/>
    </row>
    <row r="517">
      <c r="E517" s="455"/>
      <c r="F517" s="455"/>
    </row>
    <row r="518">
      <c r="E518" s="455"/>
      <c r="F518" s="455"/>
    </row>
    <row r="519">
      <c r="E519" s="455"/>
      <c r="F519" s="455"/>
    </row>
    <row r="520">
      <c r="E520" s="455"/>
      <c r="F520" s="455"/>
    </row>
    <row r="521">
      <c r="E521" s="455"/>
      <c r="F521" s="455"/>
    </row>
    <row r="522">
      <c r="E522" s="455"/>
      <c r="F522" s="455"/>
    </row>
    <row r="523">
      <c r="E523" s="455"/>
      <c r="F523" s="455"/>
    </row>
    <row r="524">
      <c r="E524" s="455"/>
      <c r="F524" s="455"/>
    </row>
    <row r="525">
      <c r="E525" s="455"/>
      <c r="F525" s="455"/>
    </row>
    <row r="526">
      <c r="E526" s="455"/>
      <c r="F526" s="455"/>
    </row>
    <row r="527">
      <c r="E527" s="455"/>
      <c r="F527" s="455"/>
    </row>
    <row r="528">
      <c r="E528" s="455"/>
      <c r="F528" s="455"/>
    </row>
    <row r="529">
      <c r="E529" s="455"/>
      <c r="F529" s="455"/>
    </row>
    <row r="530">
      <c r="E530" s="455"/>
      <c r="F530" s="455"/>
    </row>
    <row r="531">
      <c r="E531" s="455"/>
      <c r="F531" s="455"/>
    </row>
    <row r="532">
      <c r="E532" s="455"/>
      <c r="F532" s="455"/>
    </row>
    <row r="533">
      <c r="E533" s="455"/>
      <c r="F533" s="455"/>
    </row>
    <row r="534">
      <c r="E534" s="455"/>
      <c r="F534" s="455"/>
    </row>
    <row r="535">
      <c r="E535" s="455"/>
      <c r="F535" s="455"/>
    </row>
    <row r="536">
      <c r="E536" s="455"/>
      <c r="F536" s="455"/>
    </row>
    <row r="537">
      <c r="E537" s="455"/>
      <c r="F537" s="455"/>
    </row>
    <row r="538">
      <c r="E538" s="455"/>
      <c r="F538" s="455"/>
    </row>
    <row r="539">
      <c r="E539" s="455"/>
      <c r="F539" s="455"/>
    </row>
    <row r="540">
      <c r="E540" s="455"/>
      <c r="F540" s="455"/>
    </row>
    <row r="541">
      <c r="E541" s="455"/>
      <c r="F541" s="455"/>
    </row>
    <row r="542">
      <c r="E542" s="455"/>
      <c r="F542" s="455"/>
    </row>
    <row r="543">
      <c r="E543" s="455"/>
      <c r="F543" s="455"/>
    </row>
    <row r="544">
      <c r="E544" s="455"/>
      <c r="F544" s="455"/>
    </row>
    <row r="545">
      <c r="E545" s="455"/>
      <c r="F545" s="455"/>
    </row>
    <row r="546">
      <c r="E546" s="455"/>
      <c r="F546" s="455"/>
    </row>
    <row r="547">
      <c r="E547" s="455"/>
      <c r="F547" s="455"/>
    </row>
    <row r="548">
      <c r="E548" s="455"/>
      <c r="F548" s="455"/>
    </row>
    <row r="549">
      <c r="E549" s="455"/>
      <c r="F549" s="455"/>
    </row>
    <row r="550">
      <c r="E550" s="455"/>
      <c r="F550" s="455"/>
    </row>
    <row r="551">
      <c r="E551" s="455"/>
      <c r="F551" s="455"/>
    </row>
    <row r="552">
      <c r="E552" s="455"/>
      <c r="F552" s="455"/>
    </row>
    <row r="553">
      <c r="E553" s="455"/>
      <c r="F553" s="455"/>
    </row>
    <row r="554">
      <c r="E554" s="455"/>
      <c r="F554" s="455"/>
    </row>
    <row r="555">
      <c r="E555" s="455"/>
      <c r="F555" s="455"/>
    </row>
    <row r="556">
      <c r="E556" s="455"/>
      <c r="F556" s="455"/>
    </row>
    <row r="557">
      <c r="E557" s="455"/>
      <c r="F557" s="455"/>
    </row>
    <row r="558">
      <c r="E558" s="455"/>
      <c r="F558" s="455"/>
    </row>
    <row r="559">
      <c r="E559" s="455"/>
      <c r="F559" s="455"/>
    </row>
    <row r="560">
      <c r="E560" s="455"/>
      <c r="F560" s="455"/>
    </row>
    <row r="561">
      <c r="E561" s="455"/>
      <c r="F561" s="455"/>
    </row>
    <row r="562">
      <c r="E562" s="455"/>
      <c r="F562" s="455"/>
    </row>
    <row r="563">
      <c r="E563" s="455"/>
      <c r="F563" s="455"/>
    </row>
    <row r="564">
      <c r="E564" s="455"/>
      <c r="F564" s="455"/>
    </row>
    <row r="565">
      <c r="E565" s="455"/>
      <c r="F565" s="455"/>
    </row>
    <row r="566">
      <c r="E566" s="455"/>
      <c r="F566" s="455"/>
    </row>
    <row r="567">
      <c r="E567" s="455"/>
      <c r="F567" s="455"/>
    </row>
    <row r="568">
      <c r="E568" s="455"/>
      <c r="F568" s="455"/>
    </row>
    <row r="569">
      <c r="E569" s="455"/>
      <c r="F569" s="455"/>
    </row>
    <row r="570">
      <c r="E570" s="455"/>
      <c r="F570" s="455"/>
    </row>
    <row r="571">
      <c r="E571" s="455"/>
      <c r="F571" s="455"/>
    </row>
    <row r="572">
      <c r="E572" s="455"/>
      <c r="F572" s="455"/>
    </row>
    <row r="573">
      <c r="E573" s="455"/>
      <c r="F573" s="455"/>
    </row>
    <row r="574">
      <c r="E574" s="455"/>
      <c r="F574" s="455"/>
    </row>
    <row r="575">
      <c r="E575" s="455"/>
      <c r="F575" s="455"/>
    </row>
    <row r="576">
      <c r="E576" s="455"/>
      <c r="F576" s="455"/>
    </row>
    <row r="577">
      <c r="E577" s="455"/>
      <c r="F577" s="455"/>
    </row>
    <row r="578">
      <c r="E578" s="455"/>
      <c r="F578" s="455"/>
    </row>
    <row r="579">
      <c r="E579" s="455"/>
      <c r="F579" s="455"/>
    </row>
    <row r="580">
      <c r="E580" s="455"/>
      <c r="F580" s="455"/>
    </row>
    <row r="581">
      <c r="E581" s="455"/>
      <c r="F581" s="455"/>
    </row>
    <row r="582">
      <c r="E582" s="455"/>
      <c r="F582" s="455"/>
    </row>
    <row r="583">
      <c r="E583" s="455"/>
      <c r="F583" s="455"/>
    </row>
    <row r="584">
      <c r="E584" s="455"/>
      <c r="F584" s="455"/>
    </row>
    <row r="585">
      <c r="E585" s="455"/>
      <c r="F585" s="455"/>
    </row>
    <row r="586">
      <c r="E586" s="455"/>
      <c r="F586" s="455"/>
    </row>
    <row r="587">
      <c r="E587" s="455"/>
      <c r="F587" s="455"/>
    </row>
    <row r="588">
      <c r="E588" s="455"/>
      <c r="F588" s="455"/>
    </row>
    <row r="589">
      <c r="E589" s="455"/>
      <c r="F589" s="455"/>
    </row>
    <row r="590">
      <c r="E590" s="455"/>
      <c r="F590" s="455"/>
    </row>
    <row r="591">
      <c r="E591" s="455"/>
      <c r="F591" s="455"/>
    </row>
    <row r="592">
      <c r="E592" s="455"/>
      <c r="F592" s="455"/>
    </row>
    <row r="593">
      <c r="E593" s="455"/>
      <c r="F593" s="455"/>
    </row>
    <row r="594">
      <c r="E594" s="455"/>
      <c r="F594" s="455"/>
    </row>
    <row r="595">
      <c r="E595" s="455"/>
      <c r="F595" s="455"/>
    </row>
    <row r="596">
      <c r="E596" s="455"/>
      <c r="F596" s="455"/>
    </row>
    <row r="597">
      <c r="E597" s="455"/>
      <c r="F597" s="455"/>
    </row>
    <row r="598">
      <c r="E598" s="455"/>
      <c r="F598" s="455"/>
    </row>
    <row r="599">
      <c r="E599" s="455"/>
      <c r="F599" s="455"/>
    </row>
    <row r="600">
      <c r="E600" s="455"/>
      <c r="F600" s="455"/>
    </row>
    <row r="601">
      <c r="E601" s="455"/>
      <c r="F601" s="455"/>
    </row>
    <row r="602">
      <c r="E602" s="455"/>
      <c r="F602" s="455"/>
    </row>
    <row r="603">
      <c r="E603" s="455"/>
      <c r="F603" s="455"/>
    </row>
    <row r="604">
      <c r="E604" s="455"/>
      <c r="F604" s="455"/>
    </row>
    <row r="605">
      <c r="E605" s="455"/>
      <c r="F605" s="455"/>
    </row>
    <row r="606">
      <c r="E606" s="455"/>
      <c r="F606" s="455"/>
    </row>
    <row r="607">
      <c r="E607" s="455"/>
      <c r="F607" s="455"/>
    </row>
    <row r="608">
      <c r="E608" s="455"/>
      <c r="F608" s="455"/>
    </row>
    <row r="609">
      <c r="E609" s="455"/>
      <c r="F609" s="455"/>
    </row>
    <row r="610">
      <c r="E610" s="455"/>
      <c r="F610" s="455"/>
    </row>
    <row r="611">
      <c r="E611" s="455"/>
      <c r="F611" s="455"/>
    </row>
    <row r="612">
      <c r="E612" s="455"/>
      <c r="F612" s="455"/>
    </row>
    <row r="613">
      <c r="E613" s="455"/>
      <c r="F613" s="455"/>
    </row>
    <row r="614">
      <c r="E614" s="455"/>
      <c r="F614" s="455"/>
    </row>
    <row r="615">
      <c r="E615" s="455"/>
      <c r="F615" s="455"/>
    </row>
    <row r="616">
      <c r="E616" s="455"/>
      <c r="F616" s="455"/>
    </row>
    <row r="617">
      <c r="E617" s="455"/>
      <c r="F617" s="455"/>
    </row>
    <row r="618">
      <c r="E618" s="455"/>
      <c r="F618" s="455"/>
    </row>
    <row r="619">
      <c r="E619" s="455"/>
      <c r="F619" s="455"/>
    </row>
    <row r="620">
      <c r="E620" s="455"/>
      <c r="F620" s="455"/>
    </row>
    <row r="621">
      <c r="E621" s="455"/>
      <c r="F621" s="455"/>
    </row>
    <row r="622">
      <c r="E622" s="455"/>
      <c r="F622" s="455"/>
    </row>
    <row r="623">
      <c r="E623" s="455"/>
      <c r="F623" s="455"/>
    </row>
    <row r="624">
      <c r="E624" s="455"/>
      <c r="F624" s="455"/>
    </row>
    <row r="625">
      <c r="E625" s="455"/>
      <c r="F625" s="455"/>
    </row>
    <row r="626">
      <c r="E626" s="455"/>
      <c r="F626" s="455"/>
    </row>
    <row r="627">
      <c r="E627" s="455"/>
      <c r="F627" s="455"/>
    </row>
    <row r="628">
      <c r="E628" s="455"/>
      <c r="F628" s="455"/>
    </row>
    <row r="629">
      <c r="E629" s="455"/>
      <c r="F629" s="455"/>
    </row>
    <row r="630">
      <c r="E630" s="455"/>
      <c r="F630" s="455"/>
    </row>
    <row r="631">
      <c r="E631" s="455"/>
      <c r="F631" s="455"/>
    </row>
    <row r="632">
      <c r="E632" s="455"/>
      <c r="F632" s="455"/>
    </row>
    <row r="633">
      <c r="E633" s="455"/>
      <c r="F633" s="455"/>
    </row>
    <row r="634">
      <c r="E634" s="455"/>
      <c r="F634" s="455"/>
    </row>
    <row r="635">
      <c r="E635" s="455"/>
      <c r="F635" s="455"/>
    </row>
    <row r="636">
      <c r="E636" s="455"/>
      <c r="F636" s="455"/>
    </row>
    <row r="637">
      <c r="E637" s="455"/>
      <c r="F637" s="455"/>
    </row>
    <row r="638">
      <c r="E638" s="455"/>
      <c r="F638" s="455"/>
    </row>
    <row r="639">
      <c r="E639" s="455"/>
      <c r="F639" s="455"/>
    </row>
    <row r="640">
      <c r="E640" s="455"/>
      <c r="F640" s="455"/>
    </row>
    <row r="641">
      <c r="E641" s="455"/>
      <c r="F641" s="455"/>
    </row>
    <row r="642">
      <c r="E642" s="455"/>
      <c r="F642" s="455"/>
    </row>
    <row r="643">
      <c r="E643" s="455"/>
      <c r="F643" s="455"/>
    </row>
    <row r="644">
      <c r="E644" s="455"/>
      <c r="F644" s="455"/>
    </row>
    <row r="645">
      <c r="E645" s="455"/>
      <c r="F645" s="455"/>
    </row>
    <row r="646">
      <c r="E646" s="455"/>
      <c r="F646" s="455"/>
    </row>
    <row r="647">
      <c r="E647" s="455"/>
      <c r="F647" s="455"/>
    </row>
    <row r="648">
      <c r="E648" s="455"/>
      <c r="F648" s="455"/>
    </row>
    <row r="649">
      <c r="E649" s="455"/>
      <c r="F649" s="455"/>
    </row>
    <row r="650">
      <c r="E650" s="455"/>
      <c r="F650" s="455"/>
    </row>
    <row r="651">
      <c r="E651" s="455"/>
      <c r="F651" s="455"/>
    </row>
    <row r="652">
      <c r="E652" s="455"/>
      <c r="F652" s="455"/>
    </row>
    <row r="653">
      <c r="E653" s="455"/>
      <c r="F653" s="455"/>
    </row>
    <row r="654">
      <c r="E654" s="455"/>
      <c r="F654" s="455"/>
    </row>
    <row r="655">
      <c r="E655" s="455"/>
      <c r="F655" s="455"/>
    </row>
    <row r="656">
      <c r="E656" s="455"/>
      <c r="F656" s="455"/>
    </row>
    <row r="657">
      <c r="E657" s="455"/>
      <c r="F657" s="455"/>
    </row>
    <row r="658">
      <c r="E658" s="455"/>
      <c r="F658" s="455"/>
    </row>
    <row r="659">
      <c r="E659" s="455"/>
      <c r="F659" s="455"/>
    </row>
    <row r="660">
      <c r="E660" s="455"/>
      <c r="F660" s="455"/>
    </row>
    <row r="661">
      <c r="E661" s="455"/>
      <c r="F661" s="455"/>
    </row>
    <row r="662">
      <c r="E662" s="455"/>
      <c r="F662" s="455"/>
    </row>
    <row r="663">
      <c r="E663" s="455"/>
      <c r="F663" s="455"/>
    </row>
    <row r="664">
      <c r="E664" s="455"/>
      <c r="F664" s="455"/>
    </row>
    <row r="665">
      <c r="E665" s="455"/>
      <c r="F665" s="455"/>
    </row>
    <row r="666">
      <c r="E666" s="455"/>
      <c r="F666" s="455"/>
    </row>
    <row r="667">
      <c r="E667" s="455"/>
      <c r="F667" s="455"/>
    </row>
    <row r="668">
      <c r="E668" s="455"/>
      <c r="F668" s="455"/>
    </row>
    <row r="669">
      <c r="E669" s="455"/>
      <c r="F669" s="455"/>
    </row>
    <row r="670">
      <c r="E670" s="455"/>
      <c r="F670" s="455"/>
    </row>
    <row r="671">
      <c r="E671" s="455"/>
      <c r="F671" s="455"/>
    </row>
    <row r="672">
      <c r="E672" s="455"/>
      <c r="F672" s="455"/>
    </row>
    <row r="673">
      <c r="E673" s="455"/>
      <c r="F673" s="455"/>
    </row>
    <row r="674">
      <c r="E674" s="455"/>
      <c r="F674" s="455"/>
    </row>
    <row r="675">
      <c r="E675" s="455"/>
      <c r="F675" s="455"/>
    </row>
    <row r="676">
      <c r="E676" s="455"/>
      <c r="F676" s="455"/>
    </row>
    <row r="677">
      <c r="E677" s="455"/>
      <c r="F677" s="455"/>
    </row>
    <row r="678">
      <c r="E678" s="455"/>
      <c r="F678" s="455"/>
    </row>
    <row r="679">
      <c r="E679" s="455"/>
      <c r="F679" s="455"/>
    </row>
    <row r="680">
      <c r="E680" s="455"/>
      <c r="F680" s="455"/>
    </row>
    <row r="681">
      <c r="E681" s="455"/>
      <c r="F681" s="455"/>
    </row>
    <row r="682">
      <c r="E682" s="455"/>
      <c r="F682" s="455"/>
    </row>
    <row r="683">
      <c r="E683" s="455"/>
      <c r="F683" s="455"/>
    </row>
    <row r="684">
      <c r="E684" s="455"/>
      <c r="F684" s="455"/>
    </row>
    <row r="685">
      <c r="E685" s="455"/>
      <c r="F685" s="455"/>
    </row>
    <row r="686">
      <c r="E686" s="455"/>
      <c r="F686" s="455"/>
    </row>
    <row r="687">
      <c r="E687" s="455"/>
      <c r="F687" s="455"/>
    </row>
    <row r="688">
      <c r="E688" s="455"/>
      <c r="F688" s="455"/>
    </row>
    <row r="689">
      <c r="E689" s="455"/>
      <c r="F689" s="455"/>
    </row>
    <row r="690">
      <c r="E690" s="455"/>
      <c r="F690" s="455"/>
    </row>
    <row r="691">
      <c r="E691" s="455"/>
      <c r="F691" s="455"/>
    </row>
    <row r="692">
      <c r="E692" s="455"/>
      <c r="F692" s="455"/>
    </row>
    <row r="693">
      <c r="E693" s="455"/>
      <c r="F693" s="455"/>
    </row>
    <row r="694">
      <c r="E694" s="455"/>
      <c r="F694" s="455"/>
    </row>
    <row r="695">
      <c r="E695" s="455"/>
      <c r="F695" s="455"/>
    </row>
    <row r="696">
      <c r="E696" s="455"/>
      <c r="F696" s="455"/>
    </row>
    <row r="697">
      <c r="E697" s="455"/>
      <c r="F697" s="455"/>
    </row>
    <row r="698">
      <c r="E698" s="455"/>
      <c r="F698" s="455"/>
    </row>
    <row r="699">
      <c r="E699" s="455"/>
      <c r="F699" s="455"/>
    </row>
    <row r="700">
      <c r="E700" s="455"/>
      <c r="F700" s="455"/>
    </row>
    <row r="701">
      <c r="E701" s="455"/>
      <c r="F701" s="455"/>
    </row>
    <row r="702">
      <c r="E702" s="455"/>
      <c r="F702" s="455"/>
    </row>
    <row r="703">
      <c r="E703" s="455"/>
      <c r="F703" s="455"/>
    </row>
    <row r="704">
      <c r="E704" s="455"/>
      <c r="F704" s="455"/>
    </row>
    <row r="705">
      <c r="E705" s="455"/>
      <c r="F705" s="455"/>
    </row>
    <row r="706">
      <c r="E706" s="455"/>
      <c r="F706" s="455"/>
    </row>
    <row r="707">
      <c r="E707" s="455"/>
      <c r="F707" s="455"/>
    </row>
    <row r="708">
      <c r="E708" s="455"/>
      <c r="F708" s="455"/>
    </row>
    <row r="709">
      <c r="E709" s="455"/>
      <c r="F709" s="455"/>
    </row>
    <row r="710">
      <c r="E710" s="455"/>
      <c r="F710" s="455"/>
    </row>
    <row r="711">
      <c r="E711" s="455"/>
      <c r="F711" s="455"/>
    </row>
    <row r="712">
      <c r="E712" s="455"/>
      <c r="F712" s="455"/>
    </row>
    <row r="713">
      <c r="E713" s="455"/>
      <c r="F713" s="455"/>
    </row>
    <row r="714">
      <c r="E714" s="455"/>
      <c r="F714" s="455"/>
    </row>
    <row r="715">
      <c r="E715" s="455"/>
      <c r="F715" s="455"/>
    </row>
    <row r="716">
      <c r="E716" s="455"/>
      <c r="F716" s="455"/>
    </row>
    <row r="717">
      <c r="E717" s="455"/>
      <c r="F717" s="455"/>
    </row>
    <row r="718">
      <c r="E718" s="455"/>
      <c r="F718" s="455"/>
    </row>
    <row r="719">
      <c r="E719" s="455"/>
      <c r="F719" s="455"/>
    </row>
    <row r="720">
      <c r="E720" s="455"/>
      <c r="F720" s="455"/>
    </row>
    <row r="721">
      <c r="E721" s="455"/>
      <c r="F721" s="455"/>
    </row>
    <row r="722">
      <c r="E722" s="455"/>
      <c r="F722" s="455"/>
    </row>
    <row r="723">
      <c r="E723" s="455"/>
      <c r="F723" s="455"/>
    </row>
    <row r="724">
      <c r="E724" s="455"/>
      <c r="F724" s="455"/>
    </row>
    <row r="725">
      <c r="E725" s="455"/>
      <c r="F725" s="455"/>
    </row>
    <row r="726">
      <c r="E726" s="455"/>
      <c r="F726" s="455"/>
    </row>
    <row r="727">
      <c r="E727" s="455"/>
      <c r="F727" s="455"/>
    </row>
    <row r="728">
      <c r="E728" s="455"/>
      <c r="F728" s="455"/>
    </row>
    <row r="729">
      <c r="E729" s="455"/>
      <c r="F729" s="455"/>
    </row>
    <row r="730">
      <c r="E730" s="455"/>
      <c r="F730" s="455"/>
    </row>
    <row r="731">
      <c r="E731" s="455"/>
      <c r="F731" s="455"/>
    </row>
    <row r="732">
      <c r="E732" s="455"/>
      <c r="F732" s="455"/>
    </row>
    <row r="733">
      <c r="E733" s="455"/>
      <c r="F733" s="455"/>
    </row>
    <row r="734">
      <c r="E734" s="455"/>
      <c r="F734" s="455"/>
    </row>
    <row r="735">
      <c r="E735" s="455"/>
      <c r="F735" s="455"/>
    </row>
    <row r="736">
      <c r="E736" s="455"/>
      <c r="F736" s="455"/>
    </row>
    <row r="737">
      <c r="E737" s="455"/>
      <c r="F737" s="455"/>
    </row>
    <row r="738">
      <c r="E738" s="455"/>
      <c r="F738" s="455"/>
    </row>
    <row r="739">
      <c r="E739" s="455"/>
      <c r="F739" s="455"/>
    </row>
    <row r="740">
      <c r="E740" s="455"/>
      <c r="F740" s="455"/>
    </row>
    <row r="741">
      <c r="E741" s="455"/>
      <c r="F741" s="455"/>
    </row>
    <row r="742">
      <c r="E742" s="455"/>
      <c r="F742" s="455"/>
    </row>
    <row r="743">
      <c r="E743" s="455"/>
      <c r="F743" s="455"/>
    </row>
    <row r="744">
      <c r="E744" s="455"/>
      <c r="F744" s="455"/>
    </row>
    <row r="745">
      <c r="E745" s="455"/>
      <c r="F745" s="455"/>
    </row>
    <row r="746">
      <c r="E746" s="455"/>
      <c r="F746" s="455"/>
    </row>
    <row r="747">
      <c r="E747" s="455"/>
      <c r="F747" s="455"/>
    </row>
    <row r="748">
      <c r="E748" s="455"/>
      <c r="F748" s="455"/>
    </row>
    <row r="749">
      <c r="E749" s="455"/>
      <c r="F749" s="455"/>
    </row>
    <row r="750">
      <c r="E750" s="455"/>
      <c r="F750" s="455"/>
    </row>
    <row r="751">
      <c r="E751" s="455"/>
      <c r="F751" s="455"/>
    </row>
    <row r="752">
      <c r="E752" s="455"/>
      <c r="F752" s="455"/>
    </row>
    <row r="753">
      <c r="E753" s="455"/>
      <c r="F753" s="455"/>
    </row>
    <row r="754">
      <c r="E754" s="455"/>
      <c r="F754" s="455"/>
    </row>
    <row r="755">
      <c r="E755" s="455"/>
      <c r="F755" s="455"/>
    </row>
    <row r="756">
      <c r="E756" s="455"/>
      <c r="F756" s="455"/>
    </row>
    <row r="757">
      <c r="E757" s="455"/>
      <c r="F757" s="455"/>
    </row>
    <row r="758">
      <c r="E758" s="455"/>
      <c r="F758" s="455"/>
    </row>
    <row r="759">
      <c r="E759" s="455"/>
      <c r="F759" s="455"/>
    </row>
    <row r="760">
      <c r="E760" s="455"/>
      <c r="F760" s="455"/>
    </row>
    <row r="761">
      <c r="E761" s="455"/>
      <c r="F761" s="455"/>
    </row>
    <row r="762">
      <c r="E762" s="455"/>
      <c r="F762" s="455"/>
    </row>
    <row r="763">
      <c r="E763" s="455"/>
      <c r="F763" s="455"/>
    </row>
    <row r="764">
      <c r="E764" s="455"/>
      <c r="F764" s="455"/>
    </row>
    <row r="765">
      <c r="E765" s="455"/>
      <c r="F765" s="455"/>
    </row>
    <row r="766">
      <c r="E766" s="455"/>
      <c r="F766" s="455"/>
    </row>
    <row r="767">
      <c r="E767" s="455"/>
      <c r="F767" s="455"/>
    </row>
    <row r="768">
      <c r="E768" s="455"/>
      <c r="F768" s="455"/>
    </row>
    <row r="769">
      <c r="E769" s="455"/>
      <c r="F769" s="455"/>
    </row>
    <row r="770">
      <c r="E770" s="455"/>
      <c r="F770" s="455"/>
    </row>
    <row r="771">
      <c r="E771" s="455"/>
      <c r="F771" s="455"/>
    </row>
    <row r="772">
      <c r="E772" s="455"/>
      <c r="F772" s="455"/>
    </row>
    <row r="773">
      <c r="E773" s="455"/>
      <c r="F773" s="455"/>
    </row>
    <row r="774">
      <c r="E774" s="455"/>
      <c r="F774" s="455"/>
    </row>
    <row r="775">
      <c r="E775" s="455"/>
      <c r="F775" s="455"/>
    </row>
    <row r="776">
      <c r="E776" s="455"/>
      <c r="F776" s="455"/>
    </row>
    <row r="777">
      <c r="E777" s="455"/>
      <c r="F777" s="455"/>
    </row>
    <row r="778">
      <c r="E778" s="455"/>
      <c r="F778" s="455"/>
    </row>
    <row r="779">
      <c r="E779" s="455"/>
      <c r="F779" s="455"/>
    </row>
    <row r="780">
      <c r="E780" s="455"/>
      <c r="F780" s="455"/>
    </row>
    <row r="781">
      <c r="E781" s="455"/>
      <c r="F781" s="455"/>
    </row>
    <row r="782">
      <c r="E782" s="455"/>
      <c r="F782" s="455"/>
    </row>
    <row r="783">
      <c r="E783" s="455"/>
      <c r="F783" s="455"/>
    </row>
    <row r="784">
      <c r="E784" s="455"/>
      <c r="F784" s="455"/>
    </row>
    <row r="785">
      <c r="E785" s="455"/>
      <c r="F785" s="455"/>
    </row>
    <row r="786">
      <c r="E786" s="455"/>
      <c r="F786" s="455"/>
    </row>
    <row r="787">
      <c r="E787" s="455"/>
      <c r="F787" s="455"/>
    </row>
    <row r="788">
      <c r="E788" s="455"/>
      <c r="F788" s="455"/>
    </row>
    <row r="789">
      <c r="E789" s="455"/>
      <c r="F789" s="455"/>
    </row>
    <row r="790">
      <c r="E790" s="455"/>
      <c r="F790" s="455"/>
    </row>
    <row r="791">
      <c r="E791" s="455"/>
      <c r="F791" s="455"/>
    </row>
    <row r="792">
      <c r="E792" s="455"/>
      <c r="F792" s="455"/>
    </row>
    <row r="793">
      <c r="E793" s="455"/>
      <c r="F793" s="455"/>
    </row>
    <row r="794">
      <c r="E794" s="455"/>
      <c r="F794" s="455"/>
    </row>
    <row r="795">
      <c r="E795" s="455"/>
      <c r="F795" s="455"/>
    </row>
    <row r="796">
      <c r="E796" s="455"/>
      <c r="F796" s="455"/>
    </row>
    <row r="797">
      <c r="E797" s="455"/>
      <c r="F797" s="455"/>
    </row>
    <row r="798">
      <c r="E798" s="455"/>
      <c r="F798" s="455"/>
    </row>
    <row r="799">
      <c r="E799" s="455"/>
      <c r="F799" s="455"/>
    </row>
    <row r="800">
      <c r="E800" s="455"/>
      <c r="F800" s="455"/>
    </row>
    <row r="801">
      <c r="E801" s="455"/>
      <c r="F801" s="455"/>
    </row>
    <row r="802">
      <c r="E802" s="455"/>
      <c r="F802" s="455"/>
    </row>
    <row r="803">
      <c r="E803" s="455"/>
      <c r="F803" s="455"/>
    </row>
    <row r="804">
      <c r="E804" s="455"/>
      <c r="F804" s="455"/>
    </row>
    <row r="805">
      <c r="E805" s="455"/>
      <c r="F805" s="455"/>
    </row>
    <row r="806">
      <c r="E806" s="455"/>
      <c r="F806" s="455"/>
    </row>
    <row r="807">
      <c r="E807" s="455"/>
      <c r="F807" s="455"/>
    </row>
    <row r="808">
      <c r="E808" s="455"/>
      <c r="F808" s="455"/>
    </row>
    <row r="809">
      <c r="E809" s="455"/>
      <c r="F809" s="455"/>
    </row>
    <row r="810">
      <c r="E810" s="455"/>
      <c r="F810" s="455"/>
    </row>
    <row r="811">
      <c r="E811" s="455"/>
      <c r="F811" s="455"/>
    </row>
    <row r="812">
      <c r="E812" s="455"/>
      <c r="F812" s="455"/>
    </row>
    <row r="813">
      <c r="E813" s="455"/>
      <c r="F813" s="455"/>
    </row>
    <row r="814">
      <c r="E814" s="455"/>
      <c r="F814" s="455"/>
    </row>
    <row r="815">
      <c r="E815" s="455"/>
      <c r="F815" s="455"/>
    </row>
    <row r="816">
      <c r="E816" s="455"/>
      <c r="F816" s="455"/>
    </row>
    <row r="817">
      <c r="E817" s="455"/>
      <c r="F817" s="455"/>
    </row>
    <row r="818">
      <c r="E818" s="455"/>
      <c r="F818" s="455"/>
    </row>
    <row r="819">
      <c r="E819" s="455"/>
      <c r="F819" s="455"/>
    </row>
    <row r="820">
      <c r="E820" s="455"/>
      <c r="F820" s="455"/>
    </row>
    <row r="821">
      <c r="E821" s="455"/>
      <c r="F821" s="455"/>
    </row>
    <row r="822">
      <c r="E822" s="455"/>
      <c r="F822" s="455"/>
    </row>
    <row r="823">
      <c r="E823" s="455"/>
      <c r="F823" s="455"/>
    </row>
    <row r="824">
      <c r="E824" s="455"/>
      <c r="F824" s="455"/>
    </row>
    <row r="825">
      <c r="E825" s="455"/>
      <c r="F825" s="455"/>
    </row>
    <row r="826">
      <c r="E826" s="455"/>
      <c r="F826" s="455"/>
    </row>
    <row r="827">
      <c r="E827" s="455"/>
      <c r="F827" s="455"/>
    </row>
    <row r="828">
      <c r="E828" s="455"/>
      <c r="F828" s="455"/>
    </row>
    <row r="829">
      <c r="E829" s="455"/>
      <c r="F829" s="455"/>
    </row>
    <row r="830">
      <c r="E830" s="455"/>
      <c r="F830" s="455"/>
    </row>
    <row r="831">
      <c r="E831" s="455"/>
      <c r="F831" s="455"/>
    </row>
    <row r="832">
      <c r="E832" s="455"/>
      <c r="F832" s="455"/>
    </row>
    <row r="833">
      <c r="E833" s="455"/>
      <c r="F833" s="455"/>
    </row>
    <row r="834">
      <c r="E834" s="455"/>
      <c r="F834" s="455"/>
    </row>
    <row r="835">
      <c r="E835" s="455"/>
      <c r="F835" s="455"/>
    </row>
    <row r="836">
      <c r="E836" s="455"/>
      <c r="F836" s="455"/>
    </row>
    <row r="837">
      <c r="E837" s="455"/>
      <c r="F837" s="455"/>
    </row>
    <row r="838">
      <c r="E838" s="455"/>
      <c r="F838" s="455"/>
    </row>
    <row r="839">
      <c r="E839" s="455"/>
      <c r="F839" s="455"/>
    </row>
    <row r="840">
      <c r="E840" s="455"/>
      <c r="F840" s="455"/>
    </row>
    <row r="841">
      <c r="E841" s="455"/>
      <c r="F841" s="455"/>
    </row>
    <row r="842">
      <c r="E842" s="455"/>
      <c r="F842" s="455"/>
    </row>
    <row r="843">
      <c r="E843" s="455"/>
      <c r="F843" s="455"/>
    </row>
    <row r="844">
      <c r="E844" s="455"/>
      <c r="F844" s="455"/>
    </row>
    <row r="845">
      <c r="E845" s="455"/>
      <c r="F845" s="455"/>
    </row>
    <row r="846">
      <c r="E846" s="455"/>
      <c r="F846" s="455"/>
    </row>
    <row r="847">
      <c r="E847" s="455"/>
      <c r="F847" s="455"/>
    </row>
    <row r="848">
      <c r="E848" s="455"/>
      <c r="F848" s="455"/>
    </row>
    <row r="849">
      <c r="E849" s="455"/>
      <c r="F849" s="455"/>
    </row>
    <row r="850">
      <c r="E850" s="455"/>
      <c r="F850" s="455"/>
    </row>
    <row r="851">
      <c r="E851" s="455"/>
      <c r="F851" s="455"/>
    </row>
    <row r="852">
      <c r="E852" s="455"/>
      <c r="F852" s="455"/>
    </row>
    <row r="853">
      <c r="E853" s="455"/>
      <c r="F853" s="455"/>
    </row>
    <row r="854">
      <c r="E854" s="455"/>
      <c r="F854" s="455"/>
    </row>
    <row r="855">
      <c r="E855" s="455"/>
      <c r="F855" s="455"/>
    </row>
    <row r="856">
      <c r="E856" s="455"/>
      <c r="F856" s="455"/>
    </row>
    <row r="857">
      <c r="E857" s="455"/>
      <c r="F857" s="455"/>
    </row>
    <row r="858">
      <c r="E858" s="455"/>
      <c r="F858" s="455"/>
    </row>
    <row r="859">
      <c r="E859" s="455"/>
      <c r="F859" s="455"/>
    </row>
    <row r="860">
      <c r="E860" s="455"/>
      <c r="F860" s="455"/>
    </row>
    <row r="861">
      <c r="E861" s="455"/>
      <c r="F861" s="455"/>
    </row>
    <row r="862">
      <c r="E862" s="455"/>
      <c r="F862" s="455"/>
    </row>
    <row r="863">
      <c r="E863" s="455"/>
      <c r="F863" s="455"/>
    </row>
    <row r="864">
      <c r="E864" s="455"/>
      <c r="F864" s="455"/>
    </row>
    <row r="865">
      <c r="E865" s="455"/>
      <c r="F865" s="455"/>
    </row>
    <row r="866">
      <c r="E866" s="455"/>
      <c r="F866" s="455"/>
    </row>
    <row r="867">
      <c r="E867" s="455"/>
      <c r="F867" s="455"/>
    </row>
    <row r="868">
      <c r="E868" s="455"/>
      <c r="F868" s="455"/>
    </row>
    <row r="869">
      <c r="E869" s="455"/>
      <c r="F869" s="455"/>
    </row>
    <row r="870">
      <c r="E870" s="455"/>
      <c r="F870" s="455"/>
    </row>
    <row r="871">
      <c r="E871" s="455"/>
      <c r="F871" s="455"/>
    </row>
    <row r="872">
      <c r="E872" s="455"/>
      <c r="F872" s="455"/>
    </row>
    <row r="873">
      <c r="E873" s="455"/>
      <c r="F873" s="455"/>
    </row>
    <row r="874">
      <c r="E874" s="455"/>
      <c r="F874" s="455"/>
    </row>
    <row r="875">
      <c r="E875" s="455"/>
      <c r="F875" s="455"/>
    </row>
    <row r="876">
      <c r="E876" s="455"/>
      <c r="F876" s="455"/>
    </row>
    <row r="877">
      <c r="E877" s="455"/>
      <c r="F877" s="455"/>
    </row>
    <row r="878">
      <c r="E878" s="455"/>
      <c r="F878" s="455"/>
    </row>
    <row r="879">
      <c r="E879" s="455"/>
      <c r="F879" s="455"/>
    </row>
    <row r="880">
      <c r="E880" s="455"/>
      <c r="F880" s="455"/>
    </row>
    <row r="881">
      <c r="E881" s="455"/>
      <c r="F881" s="455"/>
    </row>
    <row r="882">
      <c r="E882" s="455"/>
      <c r="F882" s="455"/>
    </row>
    <row r="883">
      <c r="E883" s="455"/>
      <c r="F883" s="455"/>
    </row>
    <row r="884">
      <c r="E884" s="455"/>
      <c r="F884" s="455"/>
    </row>
    <row r="885">
      <c r="E885" s="455"/>
      <c r="F885" s="455"/>
    </row>
    <row r="886">
      <c r="E886" s="455"/>
      <c r="F886" s="455"/>
    </row>
    <row r="887">
      <c r="E887" s="455"/>
      <c r="F887" s="455"/>
    </row>
    <row r="888">
      <c r="E888" s="455"/>
      <c r="F888" s="455"/>
    </row>
    <row r="889">
      <c r="E889" s="455"/>
      <c r="F889" s="455"/>
    </row>
    <row r="890">
      <c r="E890" s="455"/>
      <c r="F890" s="455"/>
    </row>
    <row r="891">
      <c r="E891" s="455"/>
      <c r="F891" s="455"/>
    </row>
    <row r="892">
      <c r="E892" s="455"/>
      <c r="F892" s="455"/>
    </row>
    <row r="893">
      <c r="E893" s="455"/>
      <c r="F893" s="455"/>
    </row>
    <row r="894">
      <c r="E894" s="455"/>
      <c r="F894" s="455"/>
    </row>
    <row r="895">
      <c r="E895" s="455"/>
      <c r="F895" s="455"/>
    </row>
    <row r="896">
      <c r="E896" s="455"/>
      <c r="F896" s="455"/>
    </row>
    <row r="897">
      <c r="E897" s="455"/>
      <c r="F897" s="455"/>
    </row>
    <row r="898">
      <c r="E898" s="455"/>
      <c r="F898" s="455"/>
    </row>
    <row r="899">
      <c r="E899" s="455"/>
      <c r="F899" s="455"/>
    </row>
    <row r="900">
      <c r="E900" s="455"/>
      <c r="F900" s="455"/>
    </row>
    <row r="901">
      <c r="E901" s="455"/>
      <c r="F901" s="455"/>
    </row>
    <row r="902">
      <c r="E902" s="455"/>
      <c r="F902" s="455"/>
    </row>
    <row r="903">
      <c r="E903" s="455"/>
      <c r="F903" s="455"/>
    </row>
    <row r="904">
      <c r="E904" s="455"/>
      <c r="F904" s="455"/>
    </row>
    <row r="905">
      <c r="E905" s="455"/>
      <c r="F905" s="455"/>
    </row>
    <row r="906">
      <c r="E906" s="455"/>
      <c r="F906" s="455"/>
    </row>
    <row r="907">
      <c r="E907" s="455"/>
      <c r="F907" s="455"/>
    </row>
    <row r="908">
      <c r="E908" s="455"/>
      <c r="F908" s="455"/>
    </row>
    <row r="909">
      <c r="E909" s="455"/>
      <c r="F909" s="455"/>
    </row>
    <row r="910">
      <c r="E910" s="455"/>
      <c r="F910" s="455"/>
    </row>
    <row r="911">
      <c r="E911" s="455"/>
      <c r="F911" s="455"/>
    </row>
    <row r="912">
      <c r="E912" s="455"/>
      <c r="F912" s="455"/>
    </row>
    <row r="913">
      <c r="E913" s="455"/>
      <c r="F913" s="455"/>
    </row>
    <row r="914">
      <c r="E914" s="455"/>
      <c r="F914" s="455"/>
    </row>
    <row r="915">
      <c r="E915" s="455"/>
      <c r="F915" s="455"/>
    </row>
    <row r="916">
      <c r="E916" s="455"/>
      <c r="F916" s="455"/>
    </row>
    <row r="917">
      <c r="E917" s="455"/>
      <c r="F917" s="455"/>
    </row>
    <row r="918">
      <c r="E918" s="455"/>
      <c r="F918" s="455"/>
    </row>
    <row r="919">
      <c r="E919" s="455"/>
      <c r="F919" s="455"/>
    </row>
    <row r="920">
      <c r="E920" s="455"/>
      <c r="F920" s="455"/>
    </row>
    <row r="921">
      <c r="E921" s="455"/>
      <c r="F921" s="455"/>
    </row>
    <row r="922">
      <c r="E922" s="455"/>
      <c r="F922" s="455"/>
    </row>
    <row r="923">
      <c r="E923" s="455"/>
      <c r="F923" s="455"/>
    </row>
    <row r="924">
      <c r="E924" s="455"/>
      <c r="F924" s="455"/>
    </row>
    <row r="925">
      <c r="E925" s="455"/>
      <c r="F925" s="455"/>
    </row>
    <row r="926">
      <c r="E926" s="455"/>
      <c r="F926" s="455"/>
    </row>
    <row r="927">
      <c r="E927" s="455"/>
      <c r="F927" s="455"/>
    </row>
    <row r="928">
      <c r="E928" s="455"/>
      <c r="F928" s="455"/>
    </row>
    <row r="929">
      <c r="E929" s="455"/>
      <c r="F929" s="455"/>
    </row>
    <row r="930">
      <c r="E930" s="455"/>
      <c r="F930" s="455"/>
    </row>
    <row r="931">
      <c r="E931" s="455"/>
      <c r="F931" s="455"/>
    </row>
    <row r="932">
      <c r="E932" s="455"/>
      <c r="F932" s="455"/>
    </row>
    <row r="933">
      <c r="E933" s="455"/>
      <c r="F933" s="455"/>
    </row>
    <row r="934">
      <c r="E934" s="455"/>
      <c r="F934" s="455"/>
    </row>
    <row r="935">
      <c r="E935" s="455"/>
      <c r="F935" s="455"/>
    </row>
    <row r="936">
      <c r="E936" s="455"/>
      <c r="F936" s="455"/>
    </row>
    <row r="937">
      <c r="E937" s="455"/>
      <c r="F937" s="455"/>
    </row>
    <row r="938">
      <c r="E938" s="455"/>
      <c r="F938" s="455"/>
    </row>
    <row r="939">
      <c r="E939" s="455"/>
      <c r="F939" s="455"/>
    </row>
    <row r="940">
      <c r="E940" s="455"/>
      <c r="F940" s="455"/>
    </row>
    <row r="941">
      <c r="E941" s="455"/>
      <c r="F941" s="455"/>
    </row>
    <row r="942">
      <c r="E942" s="455"/>
      <c r="F942" s="455"/>
    </row>
    <row r="943">
      <c r="E943" s="455"/>
      <c r="F943" s="455"/>
    </row>
    <row r="944">
      <c r="E944" s="455"/>
      <c r="F944" s="455"/>
    </row>
    <row r="945">
      <c r="E945" s="455"/>
      <c r="F945" s="455"/>
    </row>
    <row r="946">
      <c r="E946" s="455"/>
      <c r="F946" s="455"/>
    </row>
    <row r="947">
      <c r="E947" s="455"/>
      <c r="F947" s="455"/>
    </row>
    <row r="948">
      <c r="E948" s="455"/>
      <c r="F948" s="455"/>
    </row>
    <row r="949">
      <c r="E949" s="455"/>
      <c r="F949" s="455"/>
    </row>
    <row r="950">
      <c r="E950" s="455"/>
      <c r="F950" s="455"/>
    </row>
    <row r="951">
      <c r="E951" s="455"/>
      <c r="F951" s="455"/>
    </row>
    <row r="952">
      <c r="E952" s="455"/>
      <c r="F952" s="455"/>
    </row>
    <row r="953">
      <c r="E953" s="455"/>
      <c r="F953" s="455"/>
    </row>
    <row r="954">
      <c r="E954" s="455"/>
      <c r="F954" s="455"/>
    </row>
    <row r="955">
      <c r="E955" s="455"/>
      <c r="F955" s="455"/>
    </row>
    <row r="956">
      <c r="E956" s="455"/>
      <c r="F956" s="455"/>
    </row>
    <row r="957">
      <c r="E957" s="455"/>
      <c r="F957" s="455"/>
    </row>
    <row r="958">
      <c r="E958" s="455"/>
      <c r="F958" s="455"/>
    </row>
    <row r="959">
      <c r="E959" s="455"/>
      <c r="F959" s="455"/>
    </row>
    <row r="960">
      <c r="E960" s="455"/>
      <c r="F960" s="455"/>
    </row>
    <row r="961">
      <c r="E961" s="455"/>
      <c r="F961" s="455"/>
    </row>
    <row r="962">
      <c r="E962" s="455"/>
      <c r="F962" s="455"/>
    </row>
    <row r="963">
      <c r="E963" s="455"/>
      <c r="F963" s="455"/>
    </row>
    <row r="964">
      <c r="E964" s="455"/>
      <c r="F964" s="455"/>
    </row>
    <row r="965">
      <c r="E965" s="455"/>
      <c r="F965" s="455"/>
    </row>
    <row r="966">
      <c r="E966" s="455"/>
      <c r="F966" s="455"/>
    </row>
    <row r="967">
      <c r="E967" s="455"/>
      <c r="F967" s="455"/>
    </row>
    <row r="968">
      <c r="E968" s="455"/>
      <c r="F968" s="455"/>
    </row>
    <row r="969">
      <c r="E969" s="455"/>
      <c r="F969" s="455"/>
    </row>
    <row r="970">
      <c r="E970" s="455"/>
      <c r="F970" s="455"/>
    </row>
    <row r="971">
      <c r="E971" s="455"/>
      <c r="F971" s="455"/>
    </row>
    <row r="972">
      <c r="E972" s="455"/>
      <c r="F972" s="455"/>
    </row>
    <row r="973">
      <c r="E973" s="455"/>
      <c r="F973" s="455"/>
    </row>
    <row r="974">
      <c r="E974" s="455"/>
      <c r="F974" s="455"/>
    </row>
    <row r="975">
      <c r="E975" s="455"/>
      <c r="F975" s="455"/>
    </row>
    <row r="976">
      <c r="E976" s="455"/>
      <c r="F976" s="455"/>
    </row>
    <row r="977">
      <c r="E977" s="455"/>
      <c r="F977" s="455"/>
    </row>
    <row r="978">
      <c r="E978" s="455"/>
      <c r="F978" s="455"/>
    </row>
    <row r="979">
      <c r="E979" s="455"/>
      <c r="F979" s="455"/>
    </row>
    <row r="980">
      <c r="E980" s="455"/>
      <c r="F980" s="455"/>
    </row>
    <row r="981">
      <c r="E981" s="455"/>
      <c r="F981" s="455"/>
    </row>
    <row r="982">
      <c r="E982" s="455"/>
      <c r="F982" s="455"/>
    </row>
    <row r="983">
      <c r="E983" s="455"/>
      <c r="F983" s="455"/>
    </row>
    <row r="984">
      <c r="E984" s="455"/>
      <c r="F984" s="455"/>
    </row>
    <row r="985">
      <c r="E985" s="455"/>
      <c r="F985" s="455"/>
    </row>
    <row r="986">
      <c r="E986" s="455"/>
      <c r="F986" s="455"/>
    </row>
    <row r="987">
      <c r="E987" s="455"/>
      <c r="F987" s="455"/>
    </row>
    <row r="988">
      <c r="E988" s="455"/>
      <c r="F988" s="455"/>
    </row>
    <row r="989">
      <c r="E989" s="455"/>
      <c r="F989" s="455"/>
    </row>
    <row r="990">
      <c r="E990" s="455"/>
      <c r="F990" s="455"/>
    </row>
    <row r="991">
      <c r="E991" s="455"/>
      <c r="F991" s="455"/>
    </row>
    <row r="992">
      <c r="E992" s="455"/>
      <c r="F992" s="455"/>
    </row>
    <row r="993">
      <c r="E993" s="455"/>
      <c r="F993" s="455"/>
    </row>
    <row r="994">
      <c r="E994" s="455"/>
      <c r="F994" s="455"/>
    </row>
    <row r="995">
      <c r="E995" s="455"/>
      <c r="F995" s="455"/>
    </row>
    <row r="996">
      <c r="E996" s="455"/>
      <c r="F996" s="455"/>
    </row>
    <row r="997">
      <c r="E997" s="455"/>
      <c r="F997" s="455"/>
    </row>
    <row r="998">
      <c r="E998" s="455"/>
      <c r="F998" s="455"/>
    </row>
    <row r="999">
      <c r="E999" s="455"/>
      <c r="F999" s="455"/>
    </row>
    <row r="1000">
      <c r="E1000" s="455"/>
      <c r="F1000" s="455"/>
    </row>
  </sheetData>
  <mergeCells count="1">
    <mergeCell ref="B1:F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2025-11-20T13:15:52Z</dcterms:created>
  <dc:creator>тнคłεร нεหя¡quε нεหя¡quε</dc:creator>
</cp:coreProperties>
</file>